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D" sheetId="1" state="visible" r:id="rId3"/>
  </sheets>
  <definedNames>
    <definedName function="false" hidden="false" name="PlageNommée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<sst xmlns="http://schemas.openxmlformats.org/spreadsheetml/2006/main" count="5116" uniqueCount="2965">
  <si>
    <t xml:space="preserve">Lien d'une DB de musiques (khinsider)</t>
  </si>
  <si>
    <t xml:space="preserve">Votants</t>
  </si>
  <si>
    <t xml:space="preserve">Hésitez pas à rajouter des musiques, et à noter celles déjà dans le gsheet</t>
  </si>
  <si>
    <t xml:space="preserve">(1 si vous êtes cap de la reconnaître en blindtest, 0 sinon)</t>
  </si>
  <si>
    <t xml:space="preserve">Mettez en priorité les liens de la page web, les liens de l'audio deviennent rapidemment obsolètes mais on peut les récupérer grâce à la page web</t>
  </si>
  <si>
    <t xml:space="preserve">Noms Valides pr trouver séparé les noms par /</t>
  </si>
  <si>
    <t xml:space="preserve">Lien audio</t>
  </si>
  <si>
    <t xml:space="preserve">Nb de vote</t>
  </si>
  <si>
    <t xml:space="preserve">Vote moyenne connais (1)/connais pas (0)</t>
  </si>
  <si>
    <t xml:space="preserve">UserA</t>
  </si>
  <si>
    <t xml:space="preserve">UserB</t>
  </si>
  <si>
    <t xml:space="preserve">UserC</t>
  </si>
  <si>
    <t xml:space="preserve">UserD</t>
  </si>
  <si>
    <t xml:space="preserve">UserE</t>
  </si>
  <si>
    <t xml:space="preserve">UserF</t>
  </si>
  <si>
    <t xml:space="preserve">UserG</t>
  </si>
  <si>
    <t xml:space="preserve">UserH</t>
  </si>
  <si>
    <t xml:space="preserve">UserI</t>
  </si>
  <si>
    <t xml:space="preserve">UserJ</t>
  </si>
  <si>
    <t xml:space="preserve">UserK</t>
  </si>
  <si>
    <t xml:space="preserve">UserL</t>
  </si>
  <si>
    <t xml:space="preserve">UserM</t>
  </si>
  <si>
    <t xml:space="preserve">UserN</t>
  </si>
  <si>
    <t xml:space="preserve">UserO</t>
  </si>
  <si>
    <t xml:space="preserve">UserP</t>
  </si>
  <si>
    <t xml:space="preserve">UserQ</t>
  </si>
  <si>
    <t xml:space="preserve">UserR</t>
  </si>
  <si>
    <t xml:space="preserve">UserS</t>
  </si>
  <si>
    <t xml:space="preserve">UserT</t>
  </si>
  <si>
    <t xml:space="preserve">UserU</t>
  </si>
  <si>
    <t xml:space="preserve">UserV</t>
  </si>
  <si>
    <t xml:space="preserve">UserW</t>
  </si>
  <si>
    <t xml:space="preserve">UserX</t>
  </si>
  <si>
    <t xml:space="preserve">8bitMMO</t>
  </si>
  <si>
    <t xml:space="preserve">BlueNoise!</t>
  </si>
  <si>
    <t xml:space="preserve">https://audio.jukehost.co.uk/E49raN6v4BAV79JoSn9eYcsByEp8Y4MR</t>
  </si>
  <si>
    <t xml:space="preserve">A dance of fire and ice</t>
  </si>
  <si>
    <t xml:space="preserve">Butterfly Planet</t>
  </si>
  <si>
    <t xml:space="preserve">https://downloads.khinsider.com/game-soundtracks/album/a-dance-of-fire-and-ice-windows-gamerip-2019/017.%252010-X%2520Butterfly%2520Planet.mp3</t>
  </si>
  <si>
    <t xml:space="preserve">https://audio.jukehost.co.uk/S6UHSzIkKf9FEwK2FuMfdYjsGdUYxA1I</t>
  </si>
  <si>
    <t xml:space="preserve">It's over but not for me</t>
  </si>
  <si>
    <t xml:space="preserve">https://audio.jukehost.co.uk/XJ7Vhxs6P8S3k43FqioL0tzImi7d67vi</t>
  </si>
  <si>
    <t xml:space="preserve">A Plague Tale</t>
  </si>
  <si>
    <t xml:space="preserve">A Plague Tale : Innocence</t>
  </si>
  <si>
    <t xml:space="preserve">Father</t>
  </si>
  <si>
    <t xml:space="preserve">https://audio.jukehost.co.uk/ta5mN2jdMfX6BNIHZMrBIuYdtAseriZ2</t>
  </si>
  <si>
    <t xml:space="preserve">Plague Tale</t>
  </si>
  <si>
    <t xml:space="preserve">https://audio.jukehost.co.uk/l4NnCUebRZUkFOkLGJ5QxkRJMOqJvJT8</t>
  </si>
  <si>
    <t xml:space="preserve">Abzu</t>
  </si>
  <si>
    <t xml:space="preserve">Delphinus Delphis</t>
  </si>
  <si>
    <t xml:space="preserve">https://audio.jukehost.co.uk/vIIABtce2kPtV8ibwKrDKhN5nm3ouSxk</t>
  </si>
  <si>
    <t xml:space="preserve">Ace Attorney</t>
  </si>
  <si>
    <t xml:space="preserve">Investigations Collection</t>
  </si>
  <si>
    <t xml:space="preserve">Chase down the truth</t>
  </si>
  <si>
    <t xml:space="preserve">https://audio.jukehost.co.uk/B5HM2eYj1n0gCBrS4toVqVpJWgPcgRpD</t>
  </si>
  <si>
    <t xml:space="preserve">Phoenix Wright: Ace Attorney</t>
  </si>
  <si>
    <t xml:space="preserve">Cornered</t>
  </si>
  <si>
    <t xml:space="preserve">https://audio.jukehost.co.uk/GCPvOmkHdBEDjY4OAdRds3QaC50jZCQn</t>
  </si>
  <si>
    <t xml:space="preserve">Objection</t>
  </si>
  <si>
    <t xml:space="preserve">https://audio.jukehost.co.uk/KFT3JYfQFMlU1TT4aSMUIIyysxfGCOk7</t>
  </si>
  <si>
    <t xml:space="preserve">The Great Ace Attorney</t>
  </si>
  <si>
    <t xml:space="preserve">Partners - The game is afoot!</t>
  </si>
  <si>
    <t xml:space="preserve">https://downloads.khinsider.com/game-soundtracks/album/dai-gyakuten-saiban-2-naruhodou-ryuunosuke-no-kakugo-gekiban-ongaku-daizenshuu-2017/2-05.%2520Partners%2520-%2520The%2520game%2520is%2520afoot%2521.mp3</t>
  </si>
  <si>
    <t xml:space="preserve">https://lambda.vgmtreasurechest.com/soundtracks/dai-gyakuten-saiban-2-naruhodou-ryuunosuke-no-kakugo-gekiban-ongaku-daizenshuu-2017/upooxbsowh/2-05.%20Partners%20-%20The%20game%20is%20afoot%21.mp3</t>
  </si>
  <si>
    <t xml:space="preserve">Ace Combat</t>
  </si>
  <si>
    <t xml:space="preserve">Ace Combat 4</t>
  </si>
  <si>
    <t xml:space="preserve">Megalith Agnus Dei</t>
  </si>
  <si>
    <t xml:space="preserve">https://audio.jukehost.co.uk/MBcRDkiIBOPEcA52Ah1hfnI4zPkbA9he</t>
  </si>
  <si>
    <t xml:space="preserve">Ace Combat 7</t>
  </si>
  <si>
    <t xml:space="preserve">Daredevil</t>
  </si>
  <si>
    <t xml:space="preserve">https://audio.jukehost.co.uk/uurnQmA3E1brJYMRAC3bZKONqy4H7RIa</t>
  </si>
  <si>
    <t xml:space="preserve">Afterburner</t>
  </si>
  <si>
    <t xml:space="preserve">Title Screen</t>
  </si>
  <si>
    <t xml:space="preserve">Afterimage</t>
  </si>
  <si>
    <t xml:space="preserve">https://downloads.khinsider.com/game-soundtracks/album/afterimage-ps4-ps5-switch-windows-xbox-one-xbox-series-xs-gamerip-2023/04%2520Bgm%2520Login.mp3</t>
  </si>
  <si>
    <t xml:space="preserve">https://nu.vgmtreasurechest.com/soundtracks/afterimage-original-game-soundtrack-2023/knlquavz/01.%20Afterimage.mp3</t>
  </si>
  <si>
    <t xml:space="preserve"> </t>
  </si>
  <si>
    <t xml:space="preserve">Age of Empire</t>
  </si>
  <si>
    <t xml:space="preserve">Age of Empire 2</t>
  </si>
  <si>
    <t xml:space="preserve">Main Theme</t>
  </si>
  <si>
    <t xml:space="preserve">https://audio.jukehost.co.uk/8maF1awhxwX6t5JDILy6IIJotLq0t0wJ</t>
  </si>
  <si>
    <t xml:space="preserve">Theme Song</t>
  </si>
  <si>
    <t xml:space="preserve">https://audio.jukehost.co.uk/IR4NjlOF6bPdNH4Cm1sZSNlvluPghb8U</t>
  </si>
  <si>
    <t xml:space="preserve">Age of Empire 3</t>
  </si>
  <si>
    <t xml:space="preserve">https://audio.jukehost.co.uk/b2lCTYJJDDX9aAKPHEtPPWYMjlMm2GEM</t>
  </si>
  <si>
    <t xml:space="preserve">Age of Empire 4</t>
  </si>
  <si>
    <t xml:space="preserve">Age of Mythology</t>
  </si>
  <si>
    <t xml:space="preserve">Main theme</t>
  </si>
  <si>
    <t xml:space="preserve">Age of War</t>
  </si>
  <si>
    <t xml:space="preserve">Glorious Morning</t>
  </si>
  <si>
    <t xml:space="preserve">https://audio.jukehost.co.uk/LKaUR5GGVuUE8bhxzl0tVHT32r0hEqbQ</t>
  </si>
  <si>
    <t xml:space="preserve">Alan Wake</t>
  </si>
  <si>
    <t xml:space="preserve">Alan Wake II</t>
  </si>
  <si>
    <t xml:space="preserve">Herald of Darkness</t>
  </si>
  <si>
    <t xml:space="preserve">https://downloads.khinsider.com/game-soundtracks/album/alan-wake-2-old-gods-of-asgard-2023/07%2520-%2520Herald%2520of%2520Darkness%2520%2528feat.%2520Alan%2520Wake%2520%2526%2520Mr.%2520Door%2529.mp3</t>
  </si>
  <si>
    <t xml:space="preserve">https://nu.vgmtreasurechest.com/soundtracks/alan-wake-2-old-gods-of-asgard-2023/ecbynwru/07%20-%20Herald%20of%20Darkness%20%28feat.%20Alan%20Wake%20%26%20Mr.%20Door%29.mp3</t>
  </si>
  <si>
    <t xml:space="preserve">No one left to love</t>
  </si>
  <si>
    <t xml:space="preserve">https://audio.jukehost.co.uk/JndZQdO3c3Hp8EZ8lXp9rggayd9rhTmH</t>
  </si>
  <si>
    <t xml:space="preserve">Amnesia</t>
  </si>
  <si>
    <t xml:space="preserve">Amnesia : The Dark Descent</t>
  </si>
  <si>
    <t xml:space="preserve">Back Hall</t>
  </si>
  <si>
    <t xml:space="preserve">https://downloads.khinsider.com/game-soundtracks/album/amnesia-the-dark-descent/11.%2520Back%2520Hall.mp3</t>
  </si>
  <si>
    <t xml:space="preserve">https://nu.vgmtreasurechest.com/soundtracks/amnesia-the-dark-descent/fruwxajt/11.%20Back%20Hall.mp3</t>
  </si>
  <si>
    <t xml:space="preserve">Among Us</t>
  </si>
  <si>
    <t xml:space="preserve">Kill</t>
  </si>
  <si>
    <t xml:space="preserve">Report</t>
  </si>
  <si>
    <t xml:space="preserve">Role</t>
  </si>
  <si>
    <t xml:space="preserve">Angry Birds</t>
  </si>
  <si>
    <t xml:space="preserve">Title Theme</t>
  </si>
  <si>
    <t xml:space="preserve">Bad Piggies</t>
  </si>
  <si>
    <t xml:space="preserve">https://audio.jukehost.co.uk/Cly4nSycDbot03KacGRD59iC2iwnmX4F</t>
  </si>
  <si>
    <t xml:space="preserve">Animal Crossing</t>
  </si>
  <si>
    <t xml:space="preserve">Animal Crossing : City Folks</t>
  </si>
  <si>
    <t xml:space="preserve">12 A.M.</t>
  </si>
  <si>
    <t xml:space="preserve">AC/ACCF</t>
  </si>
  <si>
    <t xml:space="preserve">https://audio.jukehost.co.uk/cdVmbZiJGPkzGxMT7Lbdg6wSxjetndet</t>
  </si>
  <si>
    <t xml:space="preserve">8 P.M.</t>
  </si>
  <si>
    <t xml:space="preserve">https://audio.jukehost.co.uk/2JHCSRV4EDwuwnoOrSB3TmlzsteXazfq</t>
  </si>
  <si>
    <t xml:space="preserve">City Day</t>
  </si>
  <si>
    <t xml:space="preserve">https://audio.jukehost.co.uk/j4yXWmRrwyQ3A7IpHcpAfYTaj74wunDi</t>
  </si>
  <si>
    <t xml:space="preserve">City Day Raining</t>
  </si>
  <si>
    <t xml:space="preserve">https://audio.jukehost.co.uk/BinqBPt69en6THO336FrJcMMz5NCwBYP</t>
  </si>
  <si>
    <t xml:space="preserve">City Night</t>
  </si>
  <si>
    <t xml:space="preserve">https://audio.jukehost.co.uk/P48WzYotsOOmnmJzzeWnO0U6BiovfQTM</t>
  </si>
  <si>
    <t xml:space="preserve">Animal Crossing : Happy Home Designer</t>
  </si>
  <si>
    <t xml:space="preserve">Decorating the Facility</t>
  </si>
  <si>
    <t xml:space="preserve">AC/ACHHD</t>
  </si>
  <si>
    <t xml:space="preserve">https://audio.jukehost.co.uk/ARKHW1tDDv2qBFShJaQJxJeqGRz474Pv</t>
  </si>
  <si>
    <t xml:space="preserve">Exterior Designing</t>
  </si>
  <si>
    <t xml:space="preserve">https://audio.jukehost.co.uk/pPqiER4PNkCbsTOcYjx5M2Burxe6is1N</t>
  </si>
  <si>
    <t xml:space="preserve">House Preview</t>
  </si>
  <si>
    <t xml:space="preserve">https://audio.jukehost.co.uk/i1MtTPZTk1KySAPDrFy1vPIWZjZnNXT9</t>
  </si>
  <si>
    <t xml:space="preserve">Interior Designing</t>
  </si>
  <si>
    <t xml:space="preserve">https://audio.jukehost.co.uk/puQ6jl39GkjTcwHv5BPy5zXBrKEywcGI</t>
  </si>
  <si>
    <t xml:space="preserve">Nook's Homes</t>
  </si>
  <si>
    <t xml:space="preserve">https://audio.jukehost.co.uk/yNuz5yvgYWm5QOuQvFj0CVUrUikikXy5</t>
  </si>
  <si>
    <t xml:space="preserve">https://audio.jukehost.co.uk/lDdxg2q8JJ3Afeuhj7aF266Zx9OgoX04</t>
  </si>
  <si>
    <t xml:space="preserve">Animal Crossing : New Horizons</t>
  </si>
  <si>
    <t xml:space="preserve">Annonce de Tom Nook</t>
  </si>
  <si>
    <t xml:space="preserve">AC/ACNH</t>
  </si>
  <si>
    <t xml:space="preserve">Animal Crossing : New Leaf</t>
  </si>
  <si>
    <t xml:space="preserve">1 A.M.</t>
  </si>
  <si>
    <t xml:space="preserve">AC/ACNL</t>
  </si>
  <si>
    <t xml:space="preserve">https://audio.jukehost.co.uk/ieF4B353U382DDr4KbPS3KrV6AcaOM9p</t>
  </si>
  <si>
    <t xml:space="preserve">1 P.M.</t>
  </si>
  <si>
    <t xml:space="preserve">https://audio.jukehost.co.uk/6ftZO52GQHpManbHVdVfvqLOAN9BTN7z</t>
  </si>
  <si>
    <t xml:space="preserve">5 P.M.</t>
  </si>
  <si>
    <t xml:space="preserve">https://audio.jukehost.co.uk/XF3INZdawZSyPxB0gnb9enaYvdG9Ldky</t>
  </si>
  <si>
    <t xml:space="preserve">8 A.M.</t>
  </si>
  <si>
    <t xml:space="preserve">https://audio.jukehost.co.uk/qQ7RD6jnDZmk3eASTzNcCoDsjjY8T3Jt</t>
  </si>
  <si>
    <t xml:space="preserve">https://audio.jukehost.co.uk/q6gN0mlLmpz698TgQYZuidWiGP8gJEwW</t>
  </si>
  <si>
    <t xml:space="preserve">Able Sisters</t>
  </si>
  <si>
    <t xml:space="preserve">https://audio.jukehost.co.uk/xxhj1FzIw7dDnKLvBnOO44CdDTxjO3lv</t>
  </si>
  <si>
    <t xml:space="preserve">I Paid Off My Loan!</t>
  </si>
  <si>
    <t xml:space="preserve">https://audio.jukehost.co.uk/4MwKn9HKjAGYJZUeUNI91sNwYLfCW9jM</t>
  </si>
  <si>
    <t xml:space="preserve">Animal Crossing : Wild World</t>
  </si>
  <si>
    <t xml:space="preserve">Kapp'n's Taxi</t>
  </si>
  <si>
    <t xml:space="preserve">AC/ACWW</t>
  </si>
  <si>
    <t xml:space="preserve">https://audio.jukehost.co.uk/KLWlQoP5CcqC0wTVAN66OgwYc3MtOi0w</t>
  </si>
  <si>
    <t xml:space="preserve">Nook's Cranny</t>
  </si>
  <si>
    <t xml:space="preserve">https://audio.jukehost.co.uk/4c64cim6wYWylpl9rYgqzypSY927QAgQ</t>
  </si>
  <si>
    <t xml:space="preserve">Post Office</t>
  </si>
  <si>
    <t xml:space="preserve">https://audio.jukehost.co.uk/CE9GzHeyOgjnWJ8DJIW9YRaYK1jm9zq7</t>
  </si>
  <si>
    <t xml:space="preserve">Taxi Arrival</t>
  </si>
  <si>
    <t xml:space="preserve">https://audio.jukehost.co.uk/Fe1Rvep0AV8PHc7lEi879g86VFxsydOU</t>
  </si>
  <si>
    <t xml:space="preserve">https://audio.jukehost.co.uk/fMgrhCbXHWaXhiOnWbPHG9u4ZCEpa2lE</t>
  </si>
  <si>
    <t xml:space="preserve">Musique de KK</t>
  </si>
  <si>
    <t xml:space="preserve">Bubblegum K.K</t>
  </si>
  <si>
    <t xml:space="preserve">https://audio.jukehost.co.uk/6ItJY2wqPk2veEZR1AwaijS6ZSwRxtiQ</t>
  </si>
  <si>
    <t xml:space="preserve">K.K. Disco</t>
  </si>
  <si>
    <t xml:space="preserve">https://audio.jukehost.co.uk/i8aIjeyC2bK7gTnovTKnYzGKNk9YMB0J</t>
  </si>
  <si>
    <t xml:space="preserve">K.K. House</t>
  </si>
  <si>
    <t xml:space="preserve">https://audio.jukehost.co.uk/K2PHtbLxVehVBX42Iv3M8FuwXGxZSuni</t>
  </si>
  <si>
    <t xml:space="preserve">K.K. Jongara </t>
  </si>
  <si>
    <t xml:space="preserve">https://audio.jukehost.co.uk/wJtRk3VnfauRoReuFv57P9vH9750Olu5</t>
  </si>
  <si>
    <t xml:space="preserve">K.K. Parade</t>
  </si>
  <si>
    <t xml:space="preserve">https://audio.jukehost.co.uk/Md9mkaqEsbyP6elbWhzT4cfQIJ1LFxBw</t>
  </si>
  <si>
    <t xml:space="preserve">Animal Well</t>
  </si>
  <si>
    <t xml:space="preserve">https://audio.jukehost.co.uk/PatrI4GrYrZHazzj29wGGbpDe5DDH5UK</t>
  </si>
  <si>
    <t xml:space="preserve">Ankama</t>
  </si>
  <si>
    <t xml:space="preserve">Waven</t>
  </si>
  <si>
    <t xml:space="preserve">Nature</t>
  </si>
  <si>
    <t xml:space="preserve">https://audio.jukehost.co.uk/8EXfyn9O6bRtSC2QbeaNt6E6KUN6YD8x</t>
  </si>
  <si>
    <t xml:space="preserve">ARK</t>
  </si>
  <si>
    <t xml:space="preserve">ARK Survival Evolved</t>
  </si>
  <si>
    <t xml:space="preserve">Main Title</t>
  </si>
  <si>
    <t xml:space="preserve">Assassin's Creed</t>
  </si>
  <si>
    <t xml:space="preserve">AC Odyssey </t>
  </si>
  <si>
    <t xml:space="preserve">The legend of the eagle bearer</t>
  </si>
  <si>
    <t xml:space="preserve">https://audio.jukehost.co.uk/7XSTGHP48pR3CjH23ws3OjONPiToHwOo</t>
  </si>
  <si>
    <t xml:space="preserve">Assassin's Creed 3</t>
  </si>
  <si>
    <t xml:space="preserve">https://audio.jukehost.co.uk/MhQvxSly3AVbBBZCJ9pPYs0BRTkXnnvD</t>
  </si>
  <si>
    <t xml:space="preserve">Assassin's Creed II</t>
  </si>
  <si>
    <t xml:space="preserve">Ezio's Family</t>
  </si>
  <si>
    <t xml:space="preserve">https://audio.jukehost.co.uk/hIaAQGdrSFHQDGg56iYXbsU0HC9EdhXN</t>
  </si>
  <si>
    <t xml:space="preserve">Assassin's Creed IV Black Flag</t>
  </si>
  <si>
    <t xml:space="preserve">https://audio.jukehost.co.uk/ZMUu7Z3pAFyX1nKraW8gfHkOHi389RZN</t>
  </si>
  <si>
    <t xml:space="preserve">Assassin's Creed Unity</t>
  </si>
  <si>
    <t xml:space="preserve">Unity</t>
  </si>
  <si>
    <t xml:space="preserve">https://audio.jukehost.co.uk/I3KP0tRDEs0XaPgnXK7y635pjLQWlo1C</t>
  </si>
  <si>
    <t xml:space="preserve">Assassin's Creed: Brotherhood</t>
  </si>
  <si>
    <t xml:space="preserve">City of Rome</t>
  </si>
  <si>
    <t xml:space="preserve">https://audio.jukehost.co.uk/eZWGaniD5agc4DwMAg0M0ML9mMe8fUsg</t>
  </si>
  <si>
    <t xml:space="preserve">Origins</t>
  </si>
  <si>
    <t xml:space="preserve">Ezio's Family (origins version)</t>
  </si>
  <si>
    <t xml:space="preserve">https://audio.jukehost.co.uk/jb7l2VX0u9ZgsgL5olLUusx99vF8l2hd</t>
  </si>
  <si>
    <t xml:space="preserve">https://audio.jukehost.co.uk/1nNoHX9NvBNI8nAqmBqnO5GdUcx5eE5b</t>
  </si>
  <si>
    <t xml:space="preserve">Valhalla</t>
  </si>
  <si>
    <t xml:space="preserve">When horns resound</t>
  </si>
  <si>
    <t xml:space="preserve">https://audio.jukehost.co.uk/0brLUu1VBZdgLjkfQeqbhEsoP7cIQcaw</t>
  </si>
  <si>
    <t xml:space="preserve">Atomic Heart</t>
  </si>
  <si>
    <t xml:space="preserve">Shop Theme</t>
  </si>
  <si>
    <t xml:space="preserve">Nora</t>
  </si>
  <si>
    <t xml:space="preserve">https://audio.jukehost.co.uk/tIpmz9FioglRTFiwjNSDv1AsrZoFEZf0</t>
  </si>
  <si>
    <t xml:space="preserve">Baba Is You</t>
  </si>
  <si>
    <t xml:space="preserve">Baba Is You Theme</t>
  </si>
  <si>
    <t xml:space="preserve">https://lambda.vgmtreasurechest.com/soundtracks/baba-is-you/xxvkooee/02.%20Baba%20Is%20You.mp3</t>
  </si>
  <si>
    <t xml:space="preserve">Balatro</t>
  </si>
  <si>
    <t xml:space="preserve">https://audio.jukehost.co.uk/sdCw91jPH1ox2IQYOZpgeTiykNHJWWX2</t>
  </si>
  <si>
    <t xml:space="preserve">Baldur's gate</t>
  </si>
  <si>
    <t xml:space="preserve">Baldur's gate 3</t>
  </si>
  <si>
    <t xml:space="preserve">Down by the river</t>
  </si>
  <si>
    <t xml:space="preserve">https://audio.jukehost.co.uk/wMspmALkj2p8mZQp4m7aZ6LtuqCybnIa</t>
  </si>
  <si>
    <t xml:space="preserve">I Want to Live</t>
  </si>
  <si>
    <t xml:space="preserve">https://audio.jukehost.co.uk/W7ZVOBoe7DG29k0hQDwFrn0uXcotkFWG</t>
  </si>
  <si>
    <t xml:space="preserve">Main Theme Part I</t>
  </si>
  <si>
    <t xml:space="preserve">Main Theme Part II</t>
  </si>
  <si>
    <t xml:space="preserve">Main Theme Part III</t>
  </si>
  <si>
    <t xml:space="preserve">Raphael's Final Act</t>
  </si>
  <si>
    <t xml:space="preserve">https://audio.jukehost.co.uk/z4TEF4OIgPhBlCYXnVxKEI62qa9ePaI1</t>
  </si>
  <si>
    <t xml:space="preserve">Banjo-Kazooie</t>
  </si>
  <si>
    <t xml:space="preserve">https://audio.jukehost.co.uk/UEvt1COEJB4DDsyrK6lf1yirV52FL9T8</t>
  </si>
  <si>
    <t xml:space="preserve">Baten Kaitos</t>
  </si>
  <si>
    <t xml:space="preserve">Baten Kaitos origins</t>
  </si>
  <si>
    <t xml:space="preserve">Le ali del principio</t>
  </si>
  <si>
    <t xml:space="preserve">https://jetta.vgmtreasurechest.com/soundtracks/baten-kaitos-origins-gc-gamerip-2006/yglktopf/1-01.%20Le%20Ali%20del%20Principio.mp3</t>
  </si>
  <si>
    <t xml:space="preserve">BattleBlock Theater</t>
  </si>
  <si>
    <t xml:space="preserve">Secret Area</t>
  </si>
  <si>
    <t xml:space="preserve">https://audio.jukehost.co.uk/7WPJEl614OQf4inecNjF8CDt80UREpkQ</t>
  </si>
  <si>
    <t xml:space="preserve">Battlefield</t>
  </si>
  <si>
    <t xml:space="preserve">Battlefield 1942</t>
  </si>
  <si>
    <t xml:space="preserve">Vehicle 4</t>
  </si>
  <si>
    <t xml:space="preserve">https://nu.vgmtreasurechest.com/soundtracks/battlefield-1942/qxpixllz/01%20-%20Vehicle%204.mp3</t>
  </si>
  <si>
    <t xml:space="preserve">Bayonetta</t>
  </si>
  <si>
    <t xml:space="preserve">Let's dance boys ! </t>
  </si>
  <si>
    <t xml:space="preserve">https://audio.jukehost.co.uk/z0Cc5LQQ66KwarIPGyavJ2EO9hIdAGxN</t>
  </si>
  <si>
    <t xml:space="preserve">BioShock</t>
  </si>
  <si>
    <t xml:space="preserve">The Ocean on His Shoulders</t>
  </si>
  <si>
    <t xml:space="preserve">https://audio.jukehost.co.uk/K7SifgnwhqCvICIP5dkYQFOJUPLoJ61B</t>
  </si>
  <si>
    <t xml:space="preserve">BioShock Infinite</t>
  </si>
  <si>
    <t xml:space="preserve">Will the Circle Be Unbroken</t>
  </si>
  <si>
    <t xml:space="preserve">https://audio.jukehost.co.uk/8wmBYb9F9juBO7z39S5dku8pDcCLCA9T</t>
  </si>
  <si>
    <t xml:space="preserve">Blasphemous</t>
  </si>
  <si>
    <t xml:space="preserve">Cante de los muertos</t>
  </si>
  <si>
    <t xml:space="preserve">Voice of the deads ; Isidora</t>
  </si>
  <si>
    <t xml:space="preserve">https://downloads.khinsider.com/game-soundtracks/album/blasphemous-linux-macos-ps4-switch-windows-xbox-one-gamerip-2019/38%2520Cante%2520de%2520los%2520Muertos%2520%25E2%2594%2582%2520Chants%2520of%2520the%2520Dead%2520%2528Instrumental%2529%2520%25E2%259A%259CIsidora%252C%2520Voice%2520of%2520the%2520Dead%25E2%259A%259C.mp3</t>
  </si>
  <si>
    <t xml:space="preserve">https://nu.vgmtreasurechest.com/soundtracks/blasphemous-linux-macos-ps4-switch-windows-xbox-one-gamerip-2019/btptyjcl/38%20Cante%20de%20los%20Muertos%20%E2%94%82%20Chants%20of%20the%20Dead%20%28Instrumental%29%20%E2%9A%9CIsidora%2C%20Voice%20of%20the%20Dead%E2%9A%9C.mp3</t>
  </si>
  <si>
    <t xml:space="preserve">Dame Tu Tormento</t>
  </si>
  <si>
    <t xml:space="preserve">https://audio.jukehost.co.uk/ds65MaHpSrVG9uk9pNwz7vpdze9BHqDC</t>
  </si>
  <si>
    <t xml:space="preserve">Su beso de plata (redux)</t>
  </si>
  <si>
    <t xml:space="preserve">https://audio.jukehost.co.uk/1fPtZYkJSgp9wB3BqLywYD1JFGu8Xrfh</t>
  </si>
  <si>
    <t xml:space="preserve">Blasphemous 2</t>
  </si>
  <si>
    <t xml:space="preserve">De blanca mantilla</t>
  </si>
  <si>
    <t xml:space="preserve">Benedicta</t>
  </si>
  <si>
    <t xml:space="preserve">https://downloads.khinsider.com/game-soundtracks/album/blasphemous-2-ost-2023/18.%2520De%2520Blanca%2520Mantilla.mp3</t>
  </si>
  <si>
    <t xml:space="preserve">https://jetta.vgmtreasurechest.com/soundtracks/blasphemous-2-ost-2023/qbkuuomt/18.%20De%20Blanca%20Mantilla.mp3</t>
  </si>
  <si>
    <t xml:space="preserve">Lienzo de la luz il el tiempo</t>
  </si>
  <si>
    <t xml:space="preserve">Ending A</t>
  </si>
  <si>
    <t xml:space="preserve">https://downloads.khinsider.com/game-soundtracks/album/blasphemous-2-ost-2023/30.%2520Lienzo%2520de%2520la%2520Luz%2520y%2520el%2520Tiempo.mp3</t>
  </si>
  <si>
    <t xml:space="preserve">https://jetta.vgmtreasurechest.com/soundtracks/blasphemous-2-ost-2023/gcvwwtbd/30.%20Lienzo%20de%20la%20Luz%20y%20el%20Tiempo.mp3</t>
  </si>
  <si>
    <t xml:space="preserve">Padre de los penitentes</t>
  </si>
  <si>
    <t xml:space="preserve">Eviterno</t>
  </si>
  <si>
    <t xml:space="preserve">https://downloads.khinsider.com/game-soundtracks/album/blasphemous-2-ost-2023/27.%2520Padre%2520de%2520los%2520Penitentes.mp3</t>
  </si>
  <si>
    <t xml:space="preserve">https://jetta.vgmtreasurechest.com/soundtracks/blasphemous-2-ost-2023/nvppbptz/27.%20Padre%20de%20los%20Penitentes.mp3</t>
  </si>
  <si>
    <t xml:space="preserve">Súbita Caligrafía de Plata</t>
  </si>
  <si>
    <t xml:space="preserve">https://audio.jukehost.co.uk/g8CVNzy7NJHdEDN3SCGzCYwEJcsxgOYU</t>
  </si>
  <si>
    <t xml:space="preserve">Bloodborne</t>
  </si>
  <si>
    <t xml:space="preserve">Hunter's dream</t>
  </si>
  <si>
    <t xml:space="preserve">Hub</t>
  </si>
  <si>
    <t xml:space="preserve">https://downloads.khinsider.com/game-soundtracks/album/bloodborne-original-soundtrack-2015/03.%2520Hunter%2527s%2520Dream.mp3</t>
  </si>
  <si>
    <t xml:space="preserve">https://nu.vgmtreasurechest.com/soundtracks/bloodborne-original-soundtrack-2015/cdnefrqf/03.%20Hunter%27s%20Dream.mp3</t>
  </si>
  <si>
    <t xml:space="preserve">Lullaby for Mergo</t>
  </si>
  <si>
    <t xml:space="preserve">Mergo's Wet Nurse</t>
  </si>
  <si>
    <t xml:space="preserve">https://downloads.khinsider.com/game-soundtracks/album/bloodborne-original-soundtrack-2015/22.%2520Lullaby%2520for%2520Mergo.mp3</t>
  </si>
  <si>
    <t xml:space="preserve">https://nu.vgmtreasurechest.com/soundtracks/bloodborne-original-soundtrack-2015/kzsmknlq/22.%20Lullaby%20for%20Mergo.mp3</t>
  </si>
  <si>
    <t xml:space="preserve">The First Hunter</t>
  </si>
  <si>
    <t xml:space="preserve">Gehrman</t>
  </si>
  <si>
    <t xml:space="preserve">https://audio.jukehost.co.uk/oGWZyDnGoTOfS7qQjWtqIp9alIZl3Onf</t>
  </si>
  <si>
    <t xml:space="preserve">Bloodborne : The old hunters</t>
  </si>
  <si>
    <t xml:space="preserve">The Holy Blade</t>
  </si>
  <si>
    <t xml:space="preserve">Ludwig</t>
  </si>
  <si>
    <t xml:space="preserve">https://audio.jukehost.co.uk/4riDOzp7lqW85opKrM4jod8KREq4fyVb</t>
  </si>
  <si>
    <t xml:space="preserve">Bomb Rush Cyberfunk</t>
  </si>
  <si>
    <t xml:space="preserve">Big city life</t>
  </si>
  <si>
    <t xml:space="preserve">https://audio.jukehost.co.uk/yfiIUq1V9d0D5HAvHIMd1tK5w2JQF1Bd</t>
  </si>
  <si>
    <t xml:space="preserve">Condensed Milk</t>
  </si>
  <si>
    <t xml:space="preserve">https://audio.jukehost.co.uk/IsIWg1mgKKDg1NoK2cEpVWxIlyREJuRM</t>
  </si>
  <si>
    <t xml:space="preserve">DA PEOPLE</t>
  </si>
  <si>
    <t xml:space="preserve">https://audio.jukehost.co.uk/IjY7spwowM6PTR9Obek7ZtlkJUIItArD</t>
  </si>
  <si>
    <t xml:space="preserve">GET ENUF</t>
  </si>
  <si>
    <t xml:space="preserve">https://audio.jukehost.co.uk/n59olf6W5jPq68Qnxekoc9zK0QC7yeH5</t>
  </si>
  <si>
    <t xml:space="preserve">I Wanna Kno</t>
  </si>
  <si>
    <t xml:space="preserve">https://downloads.khinsider.com/game-soundtracks/album/bomb-rush-cyberfunk-soundtrack-2023/02.%2520I%2520Wanna%2520Kno.mp3</t>
  </si>
  <si>
    <t xml:space="preserve">In the pocket</t>
  </si>
  <si>
    <t xml:space="preserve">https://audio.jukehost.co.uk/6fO0sLmU08SW8jJ7xMxD0NzhKAp11ih4</t>
  </si>
  <si>
    <t xml:space="preserve">JACK DA FUNK</t>
  </si>
  <si>
    <t xml:space="preserve">https://audio.jukehost.co.uk/qfwjuEW1rtL8fH0HrA9tx03T9c3oRw0D</t>
  </si>
  <si>
    <t xml:space="preserve">Bopl Battle</t>
  </si>
  <si>
    <t xml:space="preserve">Bobl Battle</t>
  </si>
  <si>
    <t xml:space="preserve">Battle blops</t>
  </si>
  <si>
    <t xml:space="preserve">https://audio.jukehost.co.uk/rRQGRkKgSudSRjh5twMH9h7xDKx9X2hW</t>
  </si>
  <si>
    <t xml:space="preserve">Don't get hit</t>
  </si>
  <si>
    <t xml:space="preserve">https://audio.jukehost.co.uk/PGP8l78ct84VwfP1XPPWy0d2CFyQTovJ</t>
  </si>
  <si>
    <t xml:space="preserve">Friendship</t>
  </si>
  <si>
    <t xml:space="preserve">https://audio.jukehost.co.uk/8dV9Y5y6TEdfKBQxNkh4o6OobrprJYxh</t>
  </si>
  <si>
    <t xml:space="preserve">Lightning cruiser</t>
  </si>
  <si>
    <t xml:space="preserve">https://audio.jukehost.co.uk/syxsuu3YB2w3mzrFnbkVLsJB5eTY06db</t>
  </si>
  <si>
    <t xml:space="preserve">Pump it up</t>
  </si>
  <si>
    <t xml:space="preserve">https://audio.jukehost.co.uk/a3I17EHgmq7O4B2COpzrfXRz7KtEHmks</t>
  </si>
  <si>
    <t xml:space="preserve">The bopl</t>
  </si>
  <si>
    <t xml:space="preserve">https://audio.jukehost.co.uk/mNrQw6NDFmzeIVkE4QahC8lPmk1EpjYi</t>
  </si>
  <si>
    <t xml:space="preserve">Borderlands</t>
  </si>
  <si>
    <t xml:space="preserve">Ain't No Rest for the Wicked</t>
  </si>
  <si>
    <t xml:space="preserve">Intro</t>
  </si>
  <si>
    <t xml:space="preserve">https://downloads.khinsider.com/game-soundtracks/album/borderlands-gamerip-2009/22.%2520Intro%2520Music%2520No%2520Edit%2520Full.mp3</t>
  </si>
  <si>
    <t xml:space="preserve">https://lambda.vgmtreasurechest.com/soundtracks/borderlands-gamerip-2009/jutkusgd/22.%20Intro%20Music%20No%20Edit%20Full.mp3</t>
  </si>
  <si>
    <t xml:space="preserve">Borderlands 2</t>
  </si>
  <si>
    <t xml:space="preserve">The Heavy-Short Change Hero</t>
  </si>
  <si>
    <t xml:space="preserve">BPM : Bullets per minute</t>
  </si>
  <si>
    <t xml:space="preserve">Into Asgard</t>
  </si>
  <si>
    <t xml:space="preserve">https://lambda.vgmtreasurechest.com/soundtracks/bpm-bullets-per-minute-original-game-soundtrack/xdarggms/07%20-%20Into%20Asgard.mp3</t>
  </si>
  <si>
    <t xml:space="preserve">Braid</t>
  </si>
  <si>
    <t xml:space="preserve">Maenam</t>
  </si>
  <si>
    <t xml:space="preserve">https://audio.jukehost.co.uk/orErAghyP9mgzszlOVTlKjUPi9OGqGI8</t>
  </si>
  <si>
    <t xml:space="preserve">Brain Age</t>
  </si>
  <si>
    <t xml:space="preserve">Apprentissage Cérébral</t>
  </si>
  <si>
    <t xml:space="preserve">https://audio.jukehost.co.uk/yaMyqQUKdp5WtcMpVv2iSmex1oHtro6x</t>
  </si>
  <si>
    <t xml:space="preserve">Brawlhalla</t>
  </si>
  <si>
    <t xml:space="preserve">Blackguard Keep</t>
  </si>
  <si>
    <t xml:space="preserve">Brawlhaven</t>
  </si>
  <si>
    <t xml:space="preserve">Broforce</t>
  </si>
  <si>
    <t xml:space="preserve">This Ends Now</t>
  </si>
  <si>
    <t xml:space="preserve">https://audio.jukehost.co.uk/8yVgjTsl67fWKaenNUjGtX2elX7Xo2yM</t>
  </si>
  <si>
    <t xml:space="preserve">Burnout Paradise</t>
  </si>
  <si>
    <t xml:space="preserve">Paradise City</t>
  </si>
  <si>
    <t xml:space="preserve">https://audio.jukehost.co.uk/lu2FQ74bew5ngu5c8WGpB2myhXuP93ww</t>
  </si>
  <si>
    <t xml:space="preserve">Castle Crashers</t>
  </si>
  <si>
    <t xml:space="preserve">(Please) Don't</t>
  </si>
  <si>
    <t xml:space="preserve">https://audio.jukehost.co.uk/5SccJr7ZAncksBRnLT6U36PYuwaLt0yC</t>
  </si>
  <si>
    <t xml:space="preserve">Flutey</t>
  </si>
  <si>
    <t xml:space="preserve">Four Brave Champions</t>
  </si>
  <si>
    <t xml:space="preserve">https://audio.jukehost.co.uk/0rPmuHSNswHDTbCJmSZfZRMfq25h2XYk</t>
  </si>
  <si>
    <t xml:space="preserve">Race Around The World</t>
  </si>
  <si>
    <t xml:space="preserve">Space Pirates</t>
  </si>
  <si>
    <t xml:space="preserve">Castlevania</t>
  </si>
  <si>
    <t xml:space="preserve">Aria of Sorrow</t>
  </si>
  <si>
    <t xml:space="preserve">Heart of fire</t>
  </si>
  <si>
    <t xml:space="preserve">Don't Wait Until Night</t>
  </si>
  <si>
    <t xml:space="preserve">https://audio.jukehost.co.uk/4mNlhEuaZHdhY4mlt4r7LyFb5oZNHvYv</t>
  </si>
  <si>
    <t xml:space="preserve">Inner Quarters</t>
  </si>
  <si>
    <t xml:space="preserve">Phantom Palace</t>
  </si>
  <si>
    <t xml:space="preserve">https://audio.jukehost.co.uk/2fYVmi0AhFwjkZcwnPs6G9yLcVe0HegR</t>
  </si>
  <si>
    <t xml:space="preserve">Circle of the Moon</t>
  </si>
  <si>
    <t xml:space="preserve">Awake</t>
  </si>
  <si>
    <t xml:space="preserve">https://audio.jukehost.co.uk/kasQg7snNjkeptR7cJNhBegGbCABrnJY</t>
  </si>
  <si>
    <t xml:space="preserve">Dawn of Sorrow</t>
  </si>
  <si>
    <t xml:space="preserve">After Confession</t>
  </si>
  <si>
    <t xml:space="preserve">https://audio.jukehost.co.uk/Gbs5DInRJ2OkCfGwNPSK2IfwcnVeq9UG</t>
  </si>
  <si>
    <t xml:space="preserve">Amber Scenery</t>
  </si>
  <si>
    <t xml:space="preserve">https://audio.jukehost.co.uk/iauCRfgY255ffYLTPm7VdsfJRsqnE98s</t>
  </si>
  <si>
    <t xml:space="preserve">Bloody Tears</t>
  </si>
  <si>
    <t xml:space="preserve">https://audio.jukehost.co.uk/uVhqNJpX7H67TcitbrrYxxtmiqxEkL1t</t>
  </si>
  <si>
    <t xml:space="preserve">Dracula's Tears</t>
  </si>
  <si>
    <t xml:space="preserve">https://audio.jukehost.co.uk/Jtgmfkxz1DJiVmmqGgitCmUeIXV1SK0h</t>
  </si>
  <si>
    <t xml:space="preserve">Into the dark Night</t>
  </si>
  <si>
    <t xml:space="preserve">https://audio.jukehost.co.uk/fbeBhjyE7E9ArXC97EulqphapUxSyxUX</t>
  </si>
  <si>
    <t xml:space="preserve">Pitch black intrusion</t>
  </si>
  <si>
    <t xml:space="preserve">https://audio.jukehost.co.uk/Ax2rX8EznbL8Teu6Bs7Jpn0bSv7Ydvym</t>
  </si>
  <si>
    <t xml:space="preserve">The beginning</t>
  </si>
  <si>
    <t xml:space="preserve">https://audio.jukehost.co.uk/JMVmmNab7KcTfLdubDkzK7pbu5EJWJ9n</t>
  </si>
  <si>
    <t xml:space="preserve">Harmony of Despair</t>
  </si>
  <si>
    <t xml:space="preserve">Aquarius</t>
  </si>
  <si>
    <t xml:space="preserve">https://audio.jukehost.co.uk/T4Zh51L9FCVxYBrWxXxwt9kl6YKCUOxv</t>
  </si>
  <si>
    <t xml:space="preserve">Divine Bloodlines</t>
  </si>
  <si>
    <t xml:space="preserve">https://audio.jukehost.co.uk/IepLfUbdCsgQaudS9pGegtZJa9H3I9Ed</t>
  </si>
  <si>
    <t xml:space="preserve">Ruined Castle Corridor</t>
  </si>
  <si>
    <t xml:space="preserve">https://audio.jukehost.co.uk/k1nVc2CHoTyUiTi9DpNDxPOqZ09kRyXq</t>
  </si>
  <si>
    <t xml:space="preserve">Vampire Killer</t>
  </si>
  <si>
    <t xml:space="preserve">https://audio.jukehost.co.uk/KvuuqG8GNjs5XRsIMZjpZ8NF0yXEoOGa</t>
  </si>
  <si>
    <t xml:space="preserve">Lament of Innocence</t>
  </si>
  <si>
    <t xml:space="preserve">Leon's theme</t>
  </si>
  <si>
    <t xml:space="preserve">https://audio.jukehost.co.uk/XF0JsifFKSJPtf3xrK0vUqzN2zxVqdlx</t>
  </si>
  <si>
    <t xml:space="preserve">Lords of Shadow</t>
  </si>
  <si>
    <t xml:space="preserve">Order of Ecclesia</t>
  </si>
  <si>
    <t xml:space="preserve">An empty tome</t>
  </si>
  <si>
    <t xml:space="preserve">https://audio.jukehost.co.uk/fPBFSmkDKj8BhflldbmPhRTyS39CzoKa</t>
  </si>
  <si>
    <t xml:space="preserve">Lament to the master</t>
  </si>
  <si>
    <t xml:space="preserve">https://audio.jukehost.co.uk/L6MMMYUtYo2ldeQM1QG16cXAevZ1cVRf</t>
  </si>
  <si>
    <t xml:space="preserve">Prologue</t>
  </si>
  <si>
    <t xml:space="preserve">https://audio.jukehost.co.uk/6P7iXfvqxCsHtXLlGAXfhvWFY15VTLvi</t>
  </si>
  <si>
    <t xml:space="preserve">Rhapsody of the Forsaken</t>
  </si>
  <si>
    <t xml:space="preserve">https://audio.jukehost.co.uk/AiuhC5JFrPZWPrWFYxq4PCkvDK081v9p</t>
  </si>
  <si>
    <t xml:space="preserve">Sorrow's Distorsion</t>
  </si>
  <si>
    <t xml:space="preserve">https://audio.jukehost.co.uk/cPEHlrsRdEk6jeKLSTpnPITm6H2eeolp</t>
  </si>
  <si>
    <t xml:space="preserve">Tower of dolls</t>
  </si>
  <si>
    <t xml:space="preserve">https://audio.jukehost.co.uk/xYVfcYxnZZRwqa30ILiaY3Y25cCIZybO</t>
  </si>
  <si>
    <t xml:space="preserve">Portrait of Ruin</t>
  </si>
  <si>
    <t xml:space="preserve">Gaze up at the darkness</t>
  </si>
  <si>
    <t xml:space="preserve">https://audio.jukehost.co.uk/ILiVfq68K5WNMnjwS9RQFIbkCGS5dmUb</t>
  </si>
  <si>
    <t xml:space="preserve">Hail from the past</t>
  </si>
  <si>
    <t xml:space="preserve">https://audio.jukehost.co.uk/NxHv8IJSR8e27YnA4W6MIjApfWifpGHb</t>
  </si>
  <si>
    <t xml:space="preserve">Invitation of a Crazed Moon</t>
  </si>
  <si>
    <t xml:space="preserve">https://audio.jukehost.co.uk/S1FabQ3D7C1QY1TKC2oCBx2AOqsMQzWn</t>
  </si>
  <si>
    <t xml:space="preserve">Iron blue intention</t>
  </si>
  <si>
    <t xml:space="preserve">https://audio.jukehost.co.uk/R7GnXbqVfRU1IFY7SjCe4wK2P6oK3oSs</t>
  </si>
  <si>
    <t xml:space="preserve">Symphony of the Night</t>
  </si>
  <si>
    <t xml:space="preserve">Dance of Illusions</t>
  </si>
  <si>
    <t xml:space="preserve">https://audio.jukehost.co.uk/lHWEp2f21kpxywMvepOK6kkpPoitjJ2f</t>
  </si>
  <si>
    <t xml:space="preserve">Dance of pales</t>
  </si>
  <si>
    <t xml:space="preserve">Waltz of the Pearls</t>
  </si>
  <si>
    <t xml:space="preserve">https://audio.jukehost.co.uk/HhjG9Kr3uqIgn95rM3mJEO3oWgMhmM44</t>
  </si>
  <si>
    <t xml:space="preserve">Final Toccata</t>
  </si>
  <si>
    <t xml:space="preserve">https://audio.jukehost.co.uk/GrV0dnFAFqcGaAbxtgQD19j4EG3ePcca</t>
  </si>
  <si>
    <t xml:space="preserve">Lost Painting</t>
  </si>
  <si>
    <t xml:space="preserve">https://audio.jukehost.co.uk/XYel9IJchCFeqAz1Qz1MvdxV5vpGTpoA</t>
  </si>
  <si>
    <t xml:space="preserve">Cave Story</t>
  </si>
  <si>
    <t xml:space="preserve">Opening Theme</t>
  </si>
  <si>
    <t xml:space="preserve">Celeste</t>
  </si>
  <si>
    <t xml:space="preserve">Confronting Myself</t>
  </si>
  <si>
    <t xml:space="preserve">https://audio.jukehost.co.uk/JMv5zwqgGzjYY9NA8VFsCciW0Adk1Drp</t>
  </si>
  <si>
    <t xml:space="preserve">First Steps</t>
  </si>
  <si>
    <t xml:space="preserve">https://dn720306.ca.archive.org/0/items/official-celeste-original-soundtrack-06-checking-in/%5BOfficial%5D%20Celeste%20Original%20Soundtrack%20-%2016%20-%20Confronting%20Myself.mp3</t>
  </si>
  <si>
    <t xml:space="preserve">Mirror Temple - Mirror Magic Mix</t>
  </si>
  <si>
    <t xml:space="preserve">https://ia803204.us.archive.org/3/items/MirrorTempleMirrorMagicMix/Mirror%20Temple%20%28Mirror%20Magic%20Mix%29.mp3</t>
  </si>
  <si>
    <t xml:space="preserve">Quiet and falling</t>
  </si>
  <si>
    <t xml:space="preserve">https://audio.jukehost.co.uk/9W2ZZhTePBbkTdvlG4FkmZHcVl7k4eGE</t>
  </si>
  <si>
    <t xml:space="preserve">Reach for the Summit</t>
  </si>
  <si>
    <t xml:space="preserve">https://audio.jukehost.co.uk/JsBLSwloMXcMn9nMhpPDoAJ9Zo7J4NNO</t>
  </si>
  <si>
    <t xml:space="preserve">Reflection</t>
  </si>
  <si>
    <t xml:space="preserve">https://audio.jukehost.co.uk/E92dzGhFp8646cUUD6RxhBg6CVuS9IPB</t>
  </si>
  <si>
    <t xml:space="preserve">Chrono Trigger</t>
  </si>
  <si>
    <t xml:space="preserve">Frog's theme</t>
  </si>
  <si>
    <t xml:space="preserve">https://audio.jukehost.co.uk/7mUVmo5zJ1SPzFhfknp1OgLW2OhhEIGA</t>
  </si>
  <si>
    <t xml:space="preserve">Secret of the forest</t>
  </si>
  <si>
    <t xml:space="preserve">https://audio.jukehost.co.uk/DdWPl03nePu7AbOyKXgP3GmYeKItAX7Z</t>
  </si>
  <si>
    <t xml:space="preserve">Civilization</t>
  </si>
  <si>
    <t xml:space="preserve">Civilization IV</t>
  </si>
  <si>
    <t xml:space="preserve">Baba Yetu</t>
  </si>
  <si>
    <t xml:space="preserve">Civilization VI</t>
  </si>
  <si>
    <t xml:space="preserve">Sogno Di Volare</t>
  </si>
  <si>
    <t xml:space="preserve">https://ia600809.us.archive.org/2/items/christopher-tin-sogno-di-volare-the-dream-of-flight-civilization-vi-main-theme/Christopher%20Tin%20-%20Sogno%20di%20Volare%20%28The%20Dream%20of%20Flight%29%20%28Civilization%20VI%20Main%20Theme%29.mp3</t>
  </si>
  <si>
    <t xml:space="preserve">Clair Obscur: Expedition 33</t>
  </si>
  <si>
    <t xml:space="preserve">Alicia</t>
  </si>
  <si>
    <t xml:space="preserve">flying waters - goblu</t>
  </si>
  <si>
    <t xml:space="preserve">goblu</t>
  </si>
  <si>
    <t xml:space="preserve">https://www.youtube.com/watch?v=oeFkb3LsmlQ</t>
  </si>
  <si>
    <t xml:space="preserve">Gestral Village - Gestral Merchant</t>
  </si>
  <si>
    <t xml:space="preserve">Gestral Merchant</t>
  </si>
  <si>
    <t xml:space="preserve">https://www.youtube.com/watch?v=pXHE2MH9vLU</t>
  </si>
  <si>
    <t xml:space="preserve">Simon, The Divergent Star</t>
  </si>
  <si>
    <t xml:space="preserve">https://www.youtube.com/watch?v=6aMIr6KI0Xc</t>
  </si>
  <si>
    <t xml:space="preserve">Une vie à t'aimer</t>
  </si>
  <si>
    <t xml:space="preserve">https://www.youtube.com/watch?v=oEtmFgonY3E</t>
  </si>
  <si>
    <t xml:space="preserve">Club Penguin</t>
  </si>
  <si>
    <t xml:space="preserve">Coffee Shop</t>
  </si>
  <si>
    <t xml:space="preserve">Pizzatron 3000</t>
  </si>
  <si>
    <t xml:space="preserve">https://lambda.vgmtreasurechest.com/soundtracks/club-penguin-gamerip-2005-pc-mobile/gkervejh/Pizzatron%203000.mp3</t>
  </si>
  <si>
    <t xml:space="preserve">Code Vein</t>
  </si>
  <si>
    <t xml:space="preserve">https://downloads.khinsider.com/game-soundtracks/album/code-vein-original-soundtrack/01.%2520Code%2520Vein.mp3</t>
  </si>
  <si>
    <t xml:space="preserve">https://vgmtreasurechest.com/soundtracks/code-vein-original-soundtrack/xoanoedg/01.%20Code%20Vein.mp3</t>
  </si>
  <si>
    <t xml:space="preserve">Control</t>
  </si>
  <si>
    <t xml:space="preserve">Take control</t>
  </si>
  <si>
    <t xml:space="preserve">https://downloads.khinsider.com/game-soundtracks/album/alan-wake-2-old-gods-of-asgard-2023/08%2520-%2520Take%2520Control.mp3</t>
  </si>
  <si>
    <t xml:space="preserve">https://nu.vgmtreasurechest.com/soundtracks/alan-wake-2-old-gods-of-asgard-2023/yhrmjjvx/08%20-%20Take%20Control.mp3</t>
  </si>
  <si>
    <t xml:space="preserve">Resonant</t>
  </si>
  <si>
    <t xml:space="preserve">Manalan Mailla</t>
  </si>
  <si>
    <t xml:space="preserve">Counter Strike</t>
  </si>
  <si>
    <t xml:space="preserve">CS:GO</t>
  </si>
  <si>
    <t xml:space="preserve">Main Menu</t>
  </si>
  <si>
    <t xml:space="preserve">CS2</t>
  </si>
  <si>
    <t xml:space="preserve">CrossCode</t>
  </si>
  <si>
    <t xml:space="preserve">Autumn's Rise</t>
  </si>
  <si>
    <t xml:space="preserve">Crypt of the NecroDancer</t>
  </si>
  <si>
    <t xml:space="preserve">Cadence of Hyrule</t>
  </si>
  <si>
    <t xml:space="preserve">Crypt</t>
  </si>
  <si>
    <t xml:space="preserve">https://audio.jukehost.co.uk/BG4kNobQHcj8Z3DyNWXwJH3pd4ZpEhCB</t>
  </si>
  <si>
    <t xml:space="preserve">Ganon Battle</t>
  </si>
  <si>
    <t xml:space="preserve">Gleeokenspiel</t>
  </si>
  <si>
    <t xml:space="preserve">https://audio.jukehost.co.uk/iMosmHXQEdIjLRA6F7baRKQfoxfdROaY</t>
  </si>
  <si>
    <t xml:space="preserve">Crypteque</t>
  </si>
  <si>
    <t xml:space="preserve">Dance of the Decorous</t>
  </si>
  <si>
    <t xml:space="preserve">Deep Sea Bass</t>
  </si>
  <si>
    <t xml:space="preserve">Disco Descent</t>
  </si>
  <si>
    <t xml:space="preserve">Konga Conga Kappa</t>
  </si>
  <si>
    <t xml:space="preserve">Mausoleum Mash</t>
  </si>
  <si>
    <t xml:space="preserve">Metalmancy </t>
  </si>
  <si>
    <t xml:space="preserve">Rhythmortis</t>
  </si>
  <si>
    <t xml:space="preserve">Six Feet Thunder </t>
  </si>
  <si>
    <t xml:space="preserve">Tombtorial</t>
  </si>
  <si>
    <t xml:space="preserve">Crysis</t>
  </si>
  <si>
    <t xml:space="preserve">Crysis 2</t>
  </si>
  <si>
    <t xml:space="preserve">Epilogue</t>
  </si>
  <si>
    <t xml:space="preserve">https://downloads.khinsider.com/game-soundtracks/album/crysis-2-ps3-windows-xbox-360-gamerip-2011/92.%2520Epilogue.mp3</t>
  </si>
  <si>
    <t xml:space="preserve">https://lambda.vgmtreasurechest.com/soundtracks/crysis-2-ps3-windows-xbox-360-gamerip-2011/waqbkwcy/92.%20Epilogue.mp3</t>
  </si>
  <si>
    <t xml:space="preserve">Cuphead</t>
  </si>
  <si>
    <t xml:space="preserve">Railroad Wrath</t>
  </si>
  <si>
    <t xml:space="preserve">https://audio.jukehost.co.uk/4AdoReXXBR6QFFFsuBsExMzCqxIRJNrI</t>
  </si>
  <si>
    <t xml:space="preserve">CyberPunk 2077</t>
  </si>
  <si>
    <t xml:space="preserve">Cyberpunk 2077</t>
  </si>
  <si>
    <t xml:space="preserve">I really want to stay at your house</t>
  </si>
  <si>
    <t xml:space="preserve">https://audio.jukehost.co.uk/Lf2mS8e7mRcXxAIYRvmPT6LeX2g9JXbA</t>
  </si>
  <si>
    <t xml:space="preserve">Never Fade Away</t>
  </si>
  <si>
    <t xml:space="preserve">The Rebel Path</t>
  </si>
  <si>
    <t xml:space="preserve">WHO'S READY FOR TOMORROW</t>
  </si>
  <si>
    <t xml:space="preserve">Phantom Liberty</t>
  </si>
  <si>
    <t xml:space="preserve">Contra la Luna</t>
  </si>
  <si>
    <t xml:space="preserve">Never looking back</t>
  </si>
  <si>
    <t xml:space="preserve">https://audio.jukehost.co.uk/6TaY4wE1anMMrHyZQ0MyXnj1gSk3Fl0y</t>
  </si>
  <si>
    <t xml:space="preserve">Dandara</t>
  </si>
  <si>
    <t xml:space="preserve">Dandara's purpose</t>
  </si>
  <si>
    <t xml:space="preserve">https://audio.jukehost.co.uk/gROuFlNc4F5bEwK9uoww9AOfPkxFwVjw</t>
  </si>
  <si>
    <t xml:space="preserve">Weight of a doubt</t>
  </si>
  <si>
    <t xml:space="preserve">https://audio.jukehost.co.uk/zWPFMueMuSsf5Z7Psxt7sUUKJMlry4ee</t>
  </si>
  <si>
    <t xml:space="preserve">Danganronpa</t>
  </si>
  <si>
    <t xml:space="preserve">Climax Reasoning</t>
  </si>
  <si>
    <t xml:space="preserve">Box 15</t>
  </si>
  <si>
    <t xml:space="preserve">https://audio.jukehost.co.uk/BfpOUFvE7eDIIOGTwvONVo88y2H1gIBx</t>
  </si>
  <si>
    <t xml:space="preserve">Closing Argument</t>
  </si>
  <si>
    <t xml:space="preserve">https://audio.jukehost.co.uk/saDkNZP620ZiKgptWwFulk8OpqNLLoji</t>
  </si>
  <si>
    <t xml:space="preserve">Trial Underground</t>
  </si>
  <si>
    <t xml:space="preserve">Underground Trial</t>
  </si>
  <si>
    <t xml:space="preserve">https://audio.jukehost.co.uk/ly0a1BJmYXFkYXHstIhNar9ldOgcOGDV</t>
  </si>
  <si>
    <t xml:space="preserve">Dark Souls</t>
  </si>
  <si>
    <t xml:space="preserve">Dark Sun Gwyndolin</t>
  </si>
  <si>
    <t xml:space="preserve">https://audio.jukehost.co.uk/Pj3asao1cYG7RMO6VAk6EXtJUPgflPKQ</t>
  </si>
  <si>
    <t xml:space="preserve">Gwyn</t>
  </si>
  <si>
    <t xml:space="preserve">https://audio.jukehost.co.uk/UUIIRw39LKQrN3rEXaxFFvqfbVuv8Qr4</t>
  </si>
  <si>
    <t xml:space="preserve">Priscilla la goat</t>
  </si>
  <si>
    <t xml:space="preserve">https://audio.jukehost.co.uk/l4YFyMy5ri6BdXKkFdeiIrkXSVbXSpTo</t>
  </si>
  <si>
    <t xml:space="preserve">Dark Souls 2</t>
  </si>
  <si>
    <t xml:space="preserve">Majula</t>
  </si>
  <si>
    <t xml:space="preserve">https://downloads.khinsider.com/game-soundtracks/album/dark-souls-ii-official-soundtrack-2014/03.%2520Majula.mp3</t>
  </si>
  <si>
    <t xml:space="preserve">https://jetta.vgmtreasurechest.com/soundtracks/dark-souls-ii-official-soundtrack-2014/sjrhmoiz/03.%20Majula.mp3</t>
  </si>
  <si>
    <t xml:space="preserve">Milfanito</t>
  </si>
  <si>
    <t xml:space="preserve">sanctuaire d'amana ; le marais de ses morts</t>
  </si>
  <si>
    <t xml:space="preserve">https://audio.jukehost.co.uk/aFcNQDjRvkf64yqJr5sQQwG3fSTH03Ta</t>
  </si>
  <si>
    <t xml:space="preserve">Sir Alonne</t>
  </si>
  <si>
    <t xml:space="preserve">https://audio.jukehost.co.uk/9AiAar10g04yGyQcH6Zrd2X5wQIHibfz</t>
  </si>
  <si>
    <t xml:space="preserve">Dark Souls 3</t>
  </si>
  <si>
    <t xml:space="preserve">Aldritch</t>
  </si>
  <si>
    <t xml:space="preserve">https://audio.jukehost.co.uk/MEfywgUSZbMOpcAOPQIvYX45WltOW8KY</t>
  </si>
  <si>
    <t xml:space="preserve">Menu theme</t>
  </si>
  <si>
    <t xml:space="preserve">https://vgmtreasurechest.com/soundtracks/dark-souls-iii-soundtracks/nszsskym/1-01%20Dark%20Souls%20III.mp3</t>
  </si>
  <si>
    <t xml:space="preserve">Nameless King</t>
  </si>
  <si>
    <t xml:space="preserve">https://audio.jukehost.co.uk/3H1WlkhLEz2BwNPMMMrIkR9kiM1hnqWW</t>
  </si>
  <si>
    <t xml:space="preserve">Sister Friede</t>
  </si>
  <si>
    <t xml:space="preserve">https://downloads.khinsider.com/game-soundtracks/album/dark-souls-iii-soundtracks/2-10%2520Sister%2520Friede%2520and%2520Father%2520Ariandel.mp3</t>
  </si>
  <si>
    <t xml:space="preserve">https://vgmtreasurechest.com/soundtracks/dark-souls-iii-soundtracks/jhitvwui/2-10%20Sister%20Friede%20and%20Father%20Ariandel.mp3</t>
  </si>
  <si>
    <t xml:space="preserve">Slave Knight Gael</t>
  </si>
  <si>
    <t xml:space="preserve">https://downloads.khinsider.com/game-soundtracks/album/dark-souls-iii-soundtracks/2-19%2520Slave%2520Knight%2520Gael.mp3</t>
  </si>
  <si>
    <t xml:space="preserve">https://vgmtreasurechest.com/soundtracks/dark-souls-iii-soundtracks/pffjgcsi/2-19%20Slave%20Knight%20Gael.mp3</t>
  </si>
  <si>
    <t xml:space="preserve">Soul of Cinder</t>
  </si>
  <si>
    <t xml:space="preserve">https://vgmtreasurechest.com/soundtracks/dark-souls-iii-soundtracks/ahiwhvid/1-24%20Soul%20Of%20Cinder.mp3</t>
  </si>
  <si>
    <t xml:space="preserve">Darkest Dungeon</t>
  </si>
  <si>
    <t xml:space="preserve">Darkest Dungeon 1</t>
  </si>
  <si>
    <t xml:space="preserve">Mournweald Encounter</t>
  </si>
  <si>
    <t xml:space="preserve">https://audio.jukehost.co.uk/DIxuZ8oTMMfoiaDJO1bQVmyWWtaooZzX</t>
  </si>
  <si>
    <t xml:space="preserve">De blob</t>
  </si>
  <si>
    <t xml:space="preserve">De blob 1</t>
  </si>
  <si>
    <t xml:space="preserve">Blissful</t>
  </si>
  <si>
    <t xml:space="preserve">Dead Cells</t>
  </si>
  <si>
    <t xml:space="preserve">Prisoner's Awakening</t>
  </si>
  <si>
    <t xml:space="preserve">DEADBOLT</t>
  </si>
  <si>
    <t xml:space="preserve">This Parrot is No More</t>
  </si>
  <si>
    <t xml:space="preserve">Death's door</t>
  </si>
  <si>
    <t xml:space="preserve">Avarice</t>
  </si>
  <si>
    <t xml:space="preserve">https://downloads.khinsider.com/game-soundtracks/album/death-s-door-2021-pc-switch-gamerip/Avarice%2520Crow%2520Land%2520%257Bm%257D.mp3</t>
  </si>
  <si>
    <t xml:space="preserve">https://jetta.vgmtreasurechest.com/soundtracks/death-s-door-2021-pc-switch-gamerip/xgmrwklz/Avarice%20Crow%20Land%20%7Bm%7D.mp3</t>
  </si>
  <si>
    <t xml:space="preserve">https://audio.jukehost.co.uk/7rBmB1wbvxrl9bNg5ewwJrsb74WdtNhO</t>
  </si>
  <si>
    <t xml:space="preserve">The last lord</t>
  </si>
  <si>
    <t xml:space="preserve">https://audio.jukehost.co.uk/kRe05VA2aWvBxYeAox0uCLspmZQr8Z1m</t>
  </si>
  <si>
    <t xml:space="preserve">The old Watchtowers</t>
  </si>
  <si>
    <t xml:space="preserve">https://audio.jukehost.co.uk/8P6prKcTYAq5fP10mnbkfdQDQiJP32I5</t>
  </si>
  <si>
    <t xml:space="preserve">Deathloop</t>
  </si>
  <si>
    <t xml:space="preserve">Menu (Break the loop)</t>
  </si>
  <si>
    <t xml:space="preserve">https://downloads.khinsider.com/game-soundtracks/album/deathloop-original-game-soundtrack/03.%2520Menu%2520%2528Break%2520the%2520Loop%2529.mp3</t>
  </si>
  <si>
    <t xml:space="preserve">Pitch Black</t>
  </si>
  <si>
    <t xml:space="preserve">trailer theme</t>
  </si>
  <si>
    <t xml:space="preserve">https://downloads.khinsider.com/game-soundtracks/album/deathloop-singles/Pitch%2520Black%2520%2528Original%2520Trailer%2520Soundtrack%2529.mp3</t>
  </si>
  <si>
    <t xml:space="preserve">https://lambda.vgmtreasurechest.com/soundtracks/deathloop-singles/tonybnlo/Pitch%20Black%20%28Original%20Trailer%20Soundtrack%29.mp3</t>
  </si>
  <si>
    <t xml:space="preserve">Deep Rock Galactic</t>
  </si>
  <si>
    <t xml:space="preserve">Attack of the Glyphids</t>
  </si>
  <si>
    <t xml:space="preserve">https://nu.vgmtreasurechest.com/soundtracks/deep-rock-galactic-original-soundtrack-volume-i/cqtxfibh/02%20-%20Attack%20of%20the%20Glyphids.mp3</t>
  </si>
  <si>
    <t xml:space="preserve">Deep Town</t>
  </si>
  <si>
    <t xml:space="preserve">Nuclear</t>
  </si>
  <si>
    <t xml:space="preserve">Routine</t>
  </si>
  <si>
    <t xml:space="preserve">Deltarune</t>
  </si>
  <si>
    <t xml:space="preserve">Attack of the killer queen</t>
  </si>
  <si>
    <t xml:space="preserve">https://audio.jukehost.co.uk/uwQ4P4nkS16qaq19FYy5CqYPfue3vIvH</t>
  </si>
  <si>
    <t xml:space="preserve">Before the story</t>
  </si>
  <si>
    <t xml:space="preserve">https://audio.jukehost.co.uk/eTLp5JkChkJbio9SNrYfLilrpcpAOsGQ</t>
  </si>
  <si>
    <t xml:space="preserve">BIG SHOT</t>
  </si>
  <si>
    <t xml:space="preserve">https://audio.jukehost.co.uk/7xfeuaqLsYWxceBwgqRIHdc9EJdOtn52</t>
  </si>
  <si>
    <t xml:space="preserve">Chaos King</t>
  </si>
  <si>
    <t xml:space="preserve">https://audio.jukehost.co.uk/kgNzsYrzSG9aRtW4qV9NpCnKNOlzwEz9</t>
  </si>
  <si>
    <t xml:space="preserve">Don't forget</t>
  </si>
  <si>
    <t xml:space="preserve">https://audio.jukehost.co.uk/Sx31hGrOsZ2yoUBw3vITeFumTcbmfAT5</t>
  </si>
  <si>
    <t xml:space="preserve">Field of hopes and Dreams</t>
  </si>
  <si>
    <t xml:space="preserve">https://audio.jukehost.co.uk/f6tR1kqbinpgc4qACyJIsmNIfqsP3SC9</t>
  </si>
  <si>
    <t xml:space="preserve">Rude buster</t>
  </si>
  <si>
    <t xml:space="preserve">https://audio.jukehost.co.uk/0oubGAlEC9MBFjGlWhQul743H3oQ6Fmj</t>
  </si>
  <si>
    <t xml:space="preserve">The world revolving</t>
  </si>
  <si>
    <t xml:space="preserve">https://audio.jukehost.co.uk/Jiiwa9Ioql5VlkfwmnRlFlM3tTYe7yIx</t>
  </si>
  <si>
    <t xml:space="preserve">Destiny</t>
  </si>
  <si>
    <t xml:space="preserve">Destiny 2</t>
  </si>
  <si>
    <t xml:space="preserve">Inner Light</t>
  </si>
  <si>
    <t xml:space="preserve">https://audio.jukehost.co.uk/phNjcPRggRCJ8nMBzUR4GQ7qwJSuadkE</t>
  </si>
  <si>
    <t xml:space="preserve">Detroit : Become Human</t>
  </si>
  <si>
    <t xml:space="preserve">Kara main theme</t>
  </si>
  <si>
    <t xml:space="preserve">https://downloads.khinsider.com/game-soundtracks/album/detroit-become-human-original-soundtrack/01.%2520Kara%2520Main%2520Theme.mp3</t>
  </si>
  <si>
    <t xml:space="preserve">https://vgmtreasurechest.com/soundtracks/detroit-become-human-original-soundtrack/udgxrrkz/01.%20Kara%20Main%20Theme.mp3</t>
  </si>
  <si>
    <t xml:space="preserve">Now</t>
  </si>
  <si>
    <t xml:space="preserve">https://audio.jukehost.co.uk/7K7DeKBpHW89X9NgLSik5ELc2D4WwFvx</t>
  </si>
  <si>
    <t xml:space="preserve">Devil May Cry</t>
  </si>
  <si>
    <t xml:space="preserve">Devil May Cry 3</t>
  </si>
  <si>
    <t xml:space="preserve">Devils Never Cry</t>
  </si>
  <si>
    <t xml:space="preserve">https://audio.jukehost.co.uk/vnwXuLRSuDwBMg0RMabMO6PSHtXIR8Y2</t>
  </si>
  <si>
    <t xml:space="preserve">DMC5</t>
  </si>
  <si>
    <t xml:space="preserve">Bury the light</t>
  </si>
  <si>
    <t xml:space="preserve">https://audio.jukehost.co.uk/e7vjXiCSHc9XfFBwFjXmzTfl1BAGGdzq</t>
  </si>
  <si>
    <t xml:space="preserve">Devil trigger</t>
  </si>
  <si>
    <t xml:space="preserve">https://audio.jukehost.co.uk/uxXNNRe7BwHWaAIvIJKQAsQ9yaWuULre</t>
  </si>
  <si>
    <t xml:space="preserve">Subhuman</t>
  </si>
  <si>
    <t xml:space="preserve">https://audio.jukehost.co.uk/nNKWRNwDTgFMUIgCPQv7aBHDQohg4zGv</t>
  </si>
  <si>
    <t xml:space="preserve">Diablo</t>
  </si>
  <si>
    <t xml:space="preserve">Tristram</t>
  </si>
  <si>
    <t xml:space="preserve">https://downloads.khinsider.com/game-soundtracks/album/diablo-1/02%2520Tristram.mp3</t>
  </si>
  <si>
    <t xml:space="preserve">https://vgmtreasurechest.com/soundtracks/diablo-1/zlgyzaex/02%20Tristram.mp3</t>
  </si>
  <si>
    <t xml:space="preserve">Dicey Dungeons</t>
  </si>
  <si>
    <t xml:space="preserve">Lifeline</t>
  </si>
  <si>
    <t xml:space="preserve">Disco Elysium</t>
  </si>
  <si>
    <t xml:space="preserve">Dishonored</t>
  </si>
  <si>
    <t xml:space="preserve">Honor for all</t>
  </si>
  <si>
    <t xml:space="preserve">Ending theme</t>
  </si>
  <si>
    <t xml:space="preserve">https://vgmtreasurechest.com/soundtracks/dishonored-original-game-soundtrack-2013/seudqvpjzq/12.%20Honor%20for%20All%20-%20End%20Credits.mp3</t>
  </si>
  <si>
    <t xml:space="preserve">Dishonored 2</t>
  </si>
  <si>
    <t xml:space="preserve">https://downloads.khinsider.com/game-soundtracks/album/dishonored-2-original-soundtrack-deluxe-edition-2017/01.%2520Dishonored%25202%2520Main%2520Theme.mp3</t>
  </si>
  <si>
    <t xml:space="preserve">https://audio.jukehost.co.uk/EnxpzLvZxX4qx2GdNNNAITrMy2IdFrMg</t>
  </si>
  <si>
    <t xml:space="preserve">Divinity</t>
  </si>
  <si>
    <t xml:space="preserve">Divinity : Original Sin 2</t>
  </si>
  <si>
    <t xml:space="preserve">Mead, Gold and Blood</t>
  </si>
  <si>
    <t xml:space="preserve">https://downloads.khinsider.com/game-soundtracks/album/divinity-original-sin-ii-original-soundtrack/02.%2520Mead%252C%2520Gold%2520and%2520Blood%2520%2528Ifan%2527s%2520Theme%2529.mp3</t>
  </si>
  <si>
    <t xml:space="preserve">https://vgmtreasurechest.com/soundtracks/divinity-original-sin-ii-original-soundtrack/wddguene/02.%20Mead%2C%20Gold%20and%20Blood%20%28Ifan%27s%20Theme%29.mp3</t>
  </si>
  <si>
    <t xml:space="preserve">Don't Starve</t>
  </si>
  <si>
    <t xml:space="preserve">Don't Starve Together</t>
  </si>
  <si>
    <t xml:space="preserve">Autumn Work</t>
  </si>
  <si>
    <t xml:space="preserve">DST</t>
  </si>
  <si>
    <t xml:space="preserve">Danger</t>
  </si>
  <si>
    <t xml:space="preserve">Donkey Kong</t>
  </si>
  <si>
    <t xml:space="preserve">Donkey Kong Country Returns</t>
  </si>
  <si>
    <t xml:space="preserve">Tidal Terror</t>
  </si>
  <si>
    <t xml:space="preserve">https://audio.jukehost.co.uk/cldnPb58aWZCRcNAK4YaRrhvoSgUwEBa</t>
  </si>
  <si>
    <t xml:space="preserve">Title theme</t>
  </si>
  <si>
    <t xml:space="preserve">https://audio.jukehost.co.uk/QsREnyTqP9zSlCAmD1BFdX4ljTTcOX2Q</t>
  </si>
  <si>
    <t xml:space="preserve">Donkey Konga</t>
  </si>
  <si>
    <t xml:space="preserve">Song select</t>
  </si>
  <si>
    <t xml:space="preserve">https://audio.jukehost.co.uk/cPmVFOeGRUmSWPkxE8pGMTMu0H2O20UO</t>
  </si>
  <si>
    <t xml:space="preserve">Donkey Kong Country</t>
  </si>
  <si>
    <t xml:space="preserve">Theme</t>
  </si>
  <si>
    <t xml:space="preserve">https://audio.jukehost.co.uk/kcXZ1RtYXhWVN2QpcLDzsJRD4E1hIUDD</t>
  </si>
  <si>
    <t xml:space="preserve">Donkey Kong Country </t>
  </si>
  <si>
    <t xml:space="preserve">Aquatic Ambiance</t>
  </si>
  <si>
    <t xml:space="preserve">https://audio.jukehost.co.uk/OkfQnVyshHizHiaDzJMegaLJf3Fx8t3P</t>
  </si>
  <si>
    <t xml:space="preserve">Donkey Kong Country 2</t>
  </si>
  <si>
    <t xml:space="preserve">In a snowbound land</t>
  </si>
  <si>
    <t xml:space="preserve">https://audio.jukehost.co.uk/fZ30Zp0N9XRAp0m004zm8aVNtdUPLTHs</t>
  </si>
  <si>
    <t xml:space="preserve">Stickerbrush Symphony</t>
  </si>
  <si>
    <t xml:space="preserve">https://audio.jukehost.co.uk/pJh0M95fgPkkmSSl5BtcDcl2jdgsYhrA</t>
  </si>
  <si>
    <t xml:space="preserve">Doom</t>
  </si>
  <si>
    <t xml:space="preserve">At Doom's Gate</t>
  </si>
  <si>
    <t xml:space="preserve">https://audio.jukehost.co.uk/5aQJYrP6AtM5gsFrLuV3fTMFZTX2NHOf</t>
  </si>
  <si>
    <t xml:space="preserve">Doom 2</t>
  </si>
  <si>
    <t xml:space="preserve">Into Sandy's City</t>
  </si>
  <si>
    <t xml:space="preserve">https://audio.jukehost.co.uk/78drt3wFZrnMhmmQ9OAft3FtblitGiVb</t>
  </si>
  <si>
    <t xml:space="preserve">Running from evil</t>
  </si>
  <si>
    <t xml:space="preserve">https://audio.jukehost.co.uk/yx9LZpuaVLahYuuNpOpilL2iSkCOkP1s</t>
  </si>
  <si>
    <t xml:space="preserve">Doom Eternal</t>
  </si>
  <si>
    <t xml:space="preserve">The Only Thing They Fear Is You</t>
  </si>
  <si>
    <t xml:space="preserve">Dragon Age</t>
  </si>
  <si>
    <t xml:space="preserve">Dragon Age Inquisition</t>
  </si>
  <si>
    <t xml:space="preserve">The dawn will come</t>
  </si>
  <si>
    <t xml:space="preserve">https://downloads.khinsider.com/game-soundtracks/album/dragon-age-inquisition-ost/11.%2520The%2520Dawn%2520Will%2520Come.mp3</t>
  </si>
  <si>
    <t xml:space="preserve">Dragon Ball</t>
  </si>
  <si>
    <t xml:space="preserve">Sparking Zero</t>
  </si>
  <si>
    <t xml:space="preserve">Main theme battle version</t>
  </si>
  <si>
    <t xml:space="preserve">https://audio.jukehost.co.uk/KouXcXq6cD2g9WdYyTEutItOQwuO2soa</t>
  </si>
  <si>
    <t xml:space="preserve">Dragon's Dogma</t>
  </si>
  <si>
    <t xml:space="preserve">https://audio.jukehost.co.uk/VkA1MHjlHaDIrIAhRWVxKbuuxadVF3BE</t>
  </si>
  <si>
    <t xml:space="preserve">DuckTales</t>
  </si>
  <si>
    <t xml:space="preserve">The Moon</t>
  </si>
  <si>
    <t xml:space="preserve">Moon</t>
  </si>
  <si>
    <t xml:space="preserve">https://audio.jukehost.co.uk/QhL5M2rsM6vze8G7fs2MwhXMJEv72St8</t>
  </si>
  <si>
    <t xml:space="preserve">Elden Ring</t>
  </si>
  <si>
    <t xml:space="preserve">Final Battle Theme</t>
  </si>
  <si>
    <t xml:space="preserve">https://audio.jukehost.co.uk/dIBQqye1wuDs7zMFySC9hJtclXkfMpGC</t>
  </si>
  <si>
    <t xml:space="preserve">https://audio.jukehost.co.uk/5Me5HgDy8GHUc4lxFdfFz5rEb9VYYpCy</t>
  </si>
  <si>
    <t xml:space="preserve">Malenia</t>
  </si>
  <si>
    <t xml:space="preserve">https://audio.jukehost.co.uk/4Lk8hySg1bo8lyLYuaJ3gSqqcsFm8hrP</t>
  </si>
  <si>
    <t xml:space="preserve">Mohg Lord of Blood</t>
  </si>
  <si>
    <t xml:space="preserve">https://audio.jukehost.co.uk/4Vn3BsMIFlWoTpbGif1A5B35KuGjyYbw</t>
  </si>
  <si>
    <t xml:space="preserve">Opening (La fin est connu)</t>
  </si>
  <si>
    <t xml:space="preserve">https://audio.jukehost.co.uk/qj5m7p0l8kTJFQ94rmiRlbj8ftjgWsyB</t>
  </si>
  <si>
    <t xml:space="preserve">Ender Magnolia</t>
  </si>
  <si>
    <t xml:space="preserve">Everhood</t>
  </si>
  <si>
    <t xml:space="preserve">Euthanasia Rollercoaster</t>
  </si>
  <si>
    <t xml:space="preserve">https://audio.jukehost.co.uk/8O9OAYQK5kA5cSwJFk9IVvu3cf8Fef8g</t>
  </si>
  <si>
    <t xml:space="preserve">Tinnitus Dance</t>
  </si>
  <si>
    <t xml:space="preserve">https://downloads.khinsider.com/game-soundtracks/album/everhood-soundtrack/07.%2520Tinnitus%2520Dance.mp3</t>
  </si>
  <si>
    <t xml:space="preserve">https://vgmtreasurechest.com/soundtracks/everhood-soundtrack/vtfvkret/07.%20Tinnitus%20Dance.mp3</t>
  </si>
  <si>
    <t xml:space="preserve">F-Zero</t>
  </si>
  <si>
    <t xml:space="preserve">Mute City</t>
  </si>
  <si>
    <t xml:space="preserve">Port Town</t>
  </si>
  <si>
    <t xml:space="preserve">https://audio.jukehost.co.uk/dHtrgq77ZgeDqwIzitXdt3PdQuZhhUNi</t>
  </si>
  <si>
    <t xml:space="preserve">Fable</t>
  </si>
  <si>
    <t xml:space="preserve">Fable 3</t>
  </si>
  <si>
    <t xml:space="preserve">Loading Screen</t>
  </si>
  <si>
    <t xml:space="preserve">https://audio.jukehost.co.uk/0Jn7w7QsejGvyqPT7WDAVNdG6z0rTmIo</t>
  </si>
  <si>
    <t xml:space="preserve">Factorio</t>
  </si>
  <si>
    <t xml:space="preserve">Fallout</t>
  </si>
  <si>
    <t xml:space="preserve">Fantasy Life</t>
  </si>
  <si>
    <t xml:space="preserve">Au commencement</t>
  </si>
  <si>
    <t xml:space="preserve">https://audio.jukehost.co.uk/5QHL0rMRsvpRqa1SUf6MS07xrK2RgMeu</t>
  </si>
  <si>
    <t xml:space="preserve">Avatar Theme</t>
  </si>
  <si>
    <t xml:space="preserve">https://audio.jukehost.co.uk/10TaSkksLYY3q1KT5ZlHqjPcEGZ2F7NB</t>
  </si>
  <si>
    <t xml:space="preserve">Castel</t>
  </si>
  <si>
    <t xml:space="preserve">https://audio.jukehost.co.uk/KMdg997yw0QKwPvRHBccWcYuA87oTEBk</t>
  </si>
  <si>
    <t xml:space="preserve">Chateau de Castel</t>
  </si>
  <si>
    <t xml:space="preserve">https://audio.jukehost.co.uk/J49T72drYqxEoKll1eEZb85C939py0oV</t>
  </si>
  <si>
    <t xml:space="preserve">https://audio.jukehost.co.uk/ug5eJd7YL1Zdm9Wo1aJBpSiWO31SlNeZ</t>
  </si>
  <si>
    <t xml:space="preserve">Faster Than Light</t>
  </si>
  <si>
    <t xml:space="preserve">FTL</t>
  </si>
  <si>
    <t xml:space="preserve">Fear and hunger</t>
  </si>
  <si>
    <t xml:space="preserve">https://audio.jukehost.co.uk/E5Jf2fAApdQT1TnqBMQ0OzFNmJcQaTSh</t>
  </si>
  <si>
    <t xml:space="preserve">Ma'habre streets</t>
  </si>
  <si>
    <t xml:space="preserve">https://audio.jukehost.co.uk/Udz46oJfYvqjS6bsb4gVPbD7N5VkfR87</t>
  </si>
  <si>
    <t xml:space="preserve">Fear and Hunger</t>
  </si>
  <si>
    <t xml:space="preserve">Fear and Hunger 2 : Termina</t>
  </si>
  <si>
    <t xml:space="preserve">Dark Outside</t>
  </si>
  <si>
    <t xml:space="preserve">https://downloads.khinsider.com/game-soundtracks/album/fear-hunger-2-termina-windows-gamerip-2022/44.%2520Dark%2520Outside.mp3</t>
  </si>
  <si>
    <t xml:space="preserve">https://jetta.vgmtreasurechest.com/soundtracks/fear-hunger-2-termina-windows-gamerip-2022/lwbqbili/44.%20Dark%20Outside.mp3</t>
  </si>
  <si>
    <t xml:space="preserve">Fez</t>
  </si>
  <si>
    <t xml:space="preserve">Adventure</t>
  </si>
  <si>
    <t xml:space="preserve">Final Fantasy</t>
  </si>
  <si>
    <t xml:space="preserve">Chocobo Tales</t>
  </si>
  <si>
    <t xml:space="preserve">Decisive Battle (from FFVI)</t>
  </si>
  <si>
    <t xml:space="preserve">https://audio.jukehost.co.uk/geKZW0MmiaeM1x13bh4hS6ppYlJtWea9</t>
  </si>
  <si>
    <t xml:space="preserve">Final Fantasy III</t>
  </si>
  <si>
    <t xml:space="preserve">Eternal Wind</t>
  </si>
  <si>
    <t xml:space="preserve">Final Fantasy IV</t>
  </si>
  <si>
    <t xml:space="preserve">Battle 2</t>
  </si>
  <si>
    <t xml:space="preserve">https://downloads.khinsider.com/game-soundtracks/album/final-fantasy-iv-world-2018/07.%2520Main%2520Theme%2520of%2520Final%2520Fantasy%2520IV.mp3</t>
  </si>
  <si>
    <t xml:space="preserve">Red Wings</t>
  </si>
  <si>
    <t xml:space="preserve">https://downloads.khinsider.com/game-soundtracks/album/final-fantasy-iv-world-2018/02.%2520Red%2520Wings.mp3</t>
  </si>
  <si>
    <t xml:space="preserve">https://lambda.vgmtreasurechest.com/soundtracks/final-fantasy-iv-world-2018/neiagbpt/02.%20Red%20Wings.mp3</t>
  </si>
  <si>
    <t xml:space="preserve">The Prelude</t>
  </si>
  <si>
    <t xml:space="preserve">https://downloads.khinsider.com/game-soundtracks/album/final-fantasy-iv-world-2018/01.%2520The%2520Prelude.mp3</t>
  </si>
  <si>
    <t xml:space="preserve">https://lambda.vgmtreasurechest.com/soundtracks/final-fantasy-iv-world-2018/vxamgtce/01.%20The%20Prelude.mp3</t>
  </si>
  <si>
    <t xml:space="preserve">Final Fantasy V</t>
  </si>
  <si>
    <t xml:space="preserve">The Final Battle</t>
  </si>
  <si>
    <t xml:space="preserve">Final Fantasy VI</t>
  </si>
  <si>
    <t xml:space="preserve">Terra's Theme</t>
  </si>
  <si>
    <t xml:space="preserve">https://ia600807.us.archive.org/3/items/final-fantasy-vi-6-terras-theme-snes-version/Final%20Fantasy%20VI%206%20Terras%20Theme%20SNES%20Version.mp3</t>
  </si>
  <si>
    <t xml:space="preserve">Final Fantasy VII</t>
  </si>
  <si>
    <t xml:space="preserve">Chocobo theme</t>
  </si>
  <si>
    <t xml:space="preserve">https://audio.jukehost.co.uk/Y5sEc8gBXbOHnpn0qPhwQoPa7MAP27c3</t>
  </si>
  <si>
    <t xml:space="preserve">One Winged Angel</t>
  </si>
  <si>
    <t xml:space="preserve">https://audio.jukehost.co.uk/FJKKwg8VUJ2c4MPlQSueMSSDUrMu1Dep</t>
  </si>
  <si>
    <t xml:space="preserve">Tifa's theme</t>
  </si>
  <si>
    <t xml:space="preserve">https://audio.jukehost.co.uk/3sLGEPIuzDDlqxsjGDv9Sf4N4UFbCxQW</t>
  </si>
  <si>
    <t xml:space="preserve">Final Fantasy VII Remake</t>
  </si>
  <si>
    <t xml:space="preserve">7 seconds till the end</t>
  </si>
  <si>
    <t xml:space="preserve">https://audio.jukehost.co.uk/uCCsh6yeikmxBnJahrEOvL757ohluQaq</t>
  </si>
  <si>
    <t xml:space="preserve">Hollow</t>
  </si>
  <si>
    <t xml:space="preserve">https://audio.jukehost.co.uk/ERKBUT4Jn9CMw5l4t0LopuV6loWAlffw</t>
  </si>
  <si>
    <t xml:space="preserve">https://audio.jukehost.co.uk/GzZKA8hLDc9nqtmgpTlfuWAXzR6gCRvR</t>
  </si>
  <si>
    <t xml:space="preserve">Opening theme</t>
  </si>
  <si>
    <t xml:space="preserve">https://audio.jukehost.co.uk/t3xrJUOt6y4S6IxWToqXvSCsZ8HS37sJ</t>
  </si>
  <si>
    <t xml:space="preserve">The prelude</t>
  </si>
  <si>
    <t xml:space="preserve">https://audio.jukehost.co.uk/ZseAMn5Fnb5LdqjyVMTwi0cTdkUYGJTM</t>
  </si>
  <si>
    <t xml:space="preserve">Final Fantasy VIII</t>
  </si>
  <si>
    <t xml:space="preserve">Don't be Afraid (Battle theme)</t>
  </si>
  <si>
    <t xml:space="preserve">https://audio.jukehost.co.uk/3Xbt3iCvbqsrVmG1LKdr70o7sNHdrwPM</t>
  </si>
  <si>
    <t xml:space="preserve">Force your Way</t>
  </si>
  <si>
    <t xml:space="preserve">https://audio.jukehost.co.uk/R9jCi4iMJSNTq5VnbAKtcyVGPyHkaqpy</t>
  </si>
  <si>
    <t xml:space="preserve">Man with the Machine Gun</t>
  </si>
  <si>
    <t xml:space="preserve">Final Fantasy X</t>
  </si>
  <si>
    <t xml:space="preserve">To Zanarkand</t>
  </si>
  <si>
    <t xml:space="preserve">https://audio.jukehost.co.uk/mhjdCiZdtiB8lqQjrHVU0sKegv8XAFqt</t>
  </si>
  <si>
    <t xml:space="preserve">Final Fantasy XIV</t>
  </si>
  <si>
    <t xml:space="preserve">Fallen Angel</t>
  </si>
  <si>
    <t xml:space="preserve">https://audio.jukehost.co.uk/udzeBQeoi53MKV8Mh3K4mlhOtKyIfSgd</t>
  </si>
  <si>
    <t xml:space="preserve">Navigator's Glory</t>
  </si>
  <si>
    <t xml:space="preserve">https://audio.jukehost.co.uk/PvPz3Ly0MYTxpSEl8KF9DoxlGOemZaBG</t>
  </si>
  <si>
    <t xml:space="preserve">Prelude</t>
  </si>
  <si>
    <t xml:space="preserve">https://audio.jukehost.co.uk/q6OO0oFJoKvK4BgrQcNofoPIaIFqyPzv</t>
  </si>
  <si>
    <t xml:space="preserve">The Twinning</t>
  </si>
  <si>
    <t xml:space="preserve">https://audio.jukehost.co.uk/X9Ao1bVncu9VgxyN9UBFen7aSy77892c</t>
  </si>
  <si>
    <t xml:space="preserve">Final Fantasy XV</t>
  </si>
  <si>
    <t xml:space="preserve">APOCALYPSIS NOCTIS</t>
  </si>
  <si>
    <t xml:space="preserve">https://audio.jukehost.co.uk/DHKKxa00fj64Vvtn3Il3Xrgp06KIopBB</t>
  </si>
  <si>
    <t xml:space="preserve">Somnus</t>
  </si>
  <si>
    <t xml:space="preserve">Valse di Fantastica</t>
  </si>
  <si>
    <t xml:space="preserve">https://audio.jukehost.co.uk/1mhqw2IZ6xs7qbqdNuXORNSjXq3uN20r</t>
  </si>
  <si>
    <t xml:space="preserve">Final Fantasy XVI</t>
  </si>
  <si>
    <t xml:space="preserve">All as One</t>
  </si>
  <si>
    <t xml:space="preserve">https://audio.jukehost.co.uk/bi8wIkB3jBlNCSVq5eqvx5PDFO7R326g</t>
  </si>
  <si>
    <t xml:space="preserve">Away</t>
  </si>
  <si>
    <t xml:space="preserve">https://audio.jukehost.co.uk/MHoaJkuWlHL6qnrwWTnRoGAFxYsXJCzR</t>
  </si>
  <si>
    <t xml:space="preserve">Find the flame</t>
  </si>
  <si>
    <t xml:space="preserve">https://audio.jukehost.co.uk/QYEZq8BQNEOwNqLldz9ey4bK1SkA7st3</t>
  </si>
  <si>
    <t xml:space="preserve">Final Fantasy XVI (DLC)</t>
  </si>
  <si>
    <t xml:space="preserve">Cascade</t>
  </si>
  <si>
    <t xml:space="preserve">https://audio.jukehost.co.uk/j9NWJFpPyYfzmeui1tA3j0OcZ1eyPn3g</t>
  </si>
  <si>
    <t xml:space="preserve">World of Final Fantasy</t>
  </si>
  <si>
    <t xml:space="preserve">Innocent^2</t>
  </si>
  <si>
    <t xml:space="preserve">https://audio.jukehost.co.uk/Jvy57261Nf8JpHFStzg13YX2lHEwtuVF</t>
  </si>
  <si>
    <t xml:space="preserve">World of battle</t>
  </si>
  <si>
    <t xml:space="preserve">Battle World</t>
  </si>
  <si>
    <t xml:space="preserve">https://audio.jukehost.co.uk/DWzWMTILc7uH3dtxsVHZ7FmKWxr6UxZ2</t>
  </si>
  <si>
    <t xml:space="preserve">Fire Emblem</t>
  </si>
  <si>
    <t xml:space="preserve">The Blazing Blade</t>
  </si>
  <si>
    <t xml:space="preserve">Together we ride</t>
  </si>
  <si>
    <t xml:space="preserve">https://audio.jukehost.co.uk/A8XxtFbkMxg0aiJauQZlAg0bUMt859f1</t>
  </si>
  <si>
    <t xml:space="preserve">Three Houses</t>
  </si>
  <si>
    <t xml:space="preserve">As swift as wind</t>
  </si>
  <si>
    <t xml:space="preserve">https://audio.jukehost.co.uk/NVykZ1INrVeR3JP4i0dRPPAhn3TUIdvU</t>
  </si>
  <si>
    <t xml:space="preserve">First Class Trouble</t>
  </si>
  <si>
    <t xml:space="preserve">Funeral dance</t>
  </si>
  <si>
    <t xml:space="preserve">https://audio.jukehost.co.uk/GcrxZvtkI0tpEUSQCYzKYa9GECfxJJLY</t>
  </si>
  <si>
    <t xml:space="preserve">Five Nights at Freddy</t>
  </si>
  <si>
    <t xml:space="preserve">FNAF</t>
  </si>
  <si>
    <t xml:space="preserve">Chimes </t>
  </si>
  <si>
    <t xml:space="preserve">Music Box</t>
  </si>
  <si>
    <t xml:space="preserve">Freddy Sound</t>
  </si>
  <si>
    <t xml:space="preserve">For the King</t>
  </si>
  <si>
    <t xml:space="preserve">Ftk1</t>
  </si>
  <si>
    <t xml:space="preserve">https://audio.jukehost.co.uk/xzWgPPsjDagHChbDVkAnn7tNOEwjqXtY</t>
  </si>
  <si>
    <t xml:space="preserve">Fortnite</t>
  </si>
  <si>
    <t xml:space="preserve">Lobby music</t>
  </si>
  <si>
    <t xml:space="preserve">https://audio.jukehost.co.uk/LQe1EQEPoLSTupawg5G1OOEZyIPhC84f</t>
  </si>
  <si>
    <t xml:space="preserve">Forza</t>
  </si>
  <si>
    <t xml:space="preserve">Forza Horizon 3</t>
  </si>
  <si>
    <t xml:space="preserve">Ingrid Is A Hybrid</t>
  </si>
  <si>
    <t xml:space="preserve">Forza Horizon 4</t>
  </si>
  <si>
    <t xml:space="preserve">A Moment Apart</t>
  </si>
  <si>
    <t xml:space="preserve">https://audio.jukehost.co.uk/1oJbITPRoPZrzqBwIzY49WCCoUtgLWbm</t>
  </si>
  <si>
    <t xml:space="preserve">Little of Your Love (Remix)</t>
  </si>
  <si>
    <t xml:space="preserve">Forza Horizon 5</t>
  </si>
  <si>
    <t xml:space="preserve">Encanto</t>
  </si>
  <si>
    <t xml:space="preserve">https://audio.jukehost.co.uk/dBksx24h5gxaudHTpmnyWCCjC6NGwh7v</t>
  </si>
  <si>
    <t xml:space="preserve">Freedom Planet</t>
  </si>
  <si>
    <t xml:space="preserve">Major Boss Battle</t>
  </si>
  <si>
    <t xml:space="preserve">Friday Night Funkin</t>
  </si>
  <si>
    <t xml:space="preserve">Bopeebo</t>
  </si>
  <si>
    <t xml:space="preserve">Dad Battle</t>
  </si>
  <si>
    <t xml:space="preserve">Fresh</t>
  </si>
  <si>
    <t xml:space="preserve">Spookeez</t>
  </si>
  <si>
    <t xml:space="preserve">Frostpunk</t>
  </si>
  <si>
    <t xml:space="preserve">Frostpunk 1</t>
  </si>
  <si>
    <t xml:space="preserve">Frostpunk's theme</t>
  </si>
  <si>
    <t xml:space="preserve">https://audio.jukehost.co.uk/ndbIDCYobymsQOJBIdoF7gADOiStwGE6</t>
  </si>
  <si>
    <t xml:space="preserve">Furi</t>
  </si>
  <si>
    <t xml:space="preserve">Wisdom of Rage</t>
  </si>
  <si>
    <t xml:space="preserve">https://audio.jukehost.co.uk/py4I0YvEuKQvFjqNTgkPC3nqeV3Ke5xq</t>
  </si>
  <si>
    <t xml:space="preserve">Galaxy Life</t>
  </si>
  <si>
    <t xml:space="preserve">https://audio.jukehost.co.uk/nefKPZ2znIsKAjWjcYRP2dM0DBmKdAdc</t>
  </si>
  <si>
    <t xml:space="preserve">Genshin impact</t>
  </si>
  <si>
    <t xml:space="preserve">Anthem of the Savannah</t>
  </si>
  <si>
    <t xml:space="preserve">https://audio.jukehost.co.uk/pYZkGxjbHYOAXjlriQPUvvAxCNa5b1hO</t>
  </si>
  <si>
    <t xml:space="preserve">Any Last Words</t>
  </si>
  <si>
    <t xml:space="preserve">Trailer Hu Tao</t>
  </si>
  <si>
    <t xml:space="preserve">Fin Histoire</t>
  </si>
  <si>
    <t xml:space="preserve">Fontaine</t>
  </si>
  <si>
    <t xml:space="preserve">Hustle and Bustle of Ormos</t>
  </si>
  <si>
    <t xml:space="preserve">https://audio.jukehost.co.uk/c3ekjEjZO2rsum8DguL0uBkyLbBvug0c</t>
  </si>
  <si>
    <t xml:space="preserve">La vaguelette</t>
  </si>
  <si>
    <t xml:space="preserve">https://audio.jukehost.co.uk/TeuFcWH5b97JfXPMfDSXASC3qNLi6ru9</t>
  </si>
  <si>
    <t xml:space="preserve">Requiem Resonantia</t>
  </si>
  <si>
    <t xml:space="preserve">https://audio.jukehost.co.uk/QeFXd55nsKV41UnBO6A9OU9rtXqCcJt5</t>
  </si>
  <si>
    <t xml:space="preserve">The Divine Damsel of Devastation</t>
  </si>
  <si>
    <t xml:space="preserve">https://audio.jukehost.co.uk/tmnYShhRbNJ37L5K9wx83yoFY3JCc5Jz</t>
  </si>
  <si>
    <t xml:space="preserve">Trailer Venti</t>
  </si>
  <si>
    <t xml:space="preserve">Geometry Dash</t>
  </si>
  <si>
    <t xml:space="preserve">Geometrical Dominator</t>
  </si>
  <si>
    <t xml:space="preserve">Shop2</t>
  </si>
  <si>
    <t xml:space="preserve">https://lambda.vgmtreasurechest.com/soundtracks/geometry-dash-android-ios-macos-windows-gamerip-2013/mrxkktnj/31.%20Shop2.mp3</t>
  </si>
  <si>
    <t xml:space="preserve">Stereo Madness</t>
  </si>
  <si>
    <t xml:space="preserve">https://lambda.vgmtreasurechest.com/soundtracks/geometry-dash-android-ios-macos-windows-gamerip-2013/czrmjkva/34.%20Stereo%20Madness.mp3</t>
  </si>
  <si>
    <t xml:space="preserve">Ghost of Tsushima</t>
  </si>
  <si>
    <t xml:space="preserve">God of War</t>
  </si>
  <si>
    <t xml:space="preserve">Gran Turismo</t>
  </si>
  <si>
    <t xml:space="preserve">GT3 A-spec</t>
  </si>
  <si>
    <t xml:space="preserve">Splitstream</t>
  </si>
  <si>
    <t xml:space="preserve">(arcade/menu)</t>
  </si>
  <si>
    <t xml:space="preserve">https://vgmtreasurechest.com/soundtracks/gran-turismo-3-a-spec-original-game-sound-track/adolmeji/07.%20Slipstream.mp3</t>
  </si>
  <si>
    <t xml:space="preserve">Grand Theft Auto</t>
  </si>
  <si>
    <t xml:space="preserve">GTA 5</t>
  </si>
  <si>
    <t xml:space="preserve">Welcome to Los Santos</t>
  </si>
  <si>
    <t xml:space="preserve">https://lambda.vgmtreasurechest.com/soundtracks/the-best-video-game-music-vol.2/wtchcoqk/06.%20Grand%20Theft%20Auto%20V%20%282013%29%20-%20Welcome%20to%20Los%20Santos%20-%20Main%20Theme.mp3</t>
  </si>
  <si>
    <t xml:space="preserve">GTA 6</t>
  </si>
  <si>
    <t xml:space="preserve">Gravity Rush</t>
  </si>
  <si>
    <t xml:space="preserve">Grime</t>
  </si>
  <si>
    <t xml:space="preserve">Gris</t>
  </si>
  <si>
    <t xml:space="preserve">Chiasm</t>
  </si>
  <si>
    <t xml:space="preserve">https://audio.jukehost.co.uk/BWpDlUTWATAQmJjhtRdQ802pKbc1PtuB</t>
  </si>
  <si>
    <t xml:space="preserve">Descent</t>
  </si>
  <si>
    <t xml:space="preserve">https://audio.jukehost.co.uk/yDK9uHTt463ndJocXfG7duSL4G3e3tIo</t>
  </si>
  <si>
    <t xml:space="preserve">Gris pt.2</t>
  </si>
  <si>
    <t xml:space="preserve">https://audio.jukehost.co.uk/II3oPKdsHTGKenxhTN7hZFJokkk5pQQB</t>
  </si>
  <si>
    <t xml:space="preserve">Karasu</t>
  </si>
  <si>
    <t xml:space="preserve">https://audio.jukehost.co.uk/JN2g3qei9j7sE7fyX7gcjGtgWiPNOzah</t>
  </si>
  <si>
    <t xml:space="preserve">Mae</t>
  </si>
  <si>
    <t xml:space="preserve">https://audio.jukehost.co.uk/tTQJqGa0Pv7aLtL5BPFASV3bV8v9GGMf</t>
  </si>
  <si>
    <t xml:space="preserve">Tobu</t>
  </si>
  <si>
    <t xml:space="preserve">https://audio.jukehost.co.uk/DGhAIQRP1gzqGWlnyK7IyLXqWXNz9fYR</t>
  </si>
  <si>
    <t xml:space="preserve">Unagi</t>
  </si>
  <si>
    <t xml:space="preserve">https://audio.jukehost.co.uk/bPJaqOz1TSY0TliztHLXCWjY2hh6NGbM</t>
  </si>
  <si>
    <t xml:space="preserve">Guacamelee</t>
  </si>
  <si>
    <t xml:space="preserve">Guilty Gear</t>
  </si>
  <si>
    <t xml:space="preserve">Strive</t>
  </si>
  <si>
    <t xml:space="preserve">Let me carve your way</t>
  </si>
  <si>
    <t xml:space="preserve">https://audio.jukehost.co.uk/8s7dumqdHNXBjztXJU4VbbGzEbjxVbxB</t>
  </si>
  <si>
    <t xml:space="preserve">Smell of the Game</t>
  </si>
  <si>
    <t xml:space="preserve">https://audio.jukehost.co.uk/eJ6DL1R18BrtIdyvYqK0MoIlbnti6H0g</t>
  </si>
  <si>
    <t xml:space="preserve">The Roar of the Spark</t>
  </si>
  <si>
    <t xml:space="preserve">https://audio.jukehost.co.uk/BTIa33AGMmbWY2AqfOQqnm7FWU1LYbvc</t>
  </si>
  <si>
    <t xml:space="preserve">Xrd</t>
  </si>
  <si>
    <t xml:space="preserve">Django django</t>
  </si>
  <si>
    <t xml:space="preserve">Menu</t>
  </si>
  <si>
    <t xml:space="preserve">https://downloads.khinsider.com/game-soundtracks/album/guilty-gear-xrd-sign/3-08.%2520Django%2520django.mp3</t>
  </si>
  <si>
    <t xml:space="preserve">https://nu.vgmtreasurechest.com/soundtracks/guilty-gear-xrd-sign/weiewsbc/3-08.%20Django%20django.mp3</t>
  </si>
  <si>
    <t xml:space="preserve">Hades</t>
  </si>
  <si>
    <t xml:space="preserve">Lament of Orpheus</t>
  </si>
  <si>
    <t xml:space="preserve">https://audio.jukehost.co.uk/h2tTeoHikGdmBQYVXyTLKV6gPxDXrFTC</t>
  </si>
  <si>
    <t xml:space="preserve">No escape</t>
  </si>
  <si>
    <t xml:space="preserve">https://audio.jukehost.co.uk/A9VWMhXeVG3h56RfzVIB3dARdI6bwkAO</t>
  </si>
  <si>
    <t xml:space="preserve">Out of tartarus</t>
  </si>
  <si>
    <t xml:space="preserve">https://audio.jukehost.co.uk/pNJcTg95KWC6D03Nybj0AZ2u2ftF811Y</t>
  </si>
  <si>
    <t xml:space="preserve">The painful way</t>
  </si>
  <si>
    <t xml:space="preserve">https://audio.jukehost.co.uk/aYj1xx7KBgN6goHOtFcB2FG1GCDDRO5T</t>
  </si>
  <si>
    <t xml:space="preserve">Hades 2</t>
  </si>
  <si>
    <t xml:space="preserve">Doomed city</t>
  </si>
  <si>
    <t xml:space="preserve">https://audio.jukehost.co.uk/IfzO3P0UXf2oSvB7C1jVsulKe4aGL8Mg</t>
  </si>
  <si>
    <t xml:space="preserve">Half Life</t>
  </si>
  <si>
    <t xml:space="preserve">HL2</t>
  </si>
  <si>
    <t xml:space="preserve">Hazardous Environments</t>
  </si>
  <si>
    <t xml:space="preserve">Halo</t>
  </si>
  <si>
    <t xml:space="preserve">https://audio.jukehost.co.uk/hfkknjVJTy87cs5dwoJdpCHB9a3c2A1q</t>
  </si>
  <si>
    <t xml:space="preserve">Harry Potter</t>
  </si>
  <si>
    <t xml:space="preserve">Harry Potter and the Philosopher's Stone</t>
  </si>
  <si>
    <t xml:space="preserve">Battle</t>
  </si>
  <si>
    <t xml:space="preserve">Harry Potter 1 GBC</t>
  </si>
  <si>
    <t xml:space="preserve">https://www.youtube.com/watch?v=CFKgmZC0o_E&amp;list=PLFF188C45BD627028&amp;index=5</t>
  </si>
  <si>
    <t xml:space="preserve">Boss Battle</t>
  </si>
  <si>
    <t xml:space="preserve">https://www.youtube.com/watch?v=_V9MlehRXag&amp;list=PLFF188C45BD627028&amp;index=6</t>
  </si>
  <si>
    <t xml:space="preserve">Forbidden Corridor</t>
  </si>
  <si>
    <t xml:space="preserve">https://www.youtube.com/watch?v=1nlxzxnE2CE&amp;list=PLFF188C45BD627028&amp;index=4</t>
  </si>
  <si>
    <t xml:space="preserve">Hogwarts</t>
  </si>
  <si>
    <t xml:space="preserve">https://www.youtube.com/watch?v=TgQFTVsBjjY&amp;list=PLFF188C45BD627028&amp;index=12</t>
  </si>
  <si>
    <t xml:space="preserve">Hogwarts Grounds</t>
  </si>
  <si>
    <t xml:space="preserve">https://www.youtube.com/watch?v=U4mQX_3synQ&amp;list=PLFF188C45BD627028&amp;index=16</t>
  </si>
  <si>
    <t xml:space="preserve">https://www.youtube.com/watch?v=mdLrUo_O52E&amp;list=PLFF188C45BD627028</t>
  </si>
  <si>
    <t xml:space="preserve">Haven</t>
  </si>
  <si>
    <t xml:space="preserve">Move It Muffin!</t>
  </si>
  <si>
    <t xml:space="preserve">https://audio.jukehost.co.uk/nzdho1ZOgkCDBgy2i16jIIGtn2kzkXHb</t>
  </si>
  <si>
    <t xml:space="preserve">Helltaker</t>
  </si>
  <si>
    <t xml:space="preserve">Luminescent</t>
  </si>
  <si>
    <t xml:space="preserve">https://audio.jukehost.co.uk/nLvHYO54FxMUZE3RJGUD9eq3aXQ6Oxq8</t>
  </si>
  <si>
    <t xml:space="preserve">Titanium</t>
  </si>
  <si>
    <t xml:space="preserve">https://audio.jukehost.co.uk/TgnxGeAmzRDdiL5XuXbgL5EXVglnjWFq</t>
  </si>
  <si>
    <t xml:space="preserve">Vitality</t>
  </si>
  <si>
    <t xml:space="preserve">https://audio.jukehost.co.uk/bmWQwMcfXFTmBF4JjF43IPWjhFsD4JLj</t>
  </si>
  <si>
    <t xml:space="preserve">Henry Stickmin</t>
  </si>
  <si>
    <t xml:space="preserve">Henry Stickmin : Completing the mission</t>
  </si>
  <si>
    <t xml:space="preserve">https://lambda.vgmtreasurechest.com/soundtracks/the-henry-stickmin-collection-gamerip/ppnfqfohon/Completing%20The%20Mission%20-%20Theme.mp3</t>
  </si>
  <si>
    <t xml:space="preserve">Henry Stickmin : Escaping the prison</t>
  </si>
  <si>
    <t xml:space="preserve">https://lambda.vgmtreasurechest.com/soundtracks/the-henry-stickmin-collection-gamerip/ynimsavfhh/Escaping%20The%20Prison%20-%20Theme.mp3</t>
  </si>
  <si>
    <t xml:space="preserve">Henry Stickmin : Fleeing the complex</t>
  </si>
  <si>
    <t xml:space="preserve">https://nu.vgmtreasurechest.com/soundtracks/fleeing-the-complex-online-gamerip-2016/wgtxhtwb/1.%20Main%20Menu%20-%20sound%20321%20%28over%20to%20down%20%29.mp3</t>
  </si>
  <si>
    <t xml:space="preserve">Henry Stickmin : Infiltrating the airship</t>
  </si>
  <si>
    <t xml:space="preserve">https://lambda.vgmtreasurechest.com/soundtracks/the-henry-stickmin-collection-gamerip/dfnyqbtvne/Infiltrating%20The%20Airship%20-%20Theme.mp3</t>
  </si>
  <si>
    <t xml:space="preserve">Henry Stickmin Collection</t>
  </si>
  <si>
    <t xml:space="preserve">Main Menu Theme</t>
  </si>
  <si>
    <t xml:space="preserve">https://lambda.vgmtreasurechest.com/soundtracks/the-henry-stickmin-collection-gamerip/aiwhjixduo/Title%20Theme.mp3</t>
  </si>
  <si>
    <t xml:space="preserve">Hogwarts Legacy</t>
  </si>
  <si>
    <t xml:space="preserve">Hollow Knight</t>
  </si>
  <si>
    <t xml:space="preserve">City of tears</t>
  </si>
  <si>
    <t xml:space="preserve">Cornifer Hum</t>
  </si>
  <si>
    <t xml:space="preserve">CrossRoads</t>
  </si>
  <si>
    <t xml:space="preserve">Crystal Peak</t>
  </si>
  <si>
    <t xml:space="preserve">DirtMouth</t>
  </si>
  <si>
    <t xml:space="preserve">Enter Hallownest</t>
  </si>
  <si>
    <t xml:space="preserve">False Knight</t>
  </si>
  <si>
    <t xml:space="preserve">Fungal Wastes</t>
  </si>
  <si>
    <t xml:space="preserve">Gods and Glory</t>
  </si>
  <si>
    <t xml:space="preserve">https://audio.jukehost.co.uk/tUczzwo4CHp4lvwWOeltgLN6b0dDFd5t</t>
  </si>
  <si>
    <t xml:space="preserve">Greenpath</t>
  </si>
  <si>
    <t xml:space="preserve">Hornet</t>
  </si>
  <si>
    <t xml:space="preserve">Queen's Gardens</t>
  </si>
  <si>
    <t xml:space="preserve">Radiance</t>
  </si>
  <si>
    <t xml:space="preserve">Sealed Vessel</t>
  </si>
  <si>
    <t xml:space="preserve">Sisters of Battle</t>
  </si>
  <si>
    <t xml:space="preserve">https://audio.jukehost.co.uk/IpjnbUHPs4WjS9Vmyjj8q3DzpB6oPHrM</t>
  </si>
  <si>
    <t xml:space="preserve">Soul Sanctum</t>
  </si>
  <si>
    <t xml:space="preserve">The Grimm Troupe</t>
  </si>
  <si>
    <t xml:space="preserve">https://audio.jukehost.co.uk/lhodRZM7zhPV5MLBPgZcUb5N39X29xO2</t>
  </si>
  <si>
    <t xml:space="preserve">White Palace</t>
  </si>
  <si>
    <t xml:space="preserve">Silksong </t>
  </si>
  <si>
    <t xml:space="preserve">Bonebottom</t>
  </si>
  <si>
    <t xml:space="preserve">https://audio.jukehost.co.uk/LvNRkE5Iqw4al3WZ1KqPu0DmVSqcoKbV</t>
  </si>
  <si>
    <t xml:space="preserve">Lace</t>
  </si>
  <si>
    <t xml:space="preserve">https://audio.jukehost.co.uk/qepMpRJIepQitFWkad7jt1vTyDO1yrkT</t>
  </si>
  <si>
    <t xml:space="preserve">Honkai</t>
  </si>
  <si>
    <t xml:space="preserve">Honkai Star Rail</t>
  </si>
  <si>
    <t xml:space="preserve">A Dramatic Irony</t>
  </si>
  <si>
    <t xml:space="preserve">https://audio.jukehost.co.uk/s0oxWmk2rjZfhshmonG6SUAQ5RaAhbZC</t>
  </si>
  <si>
    <t xml:space="preserve">Interstellar Journey</t>
  </si>
  <si>
    <t xml:space="preserve">https://audio.jukehost.co.uk/UnqlS0AU9cNew14kQrOKPE61BEiGk08i</t>
  </si>
  <si>
    <t xml:space="preserve">Lullaby</t>
  </si>
  <si>
    <t xml:space="preserve">https://audio.jukehost.co.uk/9uDTAEdKDrEWEzMHoURcVvyy3x1UrMmv</t>
  </si>
  <si>
    <t xml:space="preserve">Monodrama</t>
  </si>
  <si>
    <t xml:space="preserve">https://audio.jukehost.co.uk/r3SLejJ3tc5P7eRVqpq70XZi11voLXw1</t>
  </si>
  <si>
    <t xml:space="preserve">Samudrartha</t>
  </si>
  <si>
    <t xml:space="preserve">https://audio.jukehost.co.uk/NQ2FUD8ml9FQBjlAWReW27VFqGMv7JRR</t>
  </si>
  <si>
    <t xml:space="preserve">Sway to my beat in cosmos</t>
  </si>
  <si>
    <t xml:space="preserve">https://audio.jukehost.co.uk/VS4GQfGRse4lzXauj9AQYYHghrUqQNl7</t>
  </si>
  <si>
    <t xml:space="preserve">Take The Journey</t>
  </si>
  <si>
    <t xml:space="preserve">https://audio.jukehost.co.uk/YeVxEWfkF6RBRUHLcXjA5krByDv1CwuZ</t>
  </si>
  <si>
    <t xml:space="preserve">Wildfire</t>
  </si>
  <si>
    <t xml:space="preserve">https://audio.jukehost.co.uk/iLtkswwqmOVCKS3MDxgDpIlnDdte0Iza</t>
  </si>
  <si>
    <t xml:space="preserve">Horizon</t>
  </si>
  <si>
    <t xml:space="preserve">Horizon Zero Dawn</t>
  </si>
  <si>
    <t xml:space="preserve">Aloy's Theme</t>
  </si>
  <si>
    <t xml:space="preserve">https://audio.jukehost.co.uk/dKfgbJQjS0G7oOBeLAH6wKnCkt9ZMIsX</t>
  </si>
  <si>
    <t xml:space="preserve">Hotline Miami</t>
  </si>
  <si>
    <t xml:space="preserve">Crystals</t>
  </si>
  <si>
    <t xml:space="preserve">Miami Disco</t>
  </si>
  <si>
    <t xml:space="preserve">https://audio.jukehost.co.uk/BaZL7PdYUghpvPmXHlhksiw4jbOw7Tvk</t>
  </si>
  <si>
    <t xml:space="preserve">Hotline Miami 2</t>
  </si>
  <si>
    <t xml:space="preserve">In the face of evil</t>
  </si>
  <si>
    <t xml:space="preserve">Hue</t>
  </si>
  <si>
    <t xml:space="preserve">Dearest Hue</t>
  </si>
  <si>
    <t xml:space="preserve">https://audio.jukehost.co.uk/kL5fYQ4XrjfaHXfk7PHcLUfo5iIHhEXh</t>
  </si>
  <si>
    <t xml:space="preserve">Human Fall Flat</t>
  </si>
  <si>
    <t xml:space="preserve">Labour</t>
  </si>
  <si>
    <t xml:space="preserve">Hunt Showdown</t>
  </si>
  <si>
    <t xml:space="preserve">Rise up dead man</t>
  </si>
  <si>
    <t xml:space="preserve">https://audio.jukehost.co.uk/otUGRBSwUGT8BpBwcTuxpg2Zf6TNdHFv</t>
  </si>
  <si>
    <t xml:space="preserve">Hyper Light Drifter</t>
  </si>
  <si>
    <t xml:space="preserve">Vignette Panacea</t>
  </si>
  <si>
    <t xml:space="preserve">Immortals Fenyx Rising</t>
  </si>
  <si>
    <t xml:space="preserve">Heart of the hero</t>
  </si>
  <si>
    <t xml:space="preserve">https://downloads.khinsider.com/game-soundtracks/album/immortals-fenyx-rising-2020/01.%2520Heart%2520of%2520the%2520Hero.mp3</t>
  </si>
  <si>
    <t xml:space="preserve">https://jetta.vgmtreasurechest.com/soundtracks/immortals-fenyx-rising-2020/lpphpbpt/01.%20Heart%20of%20the%20Hero.mp3</t>
  </si>
  <si>
    <t xml:space="preserve">Inscryption</t>
  </si>
  <si>
    <t xml:space="preserve">The Trapper</t>
  </si>
  <si>
    <t xml:space="preserve">https://audio.jukehost.co.uk/I1ViwRJYsO4HmWXFJhu0rar13lEhBDtF</t>
  </si>
  <si>
    <t xml:space="preserve">Into the Breach</t>
  </si>
  <si>
    <t xml:space="preserve">Pinnacle Robotics</t>
  </si>
  <si>
    <t xml:space="preserve">Ixion</t>
  </si>
  <si>
    <t xml:space="preserve">Vanir's legacy</t>
  </si>
  <si>
    <t xml:space="preserve">https://audio.jukehost.co.uk/4pQZwTC2W6iGLPOLwFq6sLF5LbtDjf6y</t>
  </si>
  <si>
    <t xml:space="preserve">Jak and Daxter</t>
  </si>
  <si>
    <t xml:space="preserve">Jak II</t>
  </si>
  <si>
    <t xml:space="preserve">Mountain temple</t>
  </si>
  <si>
    <t xml:space="preserve">https://audio.jukehost.co.uk/6REL0sClnFvWbATmEUR426IjvhMBNcfu</t>
  </si>
  <si>
    <t xml:space="preserve">Jet Set Radio</t>
  </si>
  <si>
    <t xml:space="preserve">Jet Set Radio Future</t>
  </si>
  <si>
    <t xml:space="preserve">Funky Dealer</t>
  </si>
  <si>
    <t xml:space="preserve">https://audio.jukehost.co.uk/AD93efon6wJs401BQpKM19c0TcHb7svQ</t>
  </si>
  <si>
    <t xml:space="preserve">Like it like this like that</t>
  </si>
  <si>
    <t xml:space="preserve">https://audio.jukehost.co.uk/B9V9gEsn4nuJVieooQCJYsKmHwuX5MjV</t>
  </si>
  <si>
    <t xml:space="preserve">The concept of love</t>
  </si>
  <si>
    <t xml:space="preserve">https://audio.jukehost.co.uk/kQgPpdWMeiwQqDPz8PmcWWFR5kgnSigG</t>
  </si>
  <si>
    <t xml:space="preserve">Jetpack Joyride</t>
  </si>
  <si>
    <t xml:space="preserve">https://downloads.khinsider.com/game-soundtracks/album/jetpack-joyride-original-game-soundtrack-2021-android-ios/01.%2520Jetpack%2520Joyride%2520Main%2520Theme.mp3</t>
  </si>
  <si>
    <t xml:space="preserve">https://lambda.vgmtreasurechest.com/soundtracks/jetpack-joyride-original-game-soundtrack-2021-android-ios/wpiuczqf/01.%20Jetpack%20Joyride%20Main%20Theme.mp3</t>
  </si>
  <si>
    <t xml:space="preserve">Journey</t>
  </si>
  <si>
    <t xml:space="preserve">I was Born for This</t>
  </si>
  <si>
    <t xml:space="preserve">https://lambda.vgmtreasurechest.com/soundtracks/journey/ryqmjldh/18%20I%20was%20Born%20for%20This.mp3</t>
  </si>
  <si>
    <t xml:space="preserve">Nascence</t>
  </si>
  <si>
    <t xml:space="preserve">https://audio.jukehost.co.uk/La2CxlYQONTekAQgYuwwACl2fgZaNkDp</t>
  </si>
  <si>
    <t xml:space="preserve">Jusant</t>
  </si>
  <si>
    <t xml:space="preserve">9C+</t>
  </si>
  <si>
    <t xml:space="preserve">https://audio.jukehost.co.uk/HApAgbE1S8qRZSsksyclrGUnlYP9vUkp</t>
  </si>
  <si>
    <t xml:space="preserve">Ascension</t>
  </si>
  <si>
    <t xml:space="preserve">https://audio.jukehost.co.uk/YMfnlCh3ypb5U0b0ZVuVpFoVgIa6n4as</t>
  </si>
  <si>
    <t xml:space="preserve">Ballast</t>
  </si>
  <si>
    <t xml:space="preserve">https://audio.jukehost.co.uk/5dv0HkBMDxPma2c0LV7xCfV73XB0fnIC</t>
  </si>
  <si>
    <t xml:space="preserve">Hydrochorie</t>
  </si>
  <si>
    <t xml:space="preserve">https://audio.jukehost.co.uk/dSLaoFCDd6yLEcPWdf8KXHxsFOjd3Qod</t>
  </si>
  <si>
    <t xml:space="preserve">Mirage</t>
  </si>
  <si>
    <t xml:space="preserve">https://audio.jukehost.co.uk/DyuKFDEo02LovE23EBf937mhfqtjgZDh</t>
  </si>
  <si>
    <t xml:space="preserve">Réservoir</t>
  </si>
  <si>
    <t xml:space="preserve">https://audio.jukehost.co.uk/EcPvVIqrq0a0PzS46TWSRquPzLDVjsFA</t>
  </si>
  <si>
    <t xml:space="preserve">Sémaphore</t>
  </si>
  <si>
    <t xml:space="preserve">https://audio.jukehost.co.uk/Y0fwyXvE2LZJxJqLCfW320Ayy1tU5Ago</t>
  </si>
  <si>
    <t xml:space="preserve">Syzygie</t>
  </si>
  <si>
    <t xml:space="preserve">https://audio.jukehost.co.uk/6NJNKJmyhgA4NbCTZEKtgTXSRDxgyH3s</t>
  </si>
  <si>
    <t xml:space="preserve">Vives-eaux</t>
  </si>
  <si>
    <t xml:space="preserve">https://audio.jukehost.co.uk/0ltsrZt9rbMf1Ohvgl3ToqoH3KvKNKen</t>
  </si>
  <si>
    <t xml:space="preserve">Katamari Damacy</t>
  </si>
  <si>
    <t xml:space="preserve">Katamari on the Rocks</t>
  </si>
  <si>
    <t xml:space="preserve">https://nu.vgmtreasurechest.com/soundtracks/katamari-damacy-ps2-gamerip-2004/nbznkgyxzi/02%20-%20Yu%20Miyake%20%26%20Masayuki%20Tanaka%20-%20Katamari%20On%20The%20Rock%20%28Main%20Theme%29.mp3</t>
  </si>
  <si>
    <t xml:space="preserve">Kingdom Hearts</t>
  </si>
  <si>
    <t xml:space="preserve">358/2 days</t>
  </si>
  <si>
    <t xml:space="preserve">Musique pour la tristesse de Xion</t>
  </si>
  <si>
    <t xml:space="preserve">https://audio.jukehost.co.uk/poQIDAheL5lPLdOdI7RgWOAOkSZYLbqf</t>
  </si>
  <si>
    <t xml:space="preserve">Vector to the heavens</t>
  </si>
  <si>
    <t xml:space="preserve">https://nu.vgmtreasurechest.com/soundtracks/kingdom-hearts-hd-1.5-2.5-remix-original-soundtrack-box-2014/kymoloic/3-11%20Vector%20to%20the%20Heavens.mp3</t>
  </si>
  <si>
    <t xml:space="preserve">Birth By Sleep</t>
  </si>
  <si>
    <t xml:space="preserve">Fate of the Unknown</t>
  </si>
  <si>
    <t xml:space="preserve">https://audio.jukehost.co.uk/IRN9LUCFFuapG85ZmPYORLm8kqQZhtWd</t>
  </si>
  <si>
    <t xml:space="preserve">Ventus</t>
  </si>
  <si>
    <t xml:space="preserve">https://audio.jukehost.co.uk/lMxsQGMpuhbMmaDs4r3HjEKfqIbvCUeC</t>
  </si>
  <si>
    <t xml:space="preserve">Dream Drop Distance</t>
  </si>
  <si>
    <t xml:space="preserve">L'impeto Oscuro</t>
  </si>
  <si>
    <t xml:space="preserve">https://audio.jukehost.co.uk/IZiYTxUEX9aAiwIxygD3wn27iOO8xhep</t>
  </si>
  <si>
    <t xml:space="preserve">Link to All</t>
  </si>
  <si>
    <t xml:space="preserve">https://audio.jukehost.co.uk/VKsAxPVe8KXVbZnTWRkbAyTUGSDT4EVw</t>
  </si>
  <si>
    <t xml:space="preserve">KH</t>
  </si>
  <si>
    <t xml:space="preserve">Always on my mind</t>
  </si>
  <si>
    <t xml:space="preserve">https://audio.jukehost.co.uk/R08Th2C3frhi5imSjmPjEaAT1NmcF11O</t>
  </si>
  <si>
    <t xml:space="preserve">Forze Del Male</t>
  </si>
  <si>
    <t xml:space="preserve">https://audio.jukehost.co.uk/HQdvFjRad5f303XQSiTPMkhGvUjLA3rs</t>
  </si>
  <si>
    <t xml:space="preserve">Go for It</t>
  </si>
  <si>
    <t xml:space="preserve">https://audio.jukehost.co.uk/ShucIcM6Zmi39chV7fxV9AwMy5fRQPKK</t>
  </si>
  <si>
    <t xml:space="preserve">Kairi I</t>
  </si>
  <si>
    <t xml:space="preserve">https://audio.jukehost.co.uk/iqIEIhytoAOzl15OUvvDjdABrHsCKwnh</t>
  </si>
  <si>
    <t xml:space="preserve">Traverse Town</t>
  </si>
  <si>
    <t xml:space="preserve">https://audio.jukehost.co.uk/3FbOnfRs94DVdJ64npeagGh7AOKSJWJi</t>
  </si>
  <si>
    <t xml:space="preserve">KH 0.2 Birth by Sleep - A fragmentary Passage</t>
  </si>
  <si>
    <t xml:space="preserve">Simple and clean Ray of hope</t>
  </si>
  <si>
    <t xml:space="preserve">https://audio.jukehost.co.uk/dT2sFUdaqO0t6gZBXzpn5vPU1v1SWIn7</t>
  </si>
  <si>
    <t xml:space="preserve">KH II</t>
  </si>
  <si>
    <t xml:space="preserve">Cavern of Remembrance</t>
  </si>
  <si>
    <t xml:space="preserve">https://downloads.khinsider.com/game-soundtracks/album/kingdom-hearts-ii-final-mix-gamerip/fm%2520-%2520Cavern%2520of%2520Remembrance.mp3</t>
  </si>
  <si>
    <t xml:space="preserve">https://vgmtreasurechest.com/soundtracks/kingdom-hearts-ii-final-mix-gamerip/cwdccftb/fm%20-%20Cavern%20of%20Remembrance.mp3</t>
  </si>
  <si>
    <t xml:space="preserve">Darkness of the Unknown</t>
  </si>
  <si>
    <t xml:space="preserve">https://audio.jukehost.co.uk/9LZKjNImse6S2NcgNBRGalR1DbjP2wB4</t>
  </si>
  <si>
    <t xml:space="preserve">Friends in my heart</t>
  </si>
  <si>
    <t xml:space="preserve">https://audio.jukehost.co.uk/iJrw6Got3aZawqEJgaoWWMpGn4oI7b68</t>
  </si>
  <si>
    <t xml:space="preserve">Missing You</t>
  </si>
  <si>
    <t xml:space="preserve">https://audio.jukehost.co.uk/w2M0gsmGbnSMpJHOsG8qAKQ5JrJylwrX</t>
  </si>
  <si>
    <t xml:space="preserve">Rage Awakened</t>
  </si>
  <si>
    <t xml:space="preserve">https://audio.jukehost.co.uk/c6jkp2QJNI0QzGfhFPwrmXpw2RHya9xI</t>
  </si>
  <si>
    <t xml:space="preserve">Sanctuary</t>
  </si>
  <si>
    <t xml:space="preserve">https://audio.jukehost.co.uk/Uz3BB4fZ8FoGMh64gyAuYAxSLCsQarYf</t>
  </si>
  <si>
    <t xml:space="preserve">The 13th Struggle</t>
  </si>
  <si>
    <t xml:space="preserve">https://audio.jukehost.co.uk/5PoDes0LA46Xl7zxaaksYZJHyelkZube</t>
  </si>
  <si>
    <t xml:space="preserve">The Afternoon Streets</t>
  </si>
  <si>
    <t xml:space="preserve">https://audio.jukehost.co.uk/BuKzuw8YLGpQQrHFmG4nVIz6Aku5XzLz</t>
  </si>
  <si>
    <t xml:space="preserve">The Other Promise</t>
  </si>
  <si>
    <t xml:space="preserve">https://audio.jukehost.co.uk/j4MQNOMTdHnFBle6SSV4nSs2Bz6SWuhx</t>
  </si>
  <si>
    <t xml:space="preserve">KH III</t>
  </si>
  <si>
    <t xml:space="preserve">Dark domination</t>
  </si>
  <si>
    <t xml:space="preserve">https://audio.jukehost.co.uk/saRld7OFTohSZwB64irLOKTslJ5n43Q2</t>
  </si>
  <si>
    <t xml:space="preserve">Don't think twice (english)</t>
  </si>
  <si>
    <t xml:space="preserve">https://nu.vgmtreasurechest.com/soundtracks/kingdom-hearts-iii-gamerip/poxwpjdm/003.%20Don%27t%20Think%20Twice%20%28English%29.mp3</t>
  </si>
  <si>
    <t xml:space="preserve">Edge of existence</t>
  </si>
  <si>
    <t xml:space="preserve">Scala ad Caelum</t>
  </si>
  <si>
    <t xml:space="preserve">https://audio.jukehost.co.uk/5Hg4Ssar3VCKQ11zWIkfYWeByNi2SeZz</t>
  </si>
  <si>
    <t xml:space="preserve">Face my fears</t>
  </si>
  <si>
    <t xml:space="preserve">https://audio.jukehost.co.uk/NFS1OfgtHqTnpWRSBWTlZ0VgfX9qIxD4</t>
  </si>
  <si>
    <t xml:space="preserve">Forza Finale</t>
  </si>
  <si>
    <t xml:space="preserve">Oscurità di Xehanort</t>
  </si>
  <si>
    <t xml:space="preserve">https://audio.jukehost.co.uk/jy7zpL2YwGJIiZhnPBKyN2bVJsvMwu0s</t>
  </si>
  <si>
    <t xml:space="preserve">Wave of darkness</t>
  </si>
  <si>
    <t xml:space="preserve">https://nu.vgmtreasurechest.com/soundtracks/kingdom-hearts-iii-gamerip/uumdfrsq/034.%20Wave%20of%20Darkness%20I.mp3</t>
  </si>
  <si>
    <t xml:space="preserve">Re:Chain of Memories</t>
  </si>
  <si>
    <t xml:space="preserve">Lord of the Castle</t>
  </si>
  <si>
    <t xml:space="preserve">https://audio.jukehost.co.uk/Vun8E7fYghJyb5Hpr23vCfgb96WE1l1J</t>
  </si>
  <si>
    <t xml:space="preserve">Naminé</t>
  </si>
  <si>
    <t xml:space="preserve">https://audio.jukehost.co.uk/dI9UQWkhlAp3V6QPUKbFTYRl4MoaYRPK</t>
  </si>
  <si>
    <t xml:space="preserve">Unchained χ</t>
  </si>
  <si>
    <t xml:space="preserve">Dearly beloved</t>
  </si>
  <si>
    <t xml:space="preserve">https://audio.jukehost.co.uk/vtW1J2ya2uZOBAPtKkzKc5vocWenN4Lu</t>
  </si>
  <si>
    <t xml:space="preserve">Kirby</t>
  </si>
  <si>
    <t xml:space="preserve">Kirby et le Monde Oublié</t>
  </si>
  <si>
    <t xml:space="preserve">Roar of Dedede</t>
  </si>
  <si>
    <t xml:space="preserve">Running through the New World</t>
  </si>
  <si>
    <t xml:space="preserve">Welcome to the New World !</t>
  </si>
  <si>
    <t xml:space="preserve">Kirby Super Star</t>
  </si>
  <si>
    <t xml:space="preserve">Gourmet Race</t>
  </si>
  <si>
    <t xml:space="preserve">Green Greens</t>
  </si>
  <si>
    <t xml:space="preserve">King Dedede's Theme</t>
  </si>
  <si>
    <t xml:space="preserve">Krosmaga</t>
  </si>
  <si>
    <t xml:space="preserve">Kunitsu Gami</t>
  </si>
  <si>
    <t xml:space="preserve">Battle theme</t>
  </si>
  <si>
    <t xml:space="preserve">https://audio.jukehost.co.uk/SbRAqLHh85Uuk8vRlNpJgnZLHL5ixCZt</t>
  </si>
  <si>
    <t xml:space="preserve">League of Legends</t>
  </si>
  <si>
    <t xml:space="preserve">Aphelios</t>
  </si>
  <si>
    <t xml:space="preserve">https://audio.jukehost.co.uk/2UTDpOspxHGAfL2vsZedpJk6fbcNDuHV</t>
  </si>
  <si>
    <t xml:space="preserve">Elise</t>
  </si>
  <si>
    <t xml:space="preserve">https://audio.jukehost.co.uk/ZdlPN1ywtlNLT8SjGGFg88lApcHBG244</t>
  </si>
  <si>
    <t xml:space="preserve">Astalon</t>
  </si>
  <si>
    <t xml:space="preserve">Astalon: Tears of the Earth</t>
  </si>
  <si>
    <t xml:space="preserve">Poisoned World</t>
  </si>
  <si>
    <t xml:space="preserve">https://downloads.khinsider.com/game-soundtracks/album/astalon-tears-of-the-earth-2021/1-01.%2520Poisoned%2520World.mp3</t>
  </si>
  <si>
    <t xml:space="preserve">The Cursed Tower</t>
  </si>
  <si>
    <t xml:space="preserve">https://downloads.khinsider.com/game-soundtracks/album/astalon-tears-of-the-earth-2021/1-05.%2520This%2520Cursed%2520Tower.mp3</t>
  </si>
  <si>
    <t xml:space="preserve">Hollow (Hate)</t>
  </si>
  <si>
    <t xml:space="preserve">https://downloads.khinsider.com/game-soundtracks/album/astalon-tears-of-the-earth-2021/1-07.%2520Hollow%2520%2528Hate%2529.mp3</t>
  </si>
  <si>
    <t xml:space="preserve">Arteries</t>
  </si>
  <si>
    <t xml:space="preserve">https://downloads.khinsider.com/game-soundtracks/album/astalon-tears-of-the-earth-2021/1-16.%2520Arteries.mp3</t>
  </si>
  <si>
    <t xml:space="preserve">The Apex</t>
  </si>
  <si>
    <t xml:space="preserve">https://downloads.khinsider.com/game-soundtracks/album/astalon-tears-of-the-earth-2021/1-28.%2520The%2520Apex.mp3</t>
  </si>
  <si>
    <t xml:space="preserve">Evelynn</t>
  </si>
  <si>
    <t xml:space="preserve">https://audio.jukehost.co.uk/Ap495a7OlpHtxtDRUqxKGbblBScdLGKJ</t>
  </si>
  <si>
    <t xml:space="preserve">Fiddlestick</t>
  </si>
  <si>
    <t xml:space="preserve">https://audio.jukehost.co.uk/rcbPDnOqt2dFMGHAWFEVJMGppPZhIKGe</t>
  </si>
  <si>
    <t xml:space="preserve">Fire to the fuse</t>
  </si>
  <si>
    <t xml:space="preserve">GET JINXED</t>
  </si>
  <si>
    <t xml:space="preserve">Gwen</t>
  </si>
  <si>
    <t xml:space="preserve">https://audio.jukehost.co.uk/1aoB3UvKge0Mr0o5jBPMfDxNapSOLler</t>
  </si>
  <si>
    <t xml:space="preserve">Jax</t>
  </si>
  <si>
    <t xml:space="preserve">https://audio.jukehost.co.uk/cvaMrU3NJCd2hHtk55rvRdIkXbqF9T4d</t>
  </si>
  <si>
    <t xml:space="preserve">Jhin</t>
  </si>
  <si>
    <t xml:space="preserve">https://audio.jukehost.co.uk/enDlwqgQPpuIfatf1zwKA040m9vjW8hV</t>
  </si>
  <si>
    <t xml:space="preserve">Kindred</t>
  </si>
  <si>
    <t xml:space="preserve">https://audio.jukehost.co.uk/gueI2in6dP2YQZ8Z9oNAn9iRvMlHHsTO</t>
  </si>
  <si>
    <t xml:space="preserve">Legends Never Die</t>
  </si>
  <si>
    <t xml:space="preserve">League of legends</t>
  </si>
  <si>
    <t xml:space="preserve">Light and Shadow</t>
  </si>
  <si>
    <t xml:space="preserve">Trailer star guardian 2019</t>
  </si>
  <si>
    <t xml:space="preserve">Old Champion Select</t>
  </si>
  <si>
    <t xml:space="preserve">Pantheon</t>
  </si>
  <si>
    <t xml:space="preserve">https://audio.jukehost.co.uk/0Vne8SdBJPT66nLC9lLcSF5yDZHpvkMp</t>
  </si>
  <si>
    <t xml:space="preserve">Piercing Light</t>
  </si>
  <si>
    <t xml:space="preserve">PsyOps</t>
  </si>
  <si>
    <t xml:space="preserve">https://audio.jukehost.co.uk/5AWTahNagBUxz3LKdkqsTHFoh8gLkTYQ</t>
  </si>
  <si>
    <t xml:space="preserve">Rell</t>
  </si>
  <si>
    <t xml:space="preserve">https://audio.jukehost.co.uk/DbfLFnGdGncoUGUtgseJo0fAZi8NooOr</t>
  </si>
  <si>
    <t xml:space="preserve">Samira</t>
  </si>
  <si>
    <t xml:space="preserve">https://audio.jukehost.co.uk/XUjkjFWy0cwzbb5XwgLeqhI7HUzyDgCN</t>
  </si>
  <si>
    <t xml:space="preserve">Swain theme</t>
  </si>
  <si>
    <t xml:space="preserve">https://audio.jukehost.co.uk/5umdLSkzicay2usVz3u4eWNZRd1TEyCF</t>
  </si>
  <si>
    <t xml:space="preserve">Taliyah</t>
  </si>
  <si>
    <t xml:space="preserve">https://audio.jukehost.co.uk/yTq9xJZ768ZWItqxbpOtoDPyxJOYg4V8</t>
  </si>
  <si>
    <t xml:space="preserve">The curse of the sad mummy</t>
  </si>
  <si>
    <t xml:space="preserve">https://audio.jukehost.co.uk/iYgMzSju0FAYhfi1MmtwKF4yZO69xiye</t>
  </si>
  <si>
    <t xml:space="preserve">Zeri</t>
  </si>
  <si>
    <t xml:space="preserve">https://audio.jukehost.co.uk/q1uRVByPbHXXmKt1nK08h3MxPJvqkrlr</t>
  </si>
  <si>
    <t xml:space="preserve">Ruined king</t>
  </si>
  <si>
    <t xml:space="preserve">Any coin on ya</t>
  </si>
  <si>
    <t xml:space="preserve">https://audio.jukehost.co.uk/SP1GayRMqEgeGE57KSjcpPdTmyPP9nDT</t>
  </si>
  <si>
    <t xml:space="preserve">Dark clouds on the horizon</t>
  </si>
  <si>
    <t xml:space="preserve">https://audio.jukehost.co.uk/q5KCrMbwXmlOOuxP1dGFilCNRKCVn0wj</t>
  </si>
  <si>
    <t xml:space="preserve">Devilfish on the line</t>
  </si>
  <si>
    <t xml:space="preserve">https://audio.jukehost.co.uk/eAhyba5yLLdHSJlknvFucadt28I3Mz65</t>
  </si>
  <si>
    <t xml:space="preserve">Down on the docks</t>
  </si>
  <si>
    <t xml:space="preserve">https://audio.jukehost.co.uk/6OrSwKJXgYQ8IC3v6E4nDQfwNnln19cc</t>
  </si>
  <si>
    <t xml:space="preserve">Good day for a fright</t>
  </si>
  <si>
    <t xml:space="preserve">https://audio.jukehost.co.uk/NNds8yuFbtiLz6yhPAq5duKFNo7clgiw</t>
  </si>
  <si>
    <t xml:space="preserve">Honor and thieves</t>
  </si>
  <si>
    <t xml:space="preserve">https://audio.jukehost.co.uk/iw4eBljXXjq4HEsjCsvIpayb4L86BFdK</t>
  </si>
  <si>
    <t xml:space="preserve">King's tragedy x champions call</t>
  </si>
  <si>
    <t xml:space="preserve">https://audio.jukehost.co.uk/Y7RdKJo2BIW4oGSSnUZ58cwPdansJooJ</t>
  </si>
  <si>
    <t xml:space="preserve">Rat town scramble</t>
  </si>
  <si>
    <t xml:space="preserve">https://audio.jukehost.co.uk/030D2DeNERO5ozp2Reseu2CwapYCoDn9</t>
  </si>
  <si>
    <t xml:space="preserve">Settling the score</t>
  </si>
  <si>
    <t xml:space="preserve">https://audio.jukehost.co.uk/xmoKJSHl4ZecuMw7NcnbILoXjUiC9Hq1</t>
  </si>
  <si>
    <t xml:space="preserve">Teamfight Tactics</t>
  </si>
  <si>
    <t xml:space="preserve">Maestro theme (remix rumble)</t>
  </si>
  <si>
    <t xml:space="preserve">https://audio.jukehost.co.uk/MYa5u63vlWyiH4cKkttchIefOVg79ugx</t>
  </si>
  <si>
    <t xml:space="preserve">Teamfight tactics</t>
  </si>
  <si>
    <t xml:space="preserve">Remix rumble</t>
  </si>
  <si>
    <t xml:space="preserve">https://audio.jukehost.co.uk/No9viqcZpfKJxejiIEdcSwohFPqaTMf2</t>
  </si>
  <si>
    <t xml:space="preserve">LEGO</t>
  </si>
  <si>
    <t xml:space="preserve">LEGO Battles</t>
  </si>
  <si>
    <t xml:space="preserve">LEGO Battles Ninjago</t>
  </si>
  <si>
    <t xml:space="preserve">Main theme 01</t>
  </si>
  <si>
    <t xml:space="preserve">Lego City Undercover</t>
  </si>
  <si>
    <t xml:space="preserve">LEGO star wars</t>
  </si>
  <si>
    <t xml:space="preserve">Cantina</t>
  </si>
  <si>
    <t xml:space="preserve">https://audio.jukehost.co.uk/FLIPhKAAiOaSKn2xhrP9IW5LyPtNQArR</t>
  </si>
  <si>
    <t xml:space="preserve">Lethal League Blaze</t>
  </si>
  <si>
    <t xml:space="preserve">AIN'T NOTHING LIKE A FUNKY BEAT</t>
  </si>
  <si>
    <t xml:space="preserve">https://audio.jukehost.co.uk/vfe2sYr82CA9aAQ80VfgWtPuqzEyKmxw</t>
  </si>
  <si>
    <t xml:space="preserve">Lorelei and the Laser Eyes</t>
  </si>
  <si>
    <t xml:space="preserve">Lost Ark</t>
  </si>
  <si>
    <t xml:space="preserve">Club Avenue</t>
  </si>
  <si>
    <t xml:space="preserve">https://downloads.khinsider.com/game-soundtracks/album/lost-ark-vol.2-in-game-track-2018/07.%2520Club%2520Avenue.mp3</t>
  </si>
  <si>
    <t xml:space="preserve">Luigi's Mansion</t>
  </si>
  <si>
    <t xml:space="preserve">E. Gadd's Lab</t>
  </si>
  <si>
    <t xml:space="preserve">Lab</t>
  </si>
  <si>
    <t xml:space="preserve">https://audio.jukehost.co.uk/YB4y7wUFp2kMTrUWcXageHqqsBUkJ9Q8</t>
  </si>
  <si>
    <t xml:space="preserve">Luigi's Mansion 2</t>
  </si>
  <si>
    <t xml:space="preserve">https://downloads.khinsider.com/game-soundtracks/album/luigi-s-mansion-dark-moon/01.%2520Title.mp3</t>
  </si>
  <si>
    <t xml:space="preserve">Luigi's Mansion 3</t>
  </si>
  <si>
    <t xml:space="preserve">https://audio.jukehost.co.uk/F2Pscjk8o5IWBUQ5tI6Wdh0rXJc0RZSc</t>
  </si>
  <si>
    <t xml:space="preserve">Mana</t>
  </si>
  <si>
    <t xml:space="preserve">Children of Mana</t>
  </si>
  <si>
    <t xml:space="preserve">Tower of the Flickering Prayer</t>
  </si>
  <si>
    <t xml:space="preserve">Heroes of Mana</t>
  </si>
  <si>
    <t xml:space="preserve">The Beast Kingdom</t>
  </si>
  <si>
    <t xml:space="preserve">Mario et Luigi</t>
  </si>
  <si>
    <t xml:space="preserve">Bowser's Inside Story</t>
  </si>
  <si>
    <t xml:space="preserve">Let's meet in a different forest</t>
  </si>
  <si>
    <t xml:space="preserve">Oki Doki</t>
  </si>
  <si>
    <t xml:space="preserve">The Grand Finale</t>
  </si>
  <si>
    <t xml:space="preserve">https://audio.jukehost.co.uk/I9lZW3VSyzMSNSon0qqH57pMEm4m2s9K</t>
  </si>
  <si>
    <t xml:space="preserve">To a new adventure</t>
  </si>
  <si>
    <t xml:space="preserve">Dream Team Bros.</t>
  </si>
  <si>
    <t xml:space="preserve">Château de Peach</t>
  </si>
  <si>
    <t xml:space="preserve">https://lambda.vgmtreasurechest.com/soundtracks/mario-and-luigi-dream-team/lwbpxsxi/16%20Peach%27s%20Castle%20Theme.mp3</t>
  </si>
  <si>
    <t xml:space="preserve">Parc de l'éveil</t>
  </si>
  <si>
    <t xml:space="preserve">https://lambda.vgmtreasurechest.com/soundtracks/mario-and-luigi-dream-team/yzbkvzkb/21%20Breezy%20Mushrise%20Park.mp3</t>
  </si>
  <si>
    <t xml:space="preserve">Title</t>
  </si>
  <si>
    <t xml:space="preserve">https://lambda.vgmtreasurechest.com/soundtracks/mario-and-luigi-dream-team/hdwwrwgs/01%20Your%20Dream%20Adventure%21.mp3</t>
  </si>
  <si>
    <t xml:space="preserve">Les frères du temps</t>
  </si>
  <si>
    <t xml:space="preserve">Volcan Thwomp</t>
  </si>
  <si>
    <t xml:space="preserve">https://nu.vgmtreasurechest.com/soundtracks/mario-luigi-partners-in-time-arrangement-ost-2018/mmxcsged/20.%20Thwomp%20Volcano.mp3</t>
  </si>
  <si>
    <t xml:space="preserve">Mario et Sonic aux JO</t>
  </si>
  <si>
    <t xml:space="preserve">Mario et Sonic aux JO Hiver</t>
  </si>
  <si>
    <t xml:space="preserve">https://audio.jukehost.co.uk/xD3qGjhnFIDTdMz5QH3rZ3itJ8SgGBIl</t>
  </si>
  <si>
    <t xml:space="preserve">https://audio.jukehost.co.uk/faGRubEtmcx4Q6Utv0aeVhRiuNJARN4W</t>
  </si>
  <si>
    <t xml:space="preserve">Mario et Sonic aux JO Londres 2012</t>
  </si>
  <si>
    <t xml:space="preserve">https://audio.jukehost.co.uk/bJLRxi1WuAdnFMw0L5E1jv7qhLQ0mrMN</t>
  </si>
  <si>
    <t xml:space="preserve">Mario Kart</t>
  </si>
  <si>
    <t xml:space="preserve">Mario Kart 8 Deluxe</t>
  </si>
  <si>
    <t xml:space="preserve">Champidrome</t>
  </si>
  <si>
    <t xml:space="preserve">Circuit Mario</t>
  </si>
  <si>
    <t xml:space="preserve">https://audio.jukehost.co.uk/PUP5r3g55LJbCav2FeBsdaPOT64IMSKY</t>
  </si>
  <si>
    <t xml:space="preserve">Selection Screen</t>
  </si>
  <si>
    <t xml:space="preserve">Shy Guy Falls</t>
  </si>
  <si>
    <t xml:space="preserve">https://audio.jukehost.co.uk/5zxPWMcwklDx5JP5NrDRA54QctVpUpSq</t>
  </si>
  <si>
    <t xml:space="preserve">Sunshine Airport</t>
  </si>
  <si>
    <t xml:space="preserve">https://audio.jukehost.co.uk/NUTOFAH9S6fYXwlIxgWw0jlQ8obIcbPR</t>
  </si>
  <si>
    <t xml:space="preserve">Sweet Sweet Canyon</t>
  </si>
  <si>
    <t xml:space="preserve">https://audio.jukehost.co.uk/nVI3I5cdGc0j3yhFBiHmZeMGmr3KX2tI</t>
  </si>
  <si>
    <t xml:space="preserve">Water Park</t>
  </si>
  <si>
    <t xml:space="preserve">https://audio.jukehost.co.uk/NxL9JzvR7ozAhWAMCirIRyF1J3UiWLGM</t>
  </si>
  <si>
    <t xml:space="preserve">Mario Kart DS</t>
  </si>
  <si>
    <t xml:space="preserve">Delfino Square</t>
  </si>
  <si>
    <t xml:space="preserve">https://audio.jukehost.co.uk/MBg3DO40ZHJZ5wnMsUt0LsW2PDG6G8v6</t>
  </si>
  <si>
    <t xml:space="preserve">https://audio.jukehost.co.uk/lBoLTZZ5pM9tPu9HlKNHu3RYOkvB28in</t>
  </si>
  <si>
    <t xml:space="preserve">https://audio.jukehost.co.uk/BgcQRq2X2ulEeDz0u21frIgwfDyoLKT4</t>
  </si>
  <si>
    <t xml:space="preserve">Mario Circuit</t>
  </si>
  <si>
    <t xml:space="preserve">https://audio.jukehost.co.uk/JN33heZKJN61RMKNWisMlm8Uvz8puVVB</t>
  </si>
  <si>
    <t xml:space="preserve">Single Player Menu</t>
  </si>
  <si>
    <t xml:space="preserve">https://audio.jukehost.co.uk/sMtDZZG1CxhfbzDmykUeGhTFGwpHdON7</t>
  </si>
  <si>
    <t xml:space="preserve">Waluigi Pinball et Wario Stadium</t>
  </si>
  <si>
    <t xml:space="preserve">https://audio.jukehost.co.uk/XKtelkJu13b5nKGh6aunb9tDSqFjDEnF</t>
  </si>
  <si>
    <t xml:space="preserve">Mario Kart Wii</t>
  </si>
  <si>
    <t xml:space="preserve">Bois Vermeil</t>
  </si>
  <si>
    <t xml:space="preserve">Cap Koopa</t>
  </si>
  <si>
    <t xml:space="preserve">Circuit Daisy</t>
  </si>
  <si>
    <t xml:space="preserve">Circuit Luigi</t>
  </si>
  <si>
    <t xml:space="preserve">Gorge Champignon</t>
  </si>
  <si>
    <t xml:space="preserve">Mine Wario</t>
  </si>
  <si>
    <t xml:space="preserve">Opening</t>
  </si>
  <si>
    <t xml:space="preserve">Options</t>
  </si>
  <si>
    <t xml:space="preserve">Pic DK</t>
  </si>
  <si>
    <t xml:space="preserve">Prairie Meuh Meuh</t>
  </si>
  <si>
    <t xml:space="preserve">Route Arc-en-ciel</t>
  </si>
  <si>
    <t xml:space="preserve">Stade Waluigi</t>
  </si>
  <si>
    <t xml:space="preserve">Supermarché Coco</t>
  </si>
  <si>
    <t xml:space="preserve">Usine Toad</t>
  </si>
  <si>
    <t xml:space="preserve">Volcan Grondant</t>
  </si>
  <si>
    <t xml:space="preserve">Wi Fi menu</t>
  </si>
  <si>
    <t xml:space="preserve">Mario Party</t>
  </si>
  <si>
    <t xml:space="preserve">Mario Tennis</t>
  </si>
  <si>
    <t xml:space="preserve">Marvel VS Capcom</t>
  </si>
  <si>
    <t xml:space="preserve">MVC 3</t>
  </si>
  <si>
    <t xml:space="preserve">Morrigan</t>
  </si>
  <si>
    <t xml:space="preserve">https://audio.jukehost.co.uk/uWATsBoBskVQc3bQxCBwfCBVps0WAHE8</t>
  </si>
  <si>
    <t xml:space="preserve">Mass Effect</t>
  </si>
  <si>
    <t xml:space="preserve">Mass Effect 2</t>
  </si>
  <si>
    <t xml:space="preserve">Suicide Mission</t>
  </si>
  <si>
    <t xml:space="preserve">https://audio.jukehost.co.uk/sG8nEGgfW6KRBXZYRykOKinQieuHixEn</t>
  </si>
  <si>
    <t xml:space="preserve">Mega Man</t>
  </si>
  <si>
    <t xml:space="preserve">Mega Man X</t>
  </si>
  <si>
    <t xml:space="preserve">Sigma Stage 1</t>
  </si>
  <si>
    <t xml:space="preserve">https://audio.jukehost.co.uk/nCjt77eFht1pUe5031UaeGa86jnKs8gf</t>
  </si>
  <si>
    <t xml:space="preserve">Metal Gear</t>
  </si>
  <si>
    <t xml:space="preserve">Rising : Revengeance</t>
  </si>
  <si>
    <t xml:space="preserve">It has to be this way</t>
  </si>
  <si>
    <t xml:space="preserve">https://audio.jukehost.co.uk/yUDmSh9JUSQ0iMDwEalT6nnYrpohM50F</t>
  </si>
  <si>
    <t xml:space="preserve">The Stains of Time</t>
  </si>
  <si>
    <t xml:space="preserve">Solid</t>
  </si>
  <si>
    <t xml:space="preserve">Encounter</t>
  </si>
  <si>
    <t xml:space="preserve">https://audio.jukehost.co.uk/GvaSPY020XsIaJjcKdnCcj15IKHnoPTH</t>
  </si>
  <si>
    <t xml:space="preserve">Metaphor</t>
  </si>
  <si>
    <t xml:space="preserve">Metaphor : ReFantazio</t>
  </si>
  <si>
    <t xml:space="preserve">Prelude to a Heroic Tale</t>
  </si>
  <si>
    <t xml:space="preserve">https://audio.jukehost.co.uk/FkRy1wCokMG1YglllTtbewjgOWpziy6u</t>
  </si>
  <si>
    <t xml:space="preserve">Traversing the Wastes</t>
  </si>
  <si>
    <t xml:space="preserve">https://audio.jukehost.co.uk/MWzbPvs4pjGy6PTdm7RpjByqSiPOUgtn</t>
  </si>
  <si>
    <t xml:space="preserve">Warriors in Arms/Battle Theme</t>
  </si>
  <si>
    <t xml:space="preserve">https://audio.jukehost.co.uk/roqW7Ww6PsYYqTJamgrLOCEKX8MdxOID</t>
  </si>
  <si>
    <t xml:space="preserve">Warriors in Valour/Battle Theme</t>
  </si>
  <si>
    <t xml:space="preserve">Metroid</t>
  </si>
  <si>
    <t xml:space="preserve">Metroid Dread</t>
  </si>
  <si>
    <t xml:space="preserve">Artaria 2</t>
  </si>
  <si>
    <t xml:space="preserve">Burenia</t>
  </si>
  <si>
    <t xml:space="preserve">Quiet Robe</t>
  </si>
  <si>
    <t xml:space="preserve">Lower Brinstar</t>
  </si>
  <si>
    <t xml:space="preserve">Samus theme</t>
  </si>
  <si>
    <t xml:space="preserve">https://audio.jukehost.co.uk/czazP2cLB5CB26VIULxyOX97Fj0FwvwQ</t>
  </si>
  <si>
    <t xml:space="preserve">Metroid Fusion</t>
  </si>
  <si>
    <t xml:space="preserve">VS Nightmare</t>
  </si>
  <si>
    <t xml:space="preserve">Metroid Prime</t>
  </si>
  <si>
    <t xml:space="preserve">Magmoor Caverns</t>
  </si>
  <si>
    <t xml:space="preserve">Phendrana Drifts</t>
  </si>
  <si>
    <t xml:space="preserve">VS Metroid Prime - Core</t>
  </si>
  <si>
    <t xml:space="preserve">Metroid Prime 3</t>
  </si>
  <si>
    <t xml:space="preserve">Skytown</t>
  </si>
  <si>
    <t xml:space="preserve">VS Gandrayda</t>
  </si>
  <si>
    <t xml:space="preserve">VS Rundas</t>
  </si>
  <si>
    <t xml:space="preserve">Metroid Prime Hunters</t>
  </si>
  <si>
    <t xml:space="preserve">VS Sylux</t>
  </si>
  <si>
    <t xml:space="preserve">Metroid Zero Mission</t>
  </si>
  <si>
    <t xml:space="preserve">Kraid's Lair</t>
  </si>
  <si>
    <t xml:space="preserve">Norfair</t>
  </si>
  <si>
    <t xml:space="preserve">Super Metroid</t>
  </si>
  <si>
    <t xml:space="preserve">Brinstar Overgrown with Vegetation Area</t>
  </si>
  <si>
    <t xml:space="preserve">Brinstar Jungle</t>
  </si>
  <si>
    <t xml:space="preserve">Brinstar red soil swampy area</t>
  </si>
  <si>
    <t xml:space="preserve">Middle Earth</t>
  </si>
  <si>
    <t xml:space="preserve">Shadow of Mordor</t>
  </si>
  <si>
    <t xml:space="preserve">Caragor riding</t>
  </si>
  <si>
    <t xml:space="preserve">https://audio.jukehost.co.uk/mLaoWI4NNj0m8BNtmL5jKSBb2vT0oZxk</t>
  </si>
  <si>
    <t xml:space="preserve">https://audio.jukehost.co.uk/iQnnz3W7qJu1k8DxJ7MnpzUXYFsBMV6P</t>
  </si>
  <si>
    <t xml:space="preserve">Shadow of war</t>
  </si>
  <si>
    <t xml:space="preserve">Fires of war</t>
  </si>
  <si>
    <t xml:space="preserve">https://audio.jukehost.co.uk/bRXH3mtTPI9aYJ0NYVSIBjN8oSgxVjmB</t>
  </si>
  <si>
    <t xml:space="preserve">Main menu</t>
  </si>
  <si>
    <t xml:space="preserve">https://audio.jukehost.co.uk/TYpuxYKIplvvG1TuqMGm1wypj3G4mABy</t>
  </si>
  <si>
    <t xml:space="preserve">Mina the Hollower</t>
  </si>
  <si>
    <t xml:space="preserve">Minecraft</t>
  </si>
  <si>
    <t xml:space="preserve">https://vgmtreasurechest.com/soundtracks/minecraft-gamerip-2011/audugduwgc/1-11.%2013.mp3</t>
  </si>
  <si>
    <t xml:space="preserve">Aria Math</t>
  </si>
  <si>
    <t xml:space="preserve">https://audio.jukehost.co.uk/HSYuARz9AwsuSfhW9MWrNh3QMbAHQwAg</t>
  </si>
  <si>
    <t xml:space="preserve">Dry Hands</t>
  </si>
  <si>
    <t xml:space="preserve">https://vgmtreasurechest.com/soundtracks/minecraft-gamerip-2011/jtvbvnekbz/1-08.%20Dry%20Hands.mp3</t>
  </si>
  <si>
    <t xml:space="preserve">Key</t>
  </si>
  <si>
    <t xml:space="preserve">https://vgmtreasurechest.com/soundtracks/minecraft-gamerip-2011/dosaqaaqzp/1-01.%20Key.mp3</t>
  </si>
  <si>
    <t xml:space="preserve">otherside</t>
  </si>
  <si>
    <t xml:space="preserve">Pigstep</t>
  </si>
  <si>
    <t xml:space="preserve">https://audio.jukehost.co.uk/gsLzRIBoJGpoEbyxvMmbU8iCldLdxj3K</t>
  </si>
  <si>
    <t xml:space="preserve">Subwoofer Lullaby</t>
  </si>
  <si>
    <t xml:space="preserve">https://vgmtreasurechest.com/soundtracks/minecraft-gamerip-2011/xulrsqrqwj/1-02.%20Subwoofer%20Lullaby.mp3</t>
  </si>
  <si>
    <t xml:space="preserve">Sweden</t>
  </si>
  <si>
    <t xml:space="preserve">https://vgmtreasurechest.com/soundtracks/minecraft-gamerip-2011/czcabeqevb/1-12.%20Sweden.mp3</t>
  </si>
  <si>
    <t xml:space="preserve">Sweden (Caution &amp; Crisis Remix)</t>
  </si>
  <si>
    <t xml:space="preserve">https://vgmtreasurechest.com/soundtracks/sweden-caution-crisis-remix-2011/auoxnltndo/01.%20Sweden%20%28Caution%20%26%20Crisis%20Remix%29.mp3</t>
  </si>
  <si>
    <t xml:space="preserve">Wet Hands</t>
  </si>
  <si>
    <t xml:space="preserve">https://vgmtreasurechest.com/soundtracks/minecraft-gamerip-2011/tqsspcaowj/1-09.%20Wet%20Hands.mp3</t>
  </si>
  <si>
    <t xml:space="preserve">Mini Motorways</t>
  </si>
  <si>
    <t xml:space="preserve">ambiance</t>
  </si>
  <si>
    <t xml:space="preserve">Mio</t>
  </si>
  <si>
    <t xml:space="preserve">Mirror's Edge</t>
  </si>
  <si>
    <t xml:space="preserve">Mirror's Edge Catalyst</t>
  </si>
  <si>
    <t xml:space="preserve">Still Alive</t>
  </si>
  <si>
    <t xml:space="preserve">https://audio.jukehost.co.uk/nlsjVVV4UCV3idCozdCx7AmXyIfSVJ3Q</t>
  </si>
  <si>
    <t xml:space="preserve">Monster Hunter</t>
  </si>
  <si>
    <t xml:space="preserve">Monster Hunter 4 Ultimate</t>
  </si>
  <si>
    <t xml:space="preserve">Winds of Adventure</t>
  </si>
  <si>
    <t xml:space="preserve">https://audio.jukehost.co.uk/sOAz4Fx6IHHsjf6BpC88V2ECbwPmFgcD</t>
  </si>
  <si>
    <t xml:space="preserve">Proof of a Hero</t>
  </si>
  <si>
    <t xml:space="preserve">https://audio.jukehost.co.uk/8FPWW0H6YvxElQqmgMLgdjrbNhWutVgD</t>
  </si>
  <si>
    <t xml:space="preserve">Select Screen</t>
  </si>
  <si>
    <t xml:space="preserve">Adventure Calls</t>
  </si>
  <si>
    <t xml:space="preserve">https://audio.jukehost.co.uk/b4iPbTOz0HYtaTjyswlqgXKGVrDncQHs</t>
  </si>
  <si>
    <t xml:space="preserve">Val Habar</t>
  </si>
  <si>
    <t xml:space="preserve">https://audio.jukehost.co.uk/WQoU57RGuYgHoFVn7qlvQXhpJGFl0Ibq</t>
  </si>
  <si>
    <t xml:space="preserve">Monster Hunter Frontier</t>
  </si>
  <si>
    <t xml:space="preserve">Desert</t>
  </si>
  <si>
    <t xml:space="preserve">https://audio.jukehost.co.uk/yMOaXZYhYa57YVM0S5Fj0MWKQyTryw5I</t>
  </si>
  <si>
    <t xml:space="preserve">Forest and Hills</t>
  </si>
  <si>
    <t xml:space="preserve">https://audio.jukehost.co.uk/cBX20tmmFU8lEeMBbNR8dv8ZGuW7cBqP</t>
  </si>
  <si>
    <t xml:space="preserve">Highlands</t>
  </si>
  <si>
    <t xml:space="preserve">Monster Hunter Rise Sunbreak</t>
  </si>
  <si>
    <t xml:space="preserve">Vasltraxx theme</t>
  </si>
  <si>
    <t xml:space="preserve">https://audio.jukehost.co.uk/AFpcVsDcBK9q6fD1JVycDX5oDtRH3p8H</t>
  </si>
  <si>
    <t xml:space="preserve">Monster Hunter Tri</t>
  </si>
  <si>
    <t xml:space="preserve">Credits/Ceadeus</t>
  </si>
  <si>
    <t xml:space="preserve">https://audio.jukehost.co.uk/DTYSvntoic3Qaur1dBZI2EdaRyR6uuND</t>
  </si>
  <si>
    <t xml:space="preserve">https://audio.jukehost.co.uk/f4w3qBt8MHAUAG9lWLKkABKqclYI0qcv</t>
  </si>
  <si>
    <t xml:space="preserve">Moga</t>
  </si>
  <si>
    <t xml:space="preserve">https://audio.jukehost.co.uk/013xVvvD3yNKGBVTV1RgERwZ8NhExpo9</t>
  </si>
  <si>
    <t xml:space="preserve">Quest Complete</t>
  </si>
  <si>
    <t xml:space="preserve">https://audio.jukehost.co.uk/w6KnxMtkimivqeyC6BZxcj4AmdGuvcm3</t>
  </si>
  <si>
    <t xml:space="preserve">Well cooked</t>
  </si>
  <si>
    <t xml:space="preserve">Monster Hunter World</t>
  </si>
  <si>
    <t xml:space="preserve">Ancient Forest</t>
  </si>
  <si>
    <t xml:space="preserve">https://audio.jukehost.co.uk/oS4catO8OoPsWPYUEL5NNtpEtmfeSuZr</t>
  </si>
  <si>
    <t xml:space="preserve">Astera Theme</t>
  </si>
  <si>
    <t xml:space="preserve">https://audio.jukehost.co.uk/Fa0gLiFGrK4y6LCzPrO7Lhf9xCst3ve7</t>
  </si>
  <si>
    <t xml:space="preserve">Bazelgeuse</t>
  </si>
  <si>
    <t xml:space="preserve">https://audio.jukehost.co.uk/VArWsOal7EpBGj16bXxYk0gHYHh25dav</t>
  </si>
  <si>
    <t xml:space="preserve">https://audio.jukehost.co.uk/ANDa1lqrpJeft24lHqsUYTToTqSNg2q6</t>
  </si>
  <si>
    <t xml:space="preserve">Nergigante</t>
  </si>
  <si>
    <t xml:space="preserve">https://audio.jukehost.co.uk/ctlycNBUowMpTylLe4C7Ov2NVYehTZnx</t>
  </si>
  <si>
    <t xml:space="preserve">Pride of a Nameless Hunter</t>
  </si>
  <si>
    <t xml:space="preserve">https://audio.jukehost.co.uk/1Xy1zQd41CUQdfzbMcCdnQcGdHNRBTJf</t>
  </si>
  <si>
    <t xml:space="preserve">https://audio.jukehost.co.uk/FrUGvGin6ZHQ1qzn5hQm3WWUghVPylaN</t>
  </si>
  <si>
    <t xml:space="preserve">Rotten Vale</t>
  </si>
  <si>
    <t xml:space="preserve">https://audio.jukehost.co.uk/esdrNhEAY9Quvv28jqvFS8QdlgidBSL7</t>
  </si>
  <si>
    <t xml:space="preserve">Velkhana</t>
  </si>
  <si>
    <t xml:space="preserve">https://audio.jukehost.co.uk/3P0fxI3Sq385ez1gGtyyt5AaYA8jTXlh</t>
  </si>
  <si>
    <t xml:space="preserve">Mother</t>
  </si>
  <si>
    <t xml:space="preserve">Mother 3</t>
  </si>
  <si>
    <t xml:space="preserve">Curtain Call</t>
  </si>
  <si>
    <t xml:space="preserve">Memory of Life</t>
  </si>
  <si>
    <t xml:space="preserve">Need For Speed</t>
  </si>
  <si>
    <t xml:space="preserve">NFS Most Wanted 2005</t>
  </si>
  <si>
    <t xml:space="preserve">Nine Thou</t>
  </si>
  <si>
    <t xml:space="preserve">https://audio.jukehost.co.uk/1yG1DNgKumDIytg1L5tg2k4eHvDXGG8J</t>
  </si>
  <si>
    <t xml:space="preserve">Neon Abyss</t>
  </si>
  <si>
    <t xml:space="preserve">It Will Come All Together</t>
  </si>
  <si>
    <t xml:space="preserve">https://audio.jukehost.co.uk/byXw7onDFagSdCNEDVw5RLzJ9LRVnxsU</t>
  </si>
  <si>
    <t xml:space="preserve">NieR</t>
  </si>
  <si>
    <t xml:space="preserve">NieR Replicant</t>
  </si>
  <si>
    <t xml:space="preserve">Kaine/Salvation</t>
  </si>
  <si>
    <t xml:space="preserve">https://audio.jukehost.co.uk/Og4MpAmfxs7A09MICEHI12LozH6QGPQD</t>
  </si>
  <si>
    <t xml:space="preserve">Shadowlord's castle</t>
  </si>
  <si>
    <t xml:space="preserve">Song of the Ancients</t>
  </si>
  <si>
    <t xml:space="preserve">https://audio.jukehost.co.uk/2ccJLFomgf5fgcGiR5Cq9Bov7tL7m5f4</t>
  </si>
  <si>
    <t xml:space="preserve">NieR Replicant/Gestalt</t>
  </si>
  <si>
    <t xml:space="preserve">Grandma</t>
  </si>
  <si>
    <t xml:space="preserve">https://audio.jukehost.co.uk/VyPiiv8dSwSIPnENMalsSvJsNYxyFu8g</t>
  </si>
  <si>
    <t xml:space="preserve">NieR: Automata</t>
  </si>
  <si>
    <t xml:space="preserve">A beautiful song</t>
  </si>
  <si>
    <t xml:space="preserve">https://audio.jukehost.co.uk/GSCV6rjGZMwzKjldKT120kD2L52lfwof</t>
  </si>
  <si>
    <t xml:space="preserve">Amusement Park</t>
  </si>
  <si>
    <t xml:space="preserve">https://audio.jukehost.co.uk/tg6V6j0c5LAdJqjELaCe9eRaBS9cVFwH</t>
  </si>
  <si>
    <t xml:space="preserve">City ruins (Ray of lights)</t>
  </si>
  <si>
    <t xml:space="preserve">https://audio.jukehost.co.uk/iNNKfR26dWufjUdEJ9kpA3RXOxHGWOQ2</t>
  </si>
  <si>
    <t xml:space="preserve">Emil - Despair</t>
  </si>
  <si>
    <t xml:space="preserve">https://www.youtube.com/watch?v=_gIlIOasfG4</t>
  </si>
  <si>
    <t xml:space="preserve">Memories of dust</t>
  </si>
  <si>
    <t xml:space="preserve">https://audio.jukehost.co.uk/qzx4cOp7nVc0CO0t1efH04VJqibDu40u</t>
  </si>
  <si>
    <t xml:space="preserve">Weight of the world</t>
  </si>
  <si>
    <t xml:space="preserve">The end of YoRHa</t>
  </si>
  <si>
    <t xml:space="preserve">https://audio.jukehost.co.uk/YEIdQXRKI6YrY4yFyHfz4Un6EZK2G2kJ</t>
  </si>
  <si>
    <t xml:space="preserve">NieR: Re[in]carantion</t>
  </si>
  <si>
    <t xml:space="preserve">Inori</t>
  </si>
  <si>
    <t xml:space="preserve">Prayers</t>
  </si>
  <si>
    <t xml:space="preserve">https://www.youtube.com/watch?v=wuA_ReL_YlU</t>
  </si>
  <si>
    <t xml:space="preserve">Kizuna</t>
  </si>
  <si>
    <t xml:space="preserve">Bonds</t>
  </si>
  <si>
    <t xml:space="preserve">https://www.youtube.com/watch?v=S4LyHdlN9_o</t>
  </si>
  <si>
    <t xml:space="preserve">Nightmare Kart</t>
  </si>
  <si>
    <t xml:space="preserve">Nintendogs</t>
  </si>
  <si>
    <t xml:space="preserve">Nocturnal</t>
  </si>
  <si>
    <t xml:space="preserve">Farewell</t>
  </si>
  <si>
    <t xml:space="preserve">https://audio.jukehost.co.uk/mQ68hGz8xlF88I9dHvAsJXnMtUcFs8oH</t>
  </si>
  <si>
    <t xml:space="preserve">Octopath Traveler</t>
  </si>
  <si>
    <t xml:space="preserve">Olberic the Warrior</t>
  </si>
  <si>
    <t xml:space="preserve">https://audio.jukehost.co.uk/RHjarceyKkNAKSrWjh1lGteon8x25L5I</t>
  </si>
  <si>
    <t xml:space="preserve">Primrose, the Dancer</t>
  </si>
  <si>
    <t xml:space="preserve">Primrose</t>
  </si>
  <si>
    <t xml:space="preserve">https://lambda.vgmtreasurechest.com/soundtracks/octopath-traveler-original-soundtrack-2018/efoeelpr/1-06%20Primrose%2C%20the%20Dancer.mp3</t>
  </si>
  <si>
    <t xml:space="preserve">Okami</t>
  </si>
  <si>
    <t xml:space="preserve">Rising Sun</t>
  </si>
  <si>
    <t xml:space="preserve">Omori</t>
  </si>
  <si>
    <t xml:space="preserve">A home for flowers</t>
  </si>
  <si>
    <t xml:space="preserve">https://audio.jukehost.co.uk/Jf6j5B32OytImzHjHGGtubA2F1UlJcqk</t>
  </si>
  <si>
    <t xml:space="preserve">Bready Steady go</t>
  </si>
  <si>
    <t xml:space="preserve">https://audio.jukehost.co.uk/Wi3H2XB64wfgp6xxqO0jNAp70dtFRzg2</t>
  </si>
  <si>
    <t xml:space="preserve">Cram it wad</t>
  </si>
  <si>
    <t xml:space="preserve">https://audio.jukehost.co.uk/v3942Fxz5Gtg0J2gVao3FAkQVNKpCo3A</t>
  </si>
  <si>
    <t xml:space="preserve">DUET</t>
  </si>
  <si>
    <t xml:space="preserve">https://audio.jukehost.co.uk/780Zji4uJFLpi29B9WwScBItdY8lodmy</t>
  </si>
  <si>
    <t xml:space="preserve">Flouring with you</t>
  </si>
  <si>
    <t xml:space="preserve">https://audio.jukehost.co.uk/3D5LrtDLFwL4ThUbiA1xzTSjiPpZ5mV4</t>
  </si>
  <si>
    <t xml:space="preserve">GOLDENVENGEANCE</t>
  </si>
  <si>
    <t xml:space="preserve">https://audio.jukehost.co.uk/Jxugvk8Eaqu3NecJHnvMur7itqTfdQ9P</t>
  </si>
  <si>
    <t xml:space="preserve">It means everything</t>
  </si>
  <si>
    <t xml:space="preserve">https://audio.jukehost.co.uk/NZJHk2aEvfJzPYZz2mJCLBydLHlsz6E5</t>
  </si>
  <si>
    <t xml:space="preserve">Jawbreaker</t>
  </si>
  <si>
    <t xml:space="preserve">https://audio.jukehost.co.uk/JrlqUilWhziNjjD77fTyg1kMWOfVGAg4</t>
  </si>
  <si>
    <t xml:space="preserve">Mary boss battle</t>
  </si>
  <si>
    <t xml:space="preserve">https://audio.jukehost.co.uk/57bw1zMXfCmhp171fDiRZglQ07VrlRf4</t>
  </si>
  <si>
    <t xml:space="preserve">Merry</t>
  </si>
  <si>
    <t xml:space="preserve">https://audio.jukehost.co.uk/ISdgrUFgjU836t6qTWn2AbdBIeH8vJ1L</t>
  </si>
  <si>
    <t xml:space="preserve">My time</t>
  </si>
  <si>
    <t xml:space="preserve">https://audio.jukehost.co.uk/zCVCTmOuBxs4xw5ZLjUMyThboT8L8P8I</t>
  </si>
  <si>
    <t xml:space="preserve">OMORI</t>
  </si>
  <si>
    <t xml:space="preserve">https://audio.jukehost.co.uk/dcA30yiFoxM0RqnNZYYxOZvagDbNrCYO</t>
  </si>
  <si>
    <t xml:space="preserve">Tee-hee Time</t>
  </si>
  <si>
    <t xml:space="preserve">https://audio.jukehost.co.uk/iU6hTKUIEu0iSPDITUG3lRRS1Ir4TFOn</t>
  </si>
  <si>
    <t xml:space="preserve">Trouble-NEVER/ALWAYS</t>
  </si>
  <si>
    <t xml:space="preserve">https://audio.jukehost.co.uk/CsV4ZYlVa2xoUTQjMFntNxbUxegveIbj</t>
  </si>
  <si>
    <t xml:space="preserve">World's end valentine</t>
  </si>
  <si>
    <t xml:space="preserve">https://audio.jukehost.co.uk/pkWtURuUqjjjrKzSJdh8CRmxxQWnvBA2</t>
  </si>
  <si>
    <t xml:space="preserve">You cannot go back</t>
  </si>
  <si>
    <t xml:space="preserve">https://audio.jukehost.co.uk/VHVfUXppO610EfDh28HwNeXXviInaQZW</t>
  </si>
  <si>
    <t xml:space="preserve">You were wrong go back</t>
  </si>
  <si>
    <t xml:space="preserve">https://audio.jukehost.co.uk/lYbZdihVgn4Zpvt8WLrTgNOVRMJvjQTq</t>
  </si>
  <si>
    <t xml:space="preserve">One Piece</t>
  </si>
  <si>
    <t xml:space="preserve">Unlimited Cruise</t>
  </si>
  <si>
    <t xml:space="preserve">Selecting Character</t>
  </si>
  <si>
    <t xml:space="preserve">https://audio.jukehost.co.uk/t0wRIfa7UWjC0guV1SjhzxnM0geJ2fae</t>
  </si>
  <si>
    <t xml:space="preserve">Team Battle</t>
  </si>
  <si>
    <t xml:space="preserve">https://audio.jukehost.co.uk/JIIG9Wdmway83faq523tdtcjxXNxoUJg</t>
  </si>
  <si>
    <t xml:space="preserve">The Thousand Sunny</t>
  </si>
  <si>
    <t xml:space="preserve">https://audio.jukehost.co.uk/FZiP1HdWcnUTwEvdGsntzqBH4AEa64Oi</t>
  </si>
  <si>
    <t xml:space="preserve">Title Menu</t>
  </si>
  <si>
    <t xml:space="preserve">https://audio.jukehost.co.uk/low7URjGbEoGWLJDjWD2a2z9ihruymP4</t>
  </si>
  <si>
    <t xml:space="preserve">Unlimited Cruise 2</t>
  </si>
  <si>
    <t xml:space="preserve">Doom Guardian</t>
  </si>
  <si>
    <t xml:space="preserve">https://audio.jukehost.co.uk/bdLdpohMJjMhyAp3guDkbGgudwBWiEgz</t>
  </si>
  <si>
    <t xml:space="preserve">https://audio.jukehost.co.uk/X8phW3HdSs0tSbl7ygsNZjQIadqgxhoi</t>
  </si>
  <si>
    <t xml:space="preserve">OneShot</t>
  </si>
  <si>
    <t xml:space="preserve">On Little Cat Feet</t>
  </si>
  <si>
    <t xml:space="preserve">https://audio.jukehost.co.uk/4QzXc3MSach2wpBg4sWV8WejbSZEor01</t>
  </si>
  <si>
    <t xml:space="preserve">Ori</t>
  </si>
  <si>
    <t xml:space="preserve">Ori and the blind forest</t>
  </si>
  <si>
    <t xml:space="preserve">https://audio.jukehost.co.uk/mteNTqRWU9upbVyYQFw91jalPEsYCmqS</t>
  </si>
  <si>
    <t xml:space="preserve">Swallows nest</t>
  </si>
  <si>
    <t xml:space="preserve">https://audio.jukehost.co.uk/5ppeC2DWQcsKzT9zkKRSUeeoTx2Vz4nJ</t>
  </si>
  <si>
    <t xml:space="preserve">Ori and the will of the wisps</t>
  </si>
  <si>
    <t xml:space="preserve">Mora the Spider</t>
  </si>
  <si>
    <t xml:space="preserve">https://audio.jukehost.co.uk/oGa1tpcpmY7FGMeIDcwOqcAT7PfEMkFo</t>
  </si>
  <si>
    <t xml:space="preserve">Shriek and Ori</t>
  </si>
  <si>
    <t xml:space="preserve">https://audio.jukehost.co.uk/rKi0hxmUTftTGM2fjq18V8M9XpPGydkD</t>
  </si>
  <si>
    <t xml:space="preserve">We named her Ku</t>
  </si>
  <si>
    <t xml:space="preserve">https://audio.jukehost.co.uk/UtllOMckjrs6vtM4ew70n342oKKKTAG9</t>
  </si>
  <si>
    <t xml:space="preserve">Out There Somewhere</t>
  </si>
  <si>
    <t xml:space="preserve">Planet: Unknown</t>
  </si>
  <si>
    <t xml:space="preserve">Outer Wilds</t>
  </si>
  <si>
    <t xml:space="preserve">14.3 Billion years</t>
  </si>
  <si>
    <t xml:space="preserve">https://audio.jukehost.co.uk/utjYuVC0yLVpaGT4eHXkugcucU6oNUrA</t>
  </si>
  <si>
    <t xml:space="preserve">End times</t>
  </si>
  <si>
    <t xml:space="preserve">https://lambda.vgmtreasurechest.com/soundtracks/outer-wilds-original-soundtrack/ixnvojdq/10.%20End%20Times.mp3</t>
  </si>
  <si>
    <t xml:space="preserve">Outer wilds</t>
  </si>
  <si>
    <t xml:space="preserve">https://lambda.vgmtreasurechest.com/soundtracks/outer-wilds-original-soundtrack/pjaaacjo/02.%20Outer%20Wilds.mp3</t>
  </si>
  <si>
    <t xml:space="preserve">Travelers</t>
  </si>
  <si>
    <t xml:space="preserve">https://lambda.vgmtreasurechest.com/soundtracks/outer-wilds-original-soundtrack/nrvbvzmk/20.%20Travelers.mp3</t>
  </si>
  <si>
    <t xml:space="preserve">Outer Wilds Echoes of the eye</t>
  </si>
  <si>
    <t xml:space="preserve">Echoes of the eye</t>
  </si>
  <si>
    <t xml:space="preserve">https://audio.jukehost.co.uk/pF7HrZK4E2y7uWcdxnSK44lTTbMfP03D</t>
  </si>
  <si>
    <t xml:space="preserve">The River</t>
  </si>
  <si>
    <t xml:space="preserve">https://jetta.vgmtreasurechest.com/soundtracks/outer-wilds-echoes-of-the-eye-the-lost-reels-deluxe-original-game-soundtrack-2022/ezirkbaz/02.%20The%20River.mp3</t>
  </si>
  <si>
    <t xml:space="preserve">Traverlers' encore</t>
  </si>
  <si>
    <t xml:space="preserve">https://jetta.vgmtreasurechest.com/soundtracks/outer-wilds-echoes-of-the-eye-the-lost-reels-deluxe-original-game-soundtrack-2022/juwzipze/21.%20Travelers%27%20encore.mp3</t>
  </si>
  <si>
    <t xml:space="preserve">Overwatch</t>
  </si>
  <si>
    <t xml:space="preserve">Overwatch 2</t>
  </si>
  <si>
    <t xml:space="preserve">A new era</t>
  </si>
  <si>
    <t xml:space="preserve">https://audio.jukehost.co.uk/6bt3rhW0MhlBP0DVqQra8HmaN5zcWISy</t>
  </si>
  <si>
    <t xml:space="preserve">Pacman</t>
  </si>
  <si>
    <t xml:space="preserve">https://audio.jukehost.co.uk/k2jHOUFZVPeW7TArfoyMFk20263j2H9e</t>
  </si>
  <si>
    <t xml:space="preserve">Palworld</t>
  </si>
  <si>
    <t xml:space="preserve">The Beginning</t>
  </si>
  <si>
    <t xml:space="preserve">https://vgmtreasurechest.com/soundtracks/palworld-2024/pylunpmrds/01.%20The%20Beginning.mp3</t>
  </si>
  <si>
    <t xml:space="preserve">Paper Mario</t>
  </si>
  <si>
    <t xml:space="preserve">Papers Please</t>
  </si>
  <si>
    <t xml:space="preserve">Glory to Arstotzka</t>
  </si>
  <si>
    <t xml:space="preserve">PaRappa the the Rapper</t>
  </si>
  <si>
    <t xml:space="preserve">Chop chop Master Onion Rap</t>
  </si>
  <si>
    <t xml:space="preserve">https://audio.jukehost.co.uk/x05I4NyhIZB0ntOYsYA2fyvYoXXaNg9P</t>
  </si>
  <si>
    <t xml:space="preserve">Pathway</t>
  </si>
  <si>
    <t xml:space="preserve">https://audio.jukehost.co.uk/FMl0acrA8wRmHl0Cu4lbbfx9ZMp1Qkwc</t>
  </si>
  <si>
    <t xml:space="preserve">Payday</t>
  </si>
  <si>
    <t xml:space="preserve">Payday 2</t>
  </si>
  <si>
    <t xml:space="preserve">Master Plan</t>
  </si>
  <si>
    <t xml:space="preserve">PepsiMan</t>
  </si>
  <si>
    <t xml:space="preserve">Pepsi Man</t>
  </si>
  <si>
    <t xml:space="preserve">Pepsi Man theme</t>
  </si>
  <si>
    <t xml:space="preserve">https://audio.jukehost.co.uk/hJRxmApNbKQCkaORsjWhYeOUjZJcZvEe</t>
  </si>
  <si>
    <t xml:space="preserve">Persona</t>
  </si>
  <si>
    <t xml:space="preserve">A lone prayer</t>
  </si>
  <si>
    <t xml:space="preserve">https://downloads.khinsider.com/game-soundtracks/album/persona-1-the-complete-soundtrack/3-009.%2520A%2520Lone%2520Prayer.mp3</t>
  </si>
  <si>
    <t xml:space="preserve">https://nu.vgmtreasurechest.com/soundtracks/persona-1-the-complete-soundtrack/ujioufui/3-009.%20A%20Lone%20Prayer.mp3</t>
  </si>
  <si>
    <t xml:space="preserve">Persona 3</t>
  </si>
  <si>
    <t xml:space="preserve">Burn My Dread</t>
  </si>
  <si>
    <t xml:space="preserve">https://audio.jukehost.co.uk/hLhTLkAvS1UiMoxtWeLpbaTlOFl5zhEJ</t>
  </si>
  <si>
    <t xml:space="preserve">Mass Destruction</t>
  </si>
  <si>
    <t xml:space="preserve">https://audio.jukehost.co.uk/6jyB11ZKLsw3oqTYcT5cvldA2h3bPFzV</t>
  </si>
  <si>
    <t xml:space="preserve">The Voice Someone Calls</t>
  </si>
  <si>
    <t xml:space="preserve">Persona 3 : Dancing in Moonlight</t>
  </si>
  <si>
    <t xml:space="preserve">Our Moment</t>
  </si>
  <si>
    <t xml:space="preserve">opening theme</t>
  </si>
  <si>
    <t xml:space="preserve">Persona 3 FES</t>
  </si>
  <si>
    <t xml:space="preserve">P3 fes</t>
  </si>
  <si>
    <t xml:space="preserve">https://audio.jukehost.co.uk/x4IoLmfmyQJFXqyCZQAYCDA2a2Dr9eoP</t>
  </si>
  <si>
    <t xml:space="preserve">Persona 3 Reload</t>
  </si>
  <si>
    <t xml:space="preserve">Color Your Night</t>
  </si>
  <si>
    <t xml:space="preserve">https://audio.jukehost.co.uk/6GGCKL9A6vJbJhvjpj4su1iIy29hTET7</t>
  </si>
  <si>
    <t xml:space="preserve">Don't</t>
  </si>
  <si>
    <t xml:space="preserve">https://audio.jukehost.co.uk/RBHRrIy90owxx1KapBTKKlH4P1rJQ5Vd</t>
  </si>
  <si>
    <t xml:space="preserve">Full Moon Full Life</t>
  </si>
  <si>
    <t xml:space="preserve">https://audio.jukehost.co.uk/JyEKioNKEOgikaEhXQRaRjp2CLPKVmNr</t>
  </si>
  <si>
    <t xml:space="preserve">It's Going Down Now</t>
  </si>
  <si>
    <t xml:space="preserve">https://audio.jukehost.co.uk/nX5iDsb9Cs3lgpa3fg7ZUWO8whcaeCCd</t>
  </si>
  <si>
    <t xml:space="preserve">Iwatodai Dorm -Reload-</t>
  </si>
  <si>
    <t xml:space="preserve">tartarus_0d01</t>
  </si>
  <si>
    <t xml:space="preserve">https://nu.vgmtreasurechest.com/soundtracks/persona-3-reload-ps4-ps5-windows-xbox-one-xbox-series-xs-gamerip-2024/konycrck/44.%20tartarus_0d01.mp3</t>
  </si>
  <si>
    <t xml:space="preserve">The Meaning of Armbands</t>
  </si>
  <si>
    <t xml:space="preserve">Persona 4</t>
  </si>
  <si>
    <t xml:space="preserve">A Corner of Memories</t>
  </si>
  <si>
    <t xml:space="preserve">Glimpse of a Memory</t>
  </si>
  <si>
    <t xml:space="preserve">HeartBeat Heartbreak</t>
  </si>
  <si>
    <t xml:space="preserve">https://audio.jukehost.co.uk/E83POmbHEHauyIxk0OvNME6xXfO4qAzf</t>
  </si>
  <si>
    <t xml:space="preserve">I'll face myself</t>
  </si>
  <si>
    <t xml:space="preserve">https://audio.jukehost.co.uk/jR7WxbnMSan6KP6CGj0Y44bmOQXt8ZAc</t>
  </si>
  <si>
    <t xml:space="preserve">I'll face myself - battle</t>
  </si>
  <si>
    <t xml:space="preserve">https://audio.jukehost.co.uk/vksrycqVcFyVOJqgF7DH6crwLUjRM4Rv</t>
  </si>
  <si>
    <t xml:space="preserve">Pursuing My True Self</t>
  </si>
  <si>
    <t xml:space="preserve">https://audio.jukehost.co.uk/Djozqqs3cZwPKpckhGt7iy8F2WSSG23B</t>
  </si>
  <si>
    <t xml:space="preserve">Signs of Love</t>
  </si>
  <si>
    <t xml:space="preserve">https://audio.jukehost.co.uk/7zHiY3yN9RNNdQ9xLquXnJi6EmDTHQXz</t>
  </si>
  <si>
    <t xml:space="preserve">Your Affection</t>
  </si>
  <si>
    <t xml:space="preserve">https://audio.jukehost.co.uk/lx15NBmR4jaJDzU6dCo83Na48922avVo</t>
  </si>
  <si>
    <t xml:space="preserve">Persona 4 : Dancing all night</t>
  </si>
  <si>
    <t xml:space="preserve">Dance!</t>
  </si>
  <si>
    <t xml:space="preserve">https://downloads.khinsider.com/game-soundtracks/album/persona-4-dancing-all-night-the-complete-soundtrack/01.%2520Dance%2521.mp3</t>
  </si>
  <si>
    <t xml:space="preserve">https://jetta.vgmtreasurechest.com/soundtracks/persona-4-dancing-all-night-the-complete-soundtrack/nknkkuse/01.%20Dance%21.mp3</t>
  </si>
  <si>
    <t xml:space="preserve">Specialist</t>
  </si>
  <si>
    <t xml:space="preserve">https://downloads.khinsider.com/game-soundtracks/album/persona-4-dancing-all-night-the-complete-soundtrack/25.%2520Specialist%2520%2528Never%2520More%2520P4D-EDIT%2520ver.%2529.mp3</t>
  </si>
  <si>
    <t xml:space="preserve">https://jetta.vgmtreasurechest.com/soundtracks/persona-4-dancing-all-night-the-complete-soundtrack/wdbvxeaq/25.%20Specialist%20%28Never%20More%20P4D-EDIT%20ver.%29.mp3</t>
  </si>
  <si>
    <t xml:space="preserve">Persona 4 Golden</t>
  </si>
  <si>
    <t xml:space="preserve">Shadow World</t>
  </si>
  <si>
    <t xml:space="preserve">https://downloads.khinsider.com/game-soundtracks/album/persona-4-golden-the-complete-soundtrack/2-01.%2520Shadow%2520World.mp3</t>
  </si>
  <si>
    <t xml:space="preserve">https://audio.jukehost.co.uk/z8KOQTtMH2LwiKnVXNOiu0hDHvBGVeH8</t>
  </si>
  <si>
    <t xml:space="preserve">Persona 5</t>
  </si>
  <si>
    <t xml:space="preserve">Aria Of The Soul</t>
  </si>
  <si>
    <t xml:space="preserve">https://downloads.khinsider.com/game-soundtracks/album/persona-5-royal-the-complete-soundtrack/1-08.%2520Aria%2520of%2520the%2520Soul.mp3</t>
  </si>
  <si>
    <t xml:space="preserve">https://lambda.vgmtreasurechest.com/soundtracks/persona-5-royal-the-complete-soundtrack/aaacksim/1-08.%20Aria%20of%20the%20Soul.mp3</t>
  </si>
  <si>
    <t xml:space="preserve">Beneath the Mask</t>
  </si>
  <si>
    <t xml:space="preserve">https://downloads.khinsider.com/game-soundtracks/album/persona-5-royal-the-complete-soundtrack/1-29.%2520Beneath%2520the%2520Mask.mp3</t>
  </si>
  <si>
    <t xml:space="preserve">https://lambda.vgmtreasurechest.com/soundtracks/persona-5-royal-the-complete-soundtrack/meknlooc/1-29.%20Beneath%20the%20Mask.mp3</t>
  </si>
  <si>
    <t xml:space="preserve">Last Surprise</t>
  </si>
  <si>
    <t xml:space="preserve">https://downloads.khinsider.com/game-soundtracks/album/persona-5-royal-the-complete-soundtrack/1-17.%2520Last%2520Surprise.mp3</t>
  </si>
  <si>
    <t xml:space="preserve">https://lambda.vgmtreasurechest.com/soundtracks/persona-5-royal-the-complete-soundtrack/lznrveie/1-17.%20Last%20Surprise.mp3</t>
  </si>
  <si>
    <t xml:space="preserve">Price</t>
  </si>
  <si>
    <t xml:space="preserve">https://downloads.khinsider.com/game-soundtracks/album/persona-5-royal-the-complete-soundtrack/2-16.%2520Price.mp3</t>
  </si>
  <si>
    <t xml:space="preserve">https://lambda.vgmtreasurechest.com/soundtracks/persona-5-royal-the-complete-soundtrack/nohtvzka/2-16.%20Price.mp3</t>
  </si>
  <si>
    <t xml:space="preserve">Rivers in the Desert</t>
  </si>
  <si>
    <t xml:space="preserve">https://downloads.khinsider.com/game-soundtracks/album/persona-5-royal-the-complete-soundtrack/3-22.%2520Rivers%2520in%2520the%2520Desert.mp3</t>
  </si>
  <si>
    <t xml:space="preserve">https://lambda.vgmtreasurechest.com/soundtracks/persona-5-royal-the-complete-soundtrack/xagixnvo/3-22.%20Rivers%20in%20the%20Desert.mp3</t>
  </si>
  <si>
    <t xml:space="preserve">The Whims of Fate</t>
  </si>
  <si>
    <t xml:space="preserve">https://downloads.khinsider.com/game-soundtracks/album/persona-5-royal-the-complete-soundtrack/3-10.%2520The%2520Whims%2520of%2520Fate.mp3</t>
  </si>
  <si>
    <t xml:space="preserve">https://audio.jukehost.co.uk/pPbefGC8MPNHP4Ce0M5O7b7VHkdfHYBa</t>
  </si>
  <si>
    <t xml:space="preserve">Wake up Get up Get Out There</t>
  </si>
  <si>
    <t xml:space="preserve">https://downloads.khinsider.com/game-soundtracks/album/persona-5-royal-the-complete-soundtrack/1-01.%2520Wake%2520Up%252C%2520Get%2520Up%252C%2520Get%2520Out%2520There.mp3</t>
  </si>
  <si>
    <t xml:space="preserve">https://audio.jukehost.co.uk/OoTbHpXrTO3S8XwtPVcFO96HBbFvaskZ</t>
  </si>
  <si>
    <t xml:space="preserve">Persona 5 : Dancing in Starlight</t>
  </si>
  <si>
    <t xml:space="preserve">https://audio.jukehost.co.uk/0W7x46iJvfr1Jcea8p8XeoE1gmuH1lhi</t>
  </si>
  <si>
    <t xml:space="preserve">Persona 5 : The Phantom X</t>
  </si>
  <si>
    <t xml:space="preserve">Ambitions and visions</t>
  </si>
  <si>
    <t xml:space="preserve">Persona 5 Royal</t>
  </si>
  <si>
    <t xml:space="preserve">Another Ideology</t>
  </si>
  <si>
    <t xml:space="preserve">https://downloads.khinsider.com/game-soundtracks/album/persona-5-royal-the-complete-soundtrack/5-04.%2520Another%2520Ideology.mp3</t>
  </si>
  <si>
    <t xml:space="preserve">https://lambda.vgmtreasurechest.com/soundtracks/persona-5-royal-the-complete-soundtrack/vltikbcf/5-04.%20Another%20Ideology.mp3</t>
  </si>
  <si>
    <t xml:space="preserve">Gentle Madman</t>
  </si>
  <si>
    <t xml:space="preserve">https://downloads.khinsider.com/game-soundtracks/album/persona-5-royal-the-complete-soundtrack/5-03.%2520Gentle%2520Madman.mp3</t>
  </si>
  <si>
    <t xml:space="preserve">https://lambda.vgmtreasurechest.com/soundtracks/persona-5-royal-the-complete-soundtrack/kqzacmdg/5-03.%20Gentle%20Madman.mp3</t>
  </si>
  <si>
    <t xml:space="preserve">I Believe</t>
  </si>
  <si>
    <t xml:space="preserve">https://downloads.khinsider.com/game-soundtracks/album/persona-5-royal-the-complete-soundtrack/5-08.%2520I%2520believe.mp3</t>
  </si>
  <si>
    <t xml:space="preserve">https://audio.jukehost.co.uk/PzRwjxxII8mucMATKZprh26MidYBqWYm</t>
  </si>
  <si>
    <t xml:space="preserve">Take Over</t>
  </si>
  <si>
    <t xml:space="preserve">https://downloads.khinsider.com/game-soundtracks/album/persona-5-royal-the-complete-soundtrack/4-03.%2520Take%2520Over.mp3</t>
  </si>
  <si>
    <t xml:space="preserve">https://lambda.vgmtreasurechest.com/soundtracks/persona-5-royal-the-complete-soundtrack/jslaxiys/4-03.%20Take%20Over.mp3</t>
  </si>
  <si>
    <t xml:space="preserve">Persona 5 Strikers</t>
  </si>
  <si>
    <t xml:space="preserve">Last Surprise -Scramble-</t>
  </si>
  <si>
    <t xml:space="preserve">Rivers in the Desert -Scramble-</t>
  </si>
  <si>
    <t xml:space="preserve">You are stronger</t>
  </si>
  <si>
    <t xml:space="preserve">Persona 5 Tactica</t>
  </si>
  <si>
    <t xml:space="preserve">Revolution in your Heart</t>
  </si>
  <si>
    <t xml:space="preserve">Pikmin</t>
  </si>
  <si>
    <t xml:space="preserve">Pineapple On Pizza</t>
  </si>
  <si>
    <t xml:space="preserve">The Floor is Lava</t>
  </si>
  <si>
    <t xml:space="preserve">Pizza tower</t>
  </si>
  <si>
    <t xml:space="preserve">Pizza time</t>
  </si>
  <si>
    <t xml:space="preserve">https://audio.jukehost.co.uk/1NUvY9wCztH541AfqILpxLA365FmxtEU</t>
  </si>
  <si>
    <t xml:space="preserve">There's A Bone In My Spaghetti!</t>
  </si>
  <si>
    <t xml:space="preserve">https://audio.jukehost.co.uk/UfW4naw5PZYDweqfh6DNN8fs2j7spLl0</t>
  </si>
  <si>
    <t xml:space="preserve">Plants vs Zombies</t>
  </si>
  <si>
    <t xml:space="preserve">Choose Your Seeds</t>
  </si>
  <si>
    <t xml:space="preserve">https://audio.jukehost.co.uk/r8zrvh6xTLhXYa61mYEbvTNahzmrFOqt</t>
  </si>
  <si>
    <t xml:space="preserve">Day Stage</t>
  </si>
  <si>
    <t xml:space="preserve">https://audio.jukehost.co.uk/avNKmwRyb75lekzHuFKNSOkSnUH9bu9n</t>
  </si>
  <si>
    <t xml:space="preserve">https://audio.jukehost.co.uk/aaDpWbGwXYvnzHps14ioTxE6jKOrbN9t</t>
  </si>
  <si>
    <t xml:space="preserve">Mini Games</t>
  </si>
  <si>
    <t xml:space="preserve">https://audio.jukehost.co.uk/5zG6fvWAJDif1tivZoXs8ahSHXQoYPq2</t>
  </si>
  <si>
    <t xml:space="preserve">Night Stage</t>
  </si>
  <si>
    <t xml:space="preserve">https://audio.jukehost.co.uk/lgTzIqySH6dto46P6kSTvGNEeRREvu59</t>
  </si>
  <si>
    <t xml:space="preserve">Zen Garden</t>
  </si>
  <si>
    <t xml:space="preserve">https://audio.jukehost.co.uk/bQtPhcFFoMdieJLe7CTsbwTb8mq9TB0S</t>
  </si>
  <si>
    <t xml:space="preserve">Pokemon</t>
  </si>
  <si>
    <t xml:space="preserve">Gen 1</t>
  </si>
  <si>
    <t xml:space="preserve">Rocket Hideout</t>
  </si>
  <si>
    <t xml:space="preserve">https://audio.jukehost.co.uk/bZT1fNnUgY2UkUPOtuaualqaqIsUM6z5</t>
  </si>
  <si>
    <t xml:space="preserve">Opening Movie (Red/Blue)</t>
  </si>
  <si>
    <t xml:space="preserve">https://downloads.khinsider.com/game-soundtracks/album/pokemon-red-green-blue-yellow/01.%2520Opening%2520Movie%2520%2528Red%252C%2520Green%2520%2526%2520Blue%2520Version%2529.mp3</t>
  </si>
  <si>
    <t xml:space="preserve">https://downloads.khinsider.com/game-soundtracks/album/pokemon-red-green-blue-yellow/03%2520Title%2520Screen.mp3</t>
  </si>
  <si>
    <t xml:space="preserve">Bourg Pallet</t>
  </si>
  <si>
    <t xml:space="preserve">https://downloads.khinsider.com/game-soundtracks/album/pokemon-red-green-blue-yellow/04%2520Pallet%2520Town.mp3</t>
  </si>
  <si>
    <t xml:space="preserve">Hurry Along</t>
  </si>
  <si>
    <t xml:space="preserve">https://downloads.khinsider.com/game-soundtracks/album/pokemon-red-green-blue-yellow/06.%2520Hurry%2520Along.mp3</t>
  </si>
  <si>
    <t xml:space="preserve">Pkmn Lab</t>
  </si>
  <si>
    <t xml:space="preserve">https://downloads.khinsider.com/game-soundtracks/album/pokemon-red-green-blue-yellow/07.%2520Pok%25C3%25A9mon%2520Lab.mp3</t>
  </si>
  <si>
    <t xml:space="preserve">Rival</t>
  </si>
  <si>
    <t xml:space="preserve">https://downloads.khinsider.com/game-soundtracks/album/pokemon-red-green-blue-yellow/09.%2520Rival%2520Appears%2521.mp3</t>
  </si>
  <si>
    <t xml:space="preserve">Trainer Battle</t>
  </si>
  <si>
    <t xml:space="preserve">https://downloads.khinsider.com/game-soundtracks/album/pokemon-red-green-blue-yellow/12.%2520Victory%2521%2520%2528Trainer%2520Battle%2529.mp3</t>
  </si>
  <si>
    <t xml:space="preserve">Viridian City (Jadielle)</t>
  </si>
  <si>
    <t xml:space="preserve">https://downloads.khinsider.com/game-soundtracks/album/pokemon-red-green-blue-yellow/17%2520Viridian%2520City.mp3</t>
  </si>
  <si>
    <t xml:space="preserve">Pkmn Center</t>
  </si>
  <si>
    <t xml:space="preserve">https://downloads.khinsider.com/game-soundtracks/album/pokemon-red-green-blue-yellow/18%2520Pok%25C3%25A9mon%2520Center.mp3</t>
  </si>
  <si>
    <t xml:space="preserve">Viridian Forest (Foret de jade)</t>
  </si>
  <si>
    <t xml:space="preserve">https://downloads.khinsider.com/game-soundtracks/album/pokemon-red-green-blue-yellow/22%2520Viridian%2520Forest.mp3</t>
  </si>
  <si>
    <t xml:space="preserve">Trainer (Boy)</t>
  </si>
  <si>
    <t xml:space="preserve">https://downloads.khinsider.com/game-soundtracks/album/pokemon-red-green-blue-yellow/23.%2520A%2520Trainer%2520Appears%2520%2528Boy%2520Version%2529.mp3</t>
  </si>
  <si>
    <t xml:space="preserve">Bycicle</t>
  </si>
  <si>
    <t xml:space="preserve">https://downloads.khinsider.com/game-soundtracks/album/pokemon-red-green-blue-yellow/38.%2520Bicycle.mp3</t>
  </si>
  <si>
    <t xml:space="preserve">Celadon City (Céladopole)</t>
  </si>
  <si>
    <t xml:space="preserve">https://downloads.khinsider.com/game-soundtracks/album/pokemon-red-green-blue-yellow/41%2520Celadon%2520City.mp3</t>
  </si>
  <si>
    <t xml:space="preserve">Pkmn Tower</t>
  </si>
  <si>
    <t xml:space="preserve">https://downloads.khinsider.com/game-soundtracks/album/pokemon-red-green-blue-yellow/45%2520Pok%25C3%25A9mon%2520Tower.mp3</t>
  </si>
  <si>
    <t xml:space="preserve">Victory Road</t>
  </si>
  <si>
    <t xml:space="preserve">https://downloads.khinsider.com/game-soundtracks/album/pokemon-red-green-blue-yellow/50%2520Victory%2520Road.mp3</t>
  </si>
  <si>
    <t xml:space="preserve">Pkmn Gym</t>
  </si>
  <si>
    <t xml:space="preserve">https://downloads.khinsider.com/game-soundtracks/album/pokemon-red-green-blue-yellow/27%2520Pok%25C3%25A9mon%2520Gym.mp3</t>
  </si>
  <si>
    <t xml:space="preserve">Gym Battle</t>
  </si>
  <si>
    <t xml:space="preserve">https://downloads.khinsider.com/game-soundtracks/album/pokemon-red-green-blue-yellow/28.%2520Battle%2521%2520%2528Gym%2520Leader%2529.mp3</t>
  </si>
  <si>
    <t xml:space="preserve">Route 3</t>
  </si>
  <si>
    <t xml:space="preserve">https://downloads.khinsider.com/game-soundtracks/album/pokemon-red-green-blue-yellow/30%2520Route%25203.mp3</t>
  </si>
  <si>
    <t xml:space="preserve">Mt Moon (Mont sélénite)</t>
  </si>
  <si>
    <t xml:space="preserve">https://downloads.khinsider.com/game-soundtracks/album/pokemon-red-green-blue-yellow/32%2520Mt.%2520Moon.mp3</t>
  </si>
  <si>
    <t xml:space="preserve">Trainer (Bad Guy)</t>
  </si>
  <si>
    <t xml:space="preserve">https://downloads.khinsider.com/game-soundtracks/album/pokemon-red-green-blue-yellow/33.%2520A%2520Trainer%2520Appears%2520%2528Bad%2520Guy%2520Version%2529.mp3</t>
  </si>
  <si>
    <t xml:space="preserve">Cerulean City (Azuria)</t>
  </si>
  <si>
    <t xml:space="preserve">https://downloads.khinsider.com/game-soundtracks/album/pokemon-red-green-blue-yellow/34%2520Cerulean%2520City.mp3</t>
  </si>
  <si>
    <t xml:space="preserve">Route 1</t>
  </si>
  <si>
    <t xml:space="preserve">https://audio.jukehost.co.uk/3fscAMvpTRV4Yy7jOI344TKsyN0vcM4O</t>
  </si>
  <si>
    <t xml:space="preserve">Lavanville</t>
  </si>
  <si>
    <t xml:space="preserve">Wild Pokemon Battle</t>
  </si>
  <si>
    <t xml:space="preserve">https://audio.jukehost.co.uk/kHFUUUOgtQozg8JKKMCxX5bChqEQoGbp</t>
  </si>
  <si>
    <t xml:space="preserve">Gen 2</t>
  </si>
  <si>
    <t xml:space="preserve">Route 29</t>
  </si>
  <si>
    <t xml:space="preserve">https://audio.jukehost.co.uk/tdayZolqZ9VA8kbSkolFP7cFR5Kp3nIh</t>
  </si>
  <si>
    <t xml:space="preserve">Gen 2 Remaster</t>
  </si>
  <si>
    <t xml:space="preserve">Goldenrod City/Doublonville</t>
  </si>
  <si>
    <t xml:space="preserve">https://audio.jukehost.co.uk/iUsOjrJ9IPrv8VK7fpAHuutctZBMeiLp</t>
  </si>
  <si>
    <t xml:space="preserve">https://audio.jukehost.co.uk/Du0AyyL3EGhOnL9jKF8nJdq8S3VhZbgn</t>
  </si>
  <si>
    <t xml:space="preserve">New Bark Town</t>
  </si>
  <si>
    <t xml:space="preserve">https://audio.jukehost.co.uk/Ap1h0i9AOsS5LdHyRr4iz78F8bsL7tG4</t>
  </si>
  <si>
    <t xml:space="preserve">https://audio.jukehost.co.uk/FQ568qYG5qZJC7LkQUGwifYNSEgOWplT</t>
  </si>
  <si>
    <t xml:space="preserve">Gen 3</t>
  </si>
  <si>
    <t xml:space="preserve">Abandoned Ship</t>
  </si>
  <si>
    <t xml:space="preserve">https://audio.jukehost.co.uk/Y2p0kMyOIeRADX4o1X8bq2AOFoYcsMnT</t>
  </si>
  <si>
    <t xml:space="preserve">Dive</t>
  </si>
  <si>
    <t xml:space="preserve">https://audio.jukehost.co.uk/g1DPFrmfSAtykVEDf6pGtmH5FPMPyzhd</t>
  </si>
  <si>
    <t xml:space="preserve">https://audio.jukehost.co.uk/tZGnya2JfTGHehqZA9yU8iI0poPiH3jY</t>
  </si>
  <si>
    <t xml:space="preserve">Gen 3 Remaster</t>
  </si>
  <si>
    <t xml:space="preserve">Zinnia battle theme</t>
  </si>
  <si>
    <t xml:space="preserve">https://audio.jukehost.co.uk/YOH7qTmb8LDwIk1WJdhVmtvHaMB0dzyN</t>
  </si>
  <si>
    <t xml:space="preserve">Gen 4</t>
  </si>
  <si>
    <t xml:space="preserve">Cynthia theme</t>
  </si>
  <si>
    <t xml:space="preserve">https://audio.jukehost.co.uk/MsvZLpZjBkHGkGrkC9kDL74zHdLYirrg</t>
  </si>
  <si>
    <t xml:space="preserve">Distorion World</t>
  </si>
  <si>
    <t xml:space="preserve">Lake</t>
  </si>
  <si>
    <t xml:space="preserve">https://audio.jukehost.co.uk/ZGnUR96jDdlPWVO55wYRtQ0rR9qRia3G</t>
  </si>
  <si>
    <t xml:space="preserve">Route 209</t>
  </si>
  <si>
    <t xml:space="preserve">https://audio.jukehost.co.uk/pd272B3IINvcxRRdH65AbcZgdzB8nPir</t>
  </si>
  <si>
    <t xml:space="preserve">Gen 5</t>
  </si>
  <si>
    <t xml:space="preserve">Arabelle</t>
  </si>
  <si>
    <t xml:space="preserve">https://audio.jukehost.co.uk/wTF7nkhQZwHygyN63BN0LxxYvLYzjRWq</t>
  </si>
  <si>
    <t xml:space="preserve">https://audio.jukehost.co.uk/wFDoIacmCgBUZAjeEiD7jVtxBQy3fRAx</t>
  </si>
  <si>
    <t xml:space="preserve">Battle Trainer</t>
  </si>
  <si>
    <t xml:space="preserve">Showdown</t>
  </si>
  <si>
    <t xml:space="preserve">Elite four battle theme</t>
  </si>
  <si>
    <t xml:space="preserve">https://audio.jukehost.co.uk/FHfQalrgk53ST6U1Sk4MrHwYySotT9Ne</t>
  </si>
  <si>
    <t xml:space="preserve">Emotion</t>
  </si>
  <si>
    <t xml:space="preserve">https://audio.jukehost.co.uk/IWm2VAvStcbJcXfafDpERlr8PG9x004N</t>
  </si>
  <si>
    <t xml:space="preserve">Entralink theme</t>
  </si>
  <si>
    <t xml:space="preserve">https://audio.jukehost.co.uk/kcywNAN4U0uvD88AfYwDzHHey9cJcCF6</t>
  </si>
  <si>
    <t xml:space="preserve">Nicolai battle theme</t>
  </si>
  <si>
    <t xml:space="preserve">https://audio.jukehost.co.uk/y2OcSqy5FuC8QocpOhmuiH5wguaEZoud</t>
  </si>
  <si>
    <t xml:space="preserve">Port Youneve</t>
  </si>
  <si>
    <t xml:space="preserve">Driftveil City</t>
  </si>
  <si>
    <t xml:space="preserve">https://audio.jukehost.co.uk/Lx2mA69w9jFMFGkh5T5tXZFkhdvJYqxf</t>
  </si>
  <si>
    <t xml:space="preserve">Rival Battle</t>
  </si>
  <si>
    <t xml:space="preserve">https://audio.jukehost.co.uk/vOyt7yQMaimM0u6qLvxOJLI1BgG7bt6u</t>
  </si>
  <si>
    <t xml:space="preserve">Route 10</t>
  </si>
  <si>
    <t xml:space="preserve">https://audio.jukehost.co.uk/VKo3a3gQDP7RFJ2zxS5qu9Gnjpa3TXFx</t>
  </si>
  <si>
    <t xml:space="preserve">Wild</t>
  </si>
  <si>
    <t xml:space="preserve">Gen 6</t>
  </si>
  <si>
    <t xml:space="preserve">https://audio.jukehost.co.uk/T9oPVlGBDKHJ9Myct1RvhepJt5enwIJW</t>
  </si>
  <si>
    <t xml:space="preserve">Gen 7</t>
  </si>
  <si>
    <t xml:space="preserve">Gladion battle theme</t>
  </si>
  <si>
    <t xml:space="preserve">https://audio.jukehost.co.uk/uCZF3pHIfIDxpxelxgBne3zXFWFhIxuP</t>
  </si>
  <si>
    <t xml:space="preserve">https://audio.jukehost.co.uk/PyWgaT3ITqd5lWq7PnktSeNafzpQZlku</t>
  </si>
  <si>
    <t xml:space="preserve">Gen 8</t>
  </si>
  <si>
    <t xml:space="preserve">Marnie</t>
  </si>
  <si>
    <t xml:space="preserve">https://audio.jukehost.co.uk/txLXQK9MCsZdrcOy9Zu7WEcYnU8LUj8z</t>
  </si>
  <si>
    <t xml:space="preserve">Mustard</t>
  </si>
  <si>
    <t xml:space="preserve">https://audio.jukehost.co.uk/W6Re3bHeitJW4WpUg1TtOW1PGmbY3paX</t>
  </si>
  <si>
    <t xml:space="preserve">Peony</t>
  </si>
  <si>
    <t xml:space="preserve">https://audio.jukehost.co.uk/JEXO7lwfWnmKpjH1d6a7eOj3Qmfz1KF3</t>
  </si>
  <si>
    <t xml:space="preserve">Gen 9</t>
  </si>
  <si>
    <t xml:space="preserve">Final boss</t>
  </si>
  <si>
    <t xml:space="preserve">Zero Lab/Sada/Olim/Turo/Turum</t>
  </si>
  <si>
    <t xml:space="preserve">https://audio.jukehost.co.uk/yiZAMHQEDfMyuehUPhl47mmwsfZwjzvD</t>
  </si>
  <si>
    <t xml:space="preserve">Kieran</t>
  </si>
  <si>
    <t xml:space="preserve">https://audio.jukehost.co.uk/SZaUgFtrHvmcjNuUOQxg0W6AEtWIlEt1</t>
  </si>
  <si>
    <t xml:space="preserve">Penny</t>
  </si>
  <si>
    <t xml:space="preserve">https://audio.jukehost.co.uk/dxJmELONrsL9XbEGt02XQdV1NbJbcPrE</t>
  </si>
  <si>
    <t xml:space="preserve">Legends Arceus</t>
  </si>
  <si>
    <t xml:space="preserve">Origin form</t>
  </si>
  <si>
    <t xml:space="preserve">Dialga/Palkia</t>
  </si>
  <si>
    <t xml:space="preserve">https://audio.jukehost.co.uk/DyT81fbbmqYVXfZZAE0mGNKTCM9uUSKE</t>
  </si>
  <si>
    <t xml:space="preserve">Volo</t>
  </si>
  <si>
    <t xml:space="preserve">https://audio.jukehost.co.uk/rfByAbzwNVGa1LYg0NEiN4cwpthaRaLj</t>
  </si>
  <si>
    <t xml:space="preserve">PokePark 1</t>
  </si>
  <si>
    <t xml:space="preserve">Entrance</t>
  </si>
  <si>
    <t xml:space="preserve">https://audio.jukehost.co.uk/hKmMAYoRX2JrE6E7gqBksTpa2z2I7Jz6</t>
  </si>
  <si>
    <t xml:space="preserve">Loading</t>
  </si>
  <si>
    <t xml:space="preserve">https://audio.jukehost.co.uk/PSG93xm4PakvIHbpdSsbTuVR4sOV0q1f</t>
  </si>
  <si>
    <t xml:space="preserve">https://audio.jukehost.co.uk/L204gxRVvIUr5Mrs58DWmAsdCQ1beClT</t>
  </si>
  <si>
    <t xml:space="preserve">PokePark 2</t>
  </si>
  <si>
    <t xml:space="preserve">Monde des voeux : Cake</t>
  </si>
  <si>
    <t xml:space="preserve">https://audio.jukehost.co.uk/mCL2tMF1NKezApz2GisHjOLQ1rNcizdY</t>
  </si>
  <si>
    <t xml:space="preserve">Monde des voeux : Danse</t>
  </si>
  <si>
    <t xml:space="preserve">https://audio.jukehost.co.uk/DtThTSzvm0wbk44IwEJR7T9lEdFYgAbo</t>
  </si>
  <si>
    <t xml:space="preserve">Pokémon</t>
  </si>
  <si>
    <t xml:space="preserve">Pokémon Shuffle</t>
  </si>
  <si>
    <t xml:space="preserve">Galerie Rouge</t>
  </si>
  <si>
    <t xml:space="preserve">https://downloads.khinsider.com/game-soundtracks/album/pok-mon-shuffle-3ds-gamerip-2015/08.%2520Galerie%2520Rouge.mp3</t>
  </si>
  <si>
    <t xml:space="preserve">Isla Asul</t>
  </si>
  <si>
    <t xml:space="preserve">https://downloads.khinsider.com/game-soundtracks/album/pok-mon-shuffle-3ds-gamerip-2015/06.%2520Isla%2520Asul.mp3</t>
  </si>
  <si>
    <t xml:space="preserve">Rainbow Park</t>
  </si>
  <si>
    <t xml:space="preserve">https://downloads.khinsider.com/game-soundtracks/album/pok-mon-shuffle-3ds-gamerip-2015/07.%2520Rainbow%2520Park.mp3</t>
  </si>
  <si>
    <t xml:space="preserve">Silbern Museum</t>
  </si>
  <si>
    <t xml:space="preserve">https://downloads.khinsider.com/game-soundtracks/album/pok-mon-shuffle-3ds-gamerip-2015/10.%2520Silbern%2520Museum.mp3</t>
  </si>
  <si>
    <t xml:space="preserve">Sweet Strasse</t>
  </si>
  <si>
    <t xml:space="preserve">https://downloads.khinsider.com/game-soundtracks/album/pok-mon-shuffle-3ds-gamerip-2015/09.%2520Sweet%2520Strasse.mp3</t>
  </si>
  <si>
    <t xml:space="preserve">https://downloads.khinsider.com/game-soundtracks/album/pok-mon-shuffle-3ds-gamerip-2015/02.%2520Title%2520Screen.mp3</t>
  </si>
  <si>
    <t xml:space="preserve">Pokemon Donjon Mystère</t>
  </si>
  <si>
    <t xml:space="preserve">Mystery Dungeon : Explorers of Sky</t>
  </si>
  <si>
    <t xml:space="preserve">Dialga's Fight to the Finish!</t>
  </si>
  <si>
    <t xml:space="preserve">https://downloads.khinsider.com/game-soundtracks/album/pokemon-mystery-dungeon-explorers-of-sky/68.%2520Dialga%2527s%2520Fight%2520to%2520the%2520Finish%2521.mp3</t>
  </si>
  <si>
    <t xml:space="preserve">Don't ever forget</t>
  </si>
  <si>
    <t xml:space="preserve">https://downloads.khinsider.com/game-soundtracks/album/pokemon-mystery-dungeon-explorers-of-sky/70.%2520Don%2527t%2520Ever%2520Forget....mp3</t>
  </si>
  <si>
    <t xml:space="preserve">Temporal Tower</t>
  </si>
  <si>
    <t xml:space="preserve">https://downloads.khinsider.com/game-soundtracks/album/pokemon-mystery-dungeon-explorers-of-sky/64.%2520Temporal%2520Tower.mp3</t>
  </si>
  <si>
    <t xml:space="preserve">Mystery Dungeon Gates to Infinity</t>
  </si>
  <si>
    <t xml:space="preserve">Ragged Mountain</t>
  </si>
  <si>
    <t xml:space="preserve">Pokemon Donjon Mystère : Exploreurs du Ciel</t>
  </si>
  <si>
    <t xml:space="preserve">Don't Ever Forget</t>
  </si>
  <si>
    <t xml:space="preserve">https://audio.jukehost.co.uk/xVhYtLVwjA21bY9F5e89Sl8ZVluJ4kop</t>
  </si>
  <si>
    <t xml:space="preserve">Super Pokemon Donjon Mystère</t>
  </si>
  <si>
    <t xml:space="preserve">Pokemon Donjon Mystère </t>
  </si>
  <si>
    <t xml:space="preserve">Pokemon Donjon Mystère : Blue Rescue Team</t>
  </si>
  <si>
    <t xml:space="preserve">https://downloads.khinsider.com/game-soundtracks/album/pokemon-mystery-dungeon-blue-rescue-team/01.%2520Opening.mp3</t>
  </si>
  <si>
    <t xml:space="preserve">Pokemon Square</t>
  </si>
  <si>
    <t xml:space="preserve">https://downloads.khinsider.com/game-soundtracks/album/pokemon-mystery-dungeon-blue-rescue-team/13.%2520Pokemon%2520Square.mp3</t>
  </si>
  <si>
    <t xml:space="preserve">Rescue Base</t>
  </si>
  <si>
    <t xml:space="preserve">https://downloads.khinsider.com/game-soundtracks/album/pokemon-mystery-dungeon-blue-rescue-team/10.%2520Rescue%2520Base.mp3</t>
  </si>
  <si>
    <t xml:space="preserve">Top Menu</t>
  </si>
  <si>
    <t xml:space="preserve">https://downloads.khinsider.com/game-soundtracks/album/pokemon-mystery-dungeon-blue-rescue-team/03.%2520Top%2520Menu.mp3</t>
  </si>
  <si>
    <t xml:space="preserve">Welcome to the World of Pokemon</t>
  </si>
  <si>
    <t xml:space="preserve">https://downloads.khinsider.com/game-soundtracks/album/pokemon-mystery-dungeon-blue-rescue-team/04.%2520Welcome%2521%2520To%2520the%2520World%2520of%2520Pokemon%2521.mp3</t>
  </si>
  <si>
    <t xml:space="preserve">Portal</t>
  </si>
  <si>
    <t xml:space="preserve">Still alive</t>
  </si>
  <si>
    <t xml:space="preserve">https://audio.jukehost.co.uk/upWKz8NL7VWKieX8imsbxr37OZDHbSAY</t>
  </si>
  <si>
    <t xml:space="preserve">Portal 2</t>
  </si>
  <si>
    <t xml:space="preserve">Machiavellian Bach</t>
  </si>
  <si>
    <t xml:space="preserve">https://jetta.vgmtreasurechest.com/soundtracks/portal-2-soundtrack-songs-to-test-by-collectors-edition/bwgodxcu/3-04%20-%20Machiavellian%20Bach.mp3</t>
  </si>
  <si>
    <t xml:space="preserve">Reconstructing More Science</t>
  </si>
  <si>
    <t xml:space="preserve">https://audio.jukehost.co.uk/a37kA1BSebVHcxKhOyqQndc2XoxdaJxA</t>
  </si>
  <si>
    <t xml:space="preserve">Robots FTW</t>
  </si>
  <si>
    <t xml:space="preserve">https://jetta.vgmtreasurechest.com/soundtracks/portal-2-soundtrack-songs-to-test-by-collectors-edition/dohvemyd/3-24%20-%20Robots%20FTW.mp3</t>
  </si>
  <si>
    <t xml:space="preserve">Want you gone</t>
  </si>
  <si>
    <t xml:space="preserve">https://audio.jukehost.co.uk/Kbv89qV96PacGdkDoFcWRzLhUbzhfQzU</t>
  </si>
  <si>
    <t xml:space="preserve">Prey</t>
  </si>
  <si>
    <t xml:space="preserve">Everything is going to be okay</t>
  </si>
  <si>
    <t xml:space="preserve">https://audio.jukehost.co.uk/GgVHZ43CnEbNbGG7IUo7hIdGSnZybC4U</t>
  </si>
  <si>
    <t xml:space="preserve">Prince of persia</t>
  </si>
  <si>
    <t xml:space="preserve">The lost crown</t>
  </si>
  <si>
    <t xml:space="preserve">https://audio.jukehost.co.uk/sefke4cpFVXAad42QhdWhVdIIPYv05QC</t>
  </si>
  <si>
    <t xml:space="preserve">Prince of Persia</t>
  </si>
  <si>
    <t xml:space="preserve">Warrior Within</t>
  </si>
  <si>
    <t xml:space="preserve">Conflict at the entrance</t>
  </si>
  <si>
    <t xml:space="preserve">https://audio.jukehost.co.uk/aFggaivHvdF2Wxcyo5HNbTV8lShUXetd</t>
  </si>
  <si>
    <t xml:space="preserve">Professor Layton</t>
  </si>
  <si>
    <t xml:space="preserve">The Curious Village</t>
  </si>
  <si>
    <t xml:space="preserve">Professor Layton theme</t>
  </si>
  <si>
    <t xml:space="preserve">https://audio.jukehost.co.uk/Z74BnrG9bTslBt9lQDzxQdXA3eFQwRW1</t>
  </si>
  <si>
    <t xml:space="preserve">Puzzles</t>
  </si>
  <si>
    <t xml:space="preserve">https://vgmtreasurechest.com/soundtracks/professor-layton-and-the-curious-village/waxhdylvtw/05.%20Puzzles.mp3</t>
  </si>
  <si>
    <t xml:space="preserve">The Diabolical Box</t>
  </si>
  <si>
    <t xml:space="preserve">Pandora's box theme</t>
  </si>
  <si>
    <t xml:space="preserve">The Elysian Box Theme</t>
  </si>
  <si>
    <t xml:space="preserve">https://audio.jukehost.co.uk/es8jFRxkAnYQF9EhVvyYNl3ppjT5G2mL</t>
  </si>
  <si>
    <t xml:space="preserve">The Unwound Future</t>
  </si>
  <si>
    <t xml:space="preserve">Theme of the Last Time Travel</t>
  </si>
  <si>
    <t xml:space="preserve">https://nu.vgmtreasurechest.com/soundtracks/professor-layton-and-the-unwound-future-hd-android-ios-mobile-gamerip-2020/gkjoswfk/01.%20Theme%20of%20the%20Last%20Time%20Travel.mp3</t>
  </si>
  <si>
    <t xml:space="preserve">Pyre</t>
  </si>
  <si>
    <t xml:space="preserve">In the flame</t>
  </si>
  <si>
    <t xml:space="preserve">https://audio.jukehost.co.uk/m0KvgHSKHqMlczeCFo58ItQNE4y6yFdB</t>
  </si>
  <si>
    <t xml:space="preserve">Rain Code</t>
  </si>
  <si>
    <t xml:space="preserve">Master Detective Archives : Rain Code</t>
  </si>
  <si>
    <t xml:space="preserve">Deduction Denouement</t>
  </si>
  <si>
    <t xml:space="preserve">Detectives Theme</t>
  </si>
  <si>
    <t xml:space="preserve">Exotic Nation</t>
  </si>
  <si>
    <t xml:space="preserve">RAIN CODE</t>
  </si>
  <si>
    <t xml:space="preserve">Shinigami Puzzle</t>
  </si>
  <si>
    <t xml:space="preserve">Ratchet and Clank</t>
  </si>
  <si>
    <t xml:space="preserve">Rayman</t>
  </si>
  <si>
    <t xml:space="preserve">Legends</t>
  </si>
  <si>
    <t xml:space="preserve">Castle Rock</t>
  </si>
  <si>
    <t xml:space="preserve">https://audio.jukehost.co.uk/yD5kIqHZ05BS86FdIldvWNyw2DxKYng9</t>
  </si>
  <si>
    <t xml:space="preserve">Dragon Slayer</t>
  </si>
  <si>
    <t xml:space="preserve">https://audio.jukehost.co.uk/AtBrZPsxuWWay2EBxIbmPlRcKiBUSgN1</t>
  </si>
  <si>
    <t xml:space="preserve">Gloo gloo</t>
  </si>
  <si>
    <t xml:space="preserve">https://audio.jukehost.co.uk/V3gjcpVF64H0iSNzeuQsp2ZpdvnclBEm</t>
  </si>
  <si>
    <t xml:space="preserve">Grannies world tour</t>
  </si>
  <si>
    <t xml:space="preserve">https://audio.jukehost.co.uk/4UdzdmG6WrqyK55l265wVDV1q8NKmkJz</t>
  </si>
  <si>
    <t xml:space="preserve">Mariachi Madness</t>
  </si>
  <si>
    <t xml:space="preserve">https://audio.jukehost.co.uk/X9JfAqfz3s4AqtleElsuk4G7ili8QIuI</t>
  </si>
  <si>
    <t xml:space="preserve">Chasing a dream</t>
  </si>
  <si>
    <t xml:space="preserve">https://audio.jukehost.co.uk/djOiGXOwh9tbV9KSDdO06x3H9rqpiRKI</t>
  </si>
  <si>
    <t xml:space="preserve">Nowhere to run</t>
  </si>
  <si>
    <t xml:space="preserve">https://audio.jukehost.co.uk/Bqp32H9oNse0wVpSFnnbg2vNnUWkfZFZ</t>
  </si>
  <si>
    <t xml:space="preserve">Rayman 2 gbc</t>
  </si>
  <si>
    <t xml:space="preserve">https://www.youtube.com/watch?v=tl5jje78Ya4</t>
  </si>
  <si>
    <t xml:space="preserve">Red Dead Redemption</t>
  </si>
  <si>
    <t xml:space="preserve">RDR2</t>
  </si>
  <si>
    <t xml:space="preserve">May I? Unshaken</t>
  </si>
  <si>
    <t xml:space="preserve">https://audio.jukehost.co.uk/a1YPGEu5xXaw1Mh4PpoMOQNBr9vnhtyx</t>
  </si>
  <si>
    <t xml:space="preserve">Resident Evil</t>
  </si>
  <si>
    <t xml:space="preserve">RE4</t>
  </si>
  <si>
    <t xml:space="preserve">Save room</t>
  </si>
  <si>
    <t xml:space="preserve">https://audio.jukehost.co.uk/P5Cls83KL9m1TgkCZACqzjQd4O11bgNS</t>
  </si>
  <si>
    <t xml:space="preserve">RE4 remake</t>
  </si>
  <si>
    <t xml:space="preserve">The drive</t>
  </si>
  <si>
    <t xml:space="preserve">RE6</t>
  </si>
  <si>
    <t xml:space="preserve">The mercenaries theme</t>
  </si>
  <si>
    <t xml:space="preserve">https://audio.jukehost.co.uk/Xp0CGnyYf4zC0n6PtOnfhq11MkntQCy1</t>
  </si>
  <si>
    <t xml:space="preserve">Risk of Rain</t>
  </si>
  <si>
    <t xml:space="preserve">Coalescence</t>
  </si>
  <si>
    <t xml:space="preserve">https://audio.jukehost.co.uk/0myT3cCKf0BFPhstMYjjiYH3zwlEqQv0</t>
  </si>
  <si>
    <t xml:space="preserve">ROR2</t>
  </si>
  <si>
    <t xml:space="preserve">...con lentitud poderosa</t>
  </si>
  <si>
    <t xml:space="preserve">https://audio.jukehost.co.uk/BY6eS65Kid4di3ZQ9uXpvkAZLre7fABA</t>
  </si>
  <si>
    <t xml:space="preserve">Antarctic Oscillation</t>
  </si>
  <si>
    <t xml:space="preserve">https://audio.jukehost.co.uk/aGOT7CrUtdxxESIJ0Veo9xov9hjWm5Y4</t>
  </si>
  <si>
    <t xml:space="preserve">Into the Doldrums</t>
  </si>
  <si>
    <t xml:space="preserve">https://audio.jukehost.co.uk/EobXVmTpRhtFmXBPGgg58bUWpDW1rBXY</t>
  </si>
  <si>
    <t xml:space="preserve">Köppen As Fuck</t>
  </si>
  <si>
    <t xml:space="preserve">https://audio.jukehost.co.uk/BHRClplwSFTuWhwugcOiRJEMrNtMNARo</t>
  </si>
  <si>
    <t xml:space="preserve">Risk of Rain 2</t>
  </si>
  <si>
    <t xml:space="preserve">https://audio.jukehost.co.uk/7YBdw86Ue8kY1oPnu8TP5p0NesJtU2DT</t>
  </si>
  <si>
    <t xml:space="preserve">Terra Pluviam</t>
  </si>
  <si>
    <t xml:space="preserve">https://audio.jukehost.co.uk/Jbi6qjnDR4XYF2gTmZ7R9if9tjkMq5vB</t>
  </si>
  <si>
    <t xml:space="preserve">The Rain Formerly Known as Purple</t>
  </si>
  <si>
    <t xml:space="preserve">https://audio.jukehost.co.uk/V3Pd2m6siYYZqnWbHpVfZqNg5rM7EySA</t>
  </si>
  <si>
    <t xml:space="preserve">You're Gonna Need a Bigger Ukulele</t>
  </si>
  <si>
    <t xml:space="preserve">https://audio.jukehost.co.uk/oauLLk3lMhfjOIFJrN53m5fHshPoFxrJ</t>
  </si>
  <si>
    <t xml:space="preserve">ROR2 DLC</t>
  </si>
  <si>
    <t xml:space="preserve">Having Fallen It Was Blood</t>
  </si>
  <si>
    <t xml:space="preserve">https://audio.jukehost.co.uk/lWwfCuiocEUzC006QS1zUOVxmAbjIEqZ</t>
  </si>
  <si>
    <t xml:space="preserve">The Face of the Deep</t>
  </si>
  <si>
    <t xml:space="preserve">https://audio.jukehost.co.uk/2ExXMJ3t34bls8FfPR0b8GRudrtg88T2</t>
  </si>
  <si>
    <t xml:space="preserve">Rivals of Aether</t>
  </si>
  <si>
    <t xml:space="preserve">Fighter select 2</t>
  </si>
  <si>
    <t xml:space="preserve">https://audio.jukehost.co.uk/nUSUF1OcbvKUD2yin4NZrZNCkhV7kDNm</t>
  </si>
  <si>
    <t xml:space="preserve">Rivals of Aether 2</t>
  </si>
  <si>
    <t xml:space="preserve">Fight and Flight</t>
  </si>
  <si>
    <t xml:space="preserve">https://audio.jukehost.co.uk/DjyCAKD2tJIroUoIcLt9mq0oK9wOnzqz</t>
  </si>
  <si>
    <t xml:space="preserve">Julesvale</t>
  </si>
  <si>
    <t xml:space="preserve">https://audio.jukehost.co.uk/JKRqwCqIVWe975vqlZJtcfdxiM5s8Zz4</t>
  </si>
  <si>
    <t xml:space="preserve">https://audio.jukehost.co.uk/IM5r1NMm7zuPHIIY8ydFzQknsHU9kPId</t>
  </si>
  <si>
    <t xml:space="preserve">Rock wall 2</t>
  </si>
  <si>
    <t xml:space="preserve">https://audio.jukehost.co.uk/0zrGOuUv73k23TLbduZzabDDZ6jT3BKC</t>
  </si>
  <si>
    <t xml:space="preserve">Rocket League</t>
  </si>
  <si>
    <t xml:space="preserve">Castaway</t>
  </si>
  <si>
    <t xml:space="preserve">Cities</t>
  </si>
  <si>
    <t xml:space="preserve">https://audio.jukehost.co.uk/SrdGoSNEbXDlcOsIvjKDsOcN54ieVpyY</t>
  </si>
  <si>
    <t xml:space="preserve">Eternal</t>
  </si>
  <si>
    <t xml:space="preserve">Glide</t>
  </si>
  <si>
    <t xml:space="preserve">https://audio.jukehost.co.uk/cYZGuIsyaIfV6vQyN8gh1FBa6Zdtsge1</t>
  </si>
  <si>
    <t xml:space="preserve">Rogue Legacy</t>
  </si>
  <si>
    <t xml:space="preserve">RV There Yet?</t>
  </si>
  <si>
    <t xml:space="preserve">Jesus Take the Wheel</t>
  </si>
  <si>
    <t xml:space="preserve">https://nu.vgmtreasurechest.com/soundtracks/rv-there-yet-soundtrack-2025/iwhuuekvnh/01.%20Jesus%20Take%20The%20Wheel.mp3</t>
  </si>
  <si>
    <t xml:space="preserve">Relax Embrace</t>
  </si>
  <si>
    <t xml:space="preserve">https://nu.vgmtreasurechest.com/soundtracks/rv-there-yet-soundtrack-2025/vpbfieawio/02.%20Relax%20Embrace.mp3</t>
  </si>
  <si>
    <t xml:space="preserve">Sable</t>
  </si>
  <si>
    <t xml:space="preserve">Glider</t>
  </si>
  <si>
    <t xml:space="preserve">https://audio.jukehost.co.uk/wIHtt1HacDIrTNz48tf5nvW7WybW9GUg</t>
  </si>
  <si>
    <t xml:space="preserve">Scarlet Nexus</t>
  </si>
  <si>
    <t xml:space="preserve">A freezing breath</t>
  </si>
  <si>
    <t xml:space="preserve">https://audio.jukehost.co.uk/1y9mQUjUmMfdxn3WgtgcjVBQe6HXLhNP</t>
  </si>
  <si>
    <t xml:space="preserve">https://audio.jukehost.co.uk/35OTDnDF0OfQmEqsWIutTw3hwZcFk2CI</t>
  </si>
  <si>
    <t xml:space="preserve">Sea of Stars</t>
  </si>
  <si>
    <t xml:space="preserve">Dance of 1,000 Suns</t>
  </si>
  <si>
    <t xml:space="preserve">https://downloads.khinsider.com/game-soundtracks/album/sea-of-stars-original-soundtrack-2023/1-10.%2520Dance%2520Of%25201%252C000%2520Suns.mp3</t>
  </si>
  <si>
    <t xml:space="preserve">https://jetta.vgmtreasurechest.com/soundtracks/sea-of-stars-original-soundtrack-2023/vapzzafa/1-10.%20Dance%20Of%201%2C000%20Suns.mp3</t>
  </si>
  <si>
    <t xml:space="preserve">Encounter Elite</t>
  </si>
  <si>
    <t xml:space="preserve">https://jetta.vgmtreasurechest.com/soundtracks/sea-of-stars-original-soundtrack-2023/lkpxpjci/1-43.%20Encounter%20Elite%21.mp3</t>
  </si>
  <si>
    <t xml:space="preserve">Guardian Gods - Horizons Unbound</t>
  </si>
  <si>
    <t xml:space="preserve">https://downloads.khinsider.com/game-soundtracks/album/sea-of-stars-original-soundtrack-2023/2-34.%2520Guardian%2520Gods%2520-%2520Horizons%2520Unbound.mp3</t>
  </si>
  <si>
    <t xml:space="preserve">https://vgmtreasurechest.com/soundtracks/sea-of-stars-original-soundtrack-2023/jggnvqqf/2-34.%20Guardian%20Gods%20-%20Horizons%20Unbound.mp3</t>
  </si>
  <si>
    <t xml:space="preserve">Overture of Legend - The Beast Awakens</t>
  </si>
  <si>
    <t xml:space="preserve">https://downloads.khinsider.com/game-soundtracks/album/sea-of-stars-original-soundtrack-2023/2-31.%2520Overture%2520Of%2520Legend%2520-%2520The%2520Beast%2520Awakens.mp3</t>
  </si>
  <si>
    <t xml:space="preserve">https://vgmtreasurechest.com/soundtracks/sea-of-stars-original-soundtrack-2023/gnulvvqr/2-31.%20Overture%20Of%20Legend%20-%20The%20Beast%20Awakens.mp3</t>
  </si>
  <si>
    <t xml:space="preserve">Sky Base</t>
  </si>
  <si>
    <t xml:space="preserve">https://downloads.khinsider.com/game-soundtracks/album/sea-of-stars-original-soundtrack-physical-release-2023/2-14.%2520Sky%2520Base.mp3</t>
  </si>
  <si>
    <t xml:space="preserve">https://nu.vgmtreasurechest.com/soundtracks/sea-of-stars-original-soundtrack-physical-release-2023/pywphqho/2-14.%20Sky%20Base.mp3</t>
  </si>
  <si>
    <t xml:space="preserve">Sea of Thieves</t>
  </si>
  <si>
    <t xml:space="preserve">https://audio.jukehost.co.uk/5in4l8ucocsbFDAkmftCMbnxAIqge75d</t>
  </si>
  <si>
    <t xml:space="preserve">Adventure Awaits</t>
  </si>
  <si>
    <t xml:space="preserve">https://audio.jukehost.co.uk/sLu7kQMxI19ov56FyHwrbTXQ5Bjnf83t</t>
  </si>
  <si>
    <t xml:space="preserve">Ballad of the Mer</t>
  </si>
  <si>
    <t xml:space="preserve">https://audio.jukehost.co.uk/xiR8pajJNp7schlYOwNugTxaLIr8yegI</t>
  </si>
  <si>
    <t xml:space="preserve">Bosun Bill</t>
  </si>
  <si>
    <t xml:space="preserve">https://audio.jukehost.co.uk/QSWTHHhIWT7WQ5ESew9bYdJ5EPfcwMJr</t>
  </si>
  <si>
    <t xml:space="preserve">Galop Infernal</t>
  </si>
  <si>
    <t xml:space="preserve">https://audio.jukehost.co.uk/xjeavdbubB2x6u29ocuJTpb1duHQSxFv</t>
  </si>
  <si>
    <t xml:space="preserve">Maiden Voyage</t>
  </si>
  <si>
    <t xml:space="preserve">https://audio.jukehost.co.uk/f88p1DvEEFZ8al7KS6qp2DXCIkMh4Dw2</t>
  </si>
  <si>
    <t xml:space="preserve">Ride of the Valkyries</t>
  </si>
  <si>
    <t xml:space="preserve">https://audio.jukehost.co.uk/6qIYSRVZD8fUoMn1lDWtWWPiiiVUlvu4</t>
  </si>
  <si>
    <t xml:space="preserve">Stitcher's Sorrow</t>
  </si>
  <si>
    <t xml:space="preserve">https://audio.jukehost.co.uk/HIIw4SiMtwCErlYo8nqvdYerRPq4Ia8d</t>
  </si>
  <si>
    <t xml:space="preserve">The Summoning</t>
  </si>
  <si>
    <t xml:space="preserve">https://audio.jukehost.co.uk/zuwYGRthl1dttXhbaeOpejUsu1AyhaYW</t>
  </si>
  <si>
    <t xml:space="preserve">Sekiro</t>
  </si>
  <si>
    <t xml:space="preserve">The one armed wolf</t>
  </si>
  <si>
    <t xml:space="preserve">https://audio.jukehost.co.uk/EJrCPM2lBE8dULGtGlNBZTiqtb9vABZG</t>
  </si>
  <si>
    <t xml:space="preserve">SEUM</t>
  </si>
  <si>
    <t xml:space="preserve">SEUM-Speedrunner from Hell</t>
  </si>
  <si>
    <t xml:space="preserve">Welcome</t>
  </si>
  <si>
    <t xml:space="preserve">https://audio.jukehost.co.uk/Mc6yvhcXUawpg4n91OwVvpIOpzETLYWV</t>
  </si>
  <si>
    <t xml:space="preserve">Shadow of the Colossus</t>
  </si>
  <si>
    <t xml:space="preserve">The opened way</t>
  </si>
  <si>
    <t xml:space="preserve">https://audio.jukehost.co.uk/UwXyAKjfIBdryr0nXraLZVGvi4i27kME</t>
  </si>
  <si>
    <t xml:space="preserve">Shin Megami Tensei</t>
  </si>
  <si>
    <t xml:space="preserve">Shin megami Tensei 4 </t>
  </si>
  <si>
    <t xml:space="preserve">Battle B2</t>
  </si>
  <si>
    <t xml:space="preserve">https://audio.jukehost.co.uk/DJYCxiwOIe0fA995j1KsIl1D6pOw9TmT</t>
  </si>
  <si>
    <t xml:space="preserve">SMT5</t>
  </si>
  <si>
    <t xml:space="preserve">Battle Da'at</t>
  </si>
  <si>
    <t xml:space="preserve">https://audio.jukehost.co.uk/ezSd27Lic00Biysc3qNJC9f9j68Nmwvj</t>
  </si>
  <si>
    <t xml:space="preserve">Shovel Knight</t>
  </si>
  <si>
    <t xml:space="preserve">Shrek</t>
  </si>
  <si>
    <t xml:space="preserve">Shrek: Dragon's Tale</t>
  </si>
  <si>
    <t xml:space="preserve">Silent Hill</t>
  </si>
  <si>
    <t xml:space="preserve">Lisa's theme</t>
  </si>
  <si>
    <t xml:space="preserve">https://www.youtube.com/watch?v=10z1Y5GW-GQ</t>
  </si>
  <si>
    <t xml:space="preserve">Silent Hill 2</t>
  </si>
  <si>
    <t xml:space="preserve">Promise (reprise)</t>
  </si>
  <si>
    <t xml:space="preserve">https://downloads.khinsider.com/game-soundtracks/album/silent-hill-2-original-video-game-soundtrack-vinyl/06.%2520Promise%2520%2528Reprise%2529.mp3</t>
  </si>
  <si>
    <t xml:space="preserve">https://nu.vgmtreasurechest.com/soundtracks/silent-hill-2-original-video-game-soundtrack-vinyl/cykgahjy/06.%20Promise%20%28Reprise%29.mp3</t>
  </si>
  <si>
    <t xml:space="preserve">Theme of Laura</t>
  </si>
  <si>
    <t xml:space="preserve">https://audio.jukehost.co.uk/IbLtbQX7xpekKAtRFRQsRb9na8Q7jkVO</t>
  </si>
  <si>
    <t xml:space="preserve">Skullgirls</t>
  </si>
  <si>
    <t xml:space="preserve">Skylanders</t>
  </si>
  <si>
    <t xml:space="preserve">Giants</t>
  </si>
  <si>
    <t xml:space="preserve">Cutthroat Carnival</t>
  </si>
  <si>
    <t xml:space="preserve">https://audio.jukehost.co.uk/4VsiUEUxPeZzNBwClhZV41ksT15iexa1</t>
  </si>
  <si>
    <t xml:space="preserve">Sleeping Dogs</t>
  </si>
  <si>
    <t xml:space="preserve">Theme D</t>
  </si>
  <si>
    <t xml:space="preserve">https://audio.jukehost.co.uk/bC9kKMuGHaILPKFHVXqSWTNvl5y2KMGJ</t>
  </si>
  <si>
    <t xml:space="preserve">Slime Rancher</t>
  </si>
  <si>
    <t xml:space="preserve">https://audio.jukehost.co.uk/4nxDZCgNRNIGGva3C8G5PSKcyUbsKV4k</t>
  </si>
  <si>
    <t xml:space="preserve">Desert Firestorm</t>
  </si>
  <si>
    <t xml:space="preserve">https://audio.jukehost.co.uk/YyFRpKyFcxotuC5QGoLByOpFRvjWmb0V</t>
  </si>
  <si>
    <t xml:space="preserve">Ranch theme</t>
  </si>
  <si>
    <t xml:space="preserve">https://audio.jukehost.co.uk/oFZ9wSe02Cl2yGuXNpiKLvx2x4SJIPHu</t>
  </si>
  <si>
    <t xml:space="preserve">Reef theme</t>
  </si>
  <si>
    <t xml:space="preserve">https://audio.jukehost.co.uk/6ARV8MPcDSdahXcq05DiRUp5GRK9FH2E</t>
  </si>
  <si>
    <t xml:space="preserve">Ruins theme</t>
  </si>
  <si>
    <t xml:space="preserve">https://audio.jukehost.co.uk/HT1sAYvWiZ9v3KypG0gXgL6dthyIpHrX</t>
  </si>
  <si>
    <t xml:space="preserve">Solatorobo</t>
  </si>
  <si>
    <t xml:space="preserve">Air in Airedale</t>
  </si>
  <si>
    <t xml:space="preserve">https://audio.jukehost.co.uk/Agqpwr2aG2wFcvMnijnD3USenWPAFFcZ</t>
  </si>
  <si>
    <t xml:space="preserve">Sonic</t>
  </si>
  <si>
    <t xml:space="preserve">Adventure 2</t>
  </si>
  <si>
    <t xml:space="preserve">Escape From The City</t>
  </si>
  <si>
    <t xml:space="preserve">Live and Learn</t>
  </si>
  <si>
    <t xml:space="preserve">Colors</t>
  </si>
  <si>
    <t xml:space="preserve">Planet wisp (act 1)</t>
  </si>
  <si>
    <t xml:space="preserve">https://audio.jukehost.co.uk/G1oi1FexgsGztxCvRJFKu6sQ3ONxbye0</t>
  </si>
  <si>
    <t xml:space="preserve">Speak With Your Heart</t>
  </si>
  <si>
    <t xml:space="preserve">Trailer</t>
  </si>
  <si>
    <t xml:space="preserve">Tropical Resort Act 1</t>
  </si>
  <si>
    <t xml:space="preserve">Frontiers</t>
  </si>
  <si>
    <t xml:space="preserve">Break Through it all</t>
  </si>
  <si>
    <t xml:space="preserve">https://audio.jukehost.co.uk/QayRjmklJKJswGmnFd4dW9VmxgbO7uPe</t>
  </si>
  <si>
    <t xml:space="preserve">Find your flame</t>
  </si>
  <si>
    <t xml:space="preserve">https://audio.jukehost.co.uk/bxWPUbJgQhaNIqs3vuHF16sHEURVLBQI</t>
  </si>
  <si>
    <t xml:space="preserve">I'm Here - Revisited</t>
  </si>
  <si>
    <t xml:space="preserve">https://audio.jukehost.co.uk/vs641HKNvoAykl8g0sBjjVBhl5AcaiOs</t>
  </si>
  <si>
    <t xml:space="preserve">Undefeatable</t>
  </si>
  <si>
    <t xml:space="preserve">https://audio.jukehost.co.uk/MVw8IKy1lNM1pZ8fmYgta0xZXNkrSrbt</t>
  </si>
  <si>
    <t xml:space="preserve">Generations</t>
  </si>
  <si>
    <t xml:space="preserve">Crisis City : Act 1</t>
  </si>
  <si>
    <t xml:space="preserve">https://audio.jukehost.co.uk/Xv5V7w2sT2fqiqoLacoYLEBozqZXwMJG</t>
  </si>
  <si>
    <t xml:space="preserve">vs Metal sonic </t>
  </si>
  <si>
    <t xml:space="preserve">https://audio.jukehost.co.uk/6Dm9sB1jlHLzeAJtaGtJX0KyaGHErz7N</t>
  </si>
  <si>
    <t xml:space="preserve">White World - Green Hill</t>
  </si>
  <si>
    <t xml:space="preserve">Heroes</t>
  </si>
  <si>
    <t xml:space="preserve">Sonic Heroes</t>
  </si>
  <si>
    <t xml:space="preserve">https://audio.jukehost.co.uk/Phgc42R5wcvvsp8phM70rQVb0rHgp5aV</t>
  </si>
  <si>
    <t xml:space="preserve">What i'm made of</t>
  </si>
  <si>
    <t xml:space="preserve">https://audio.jukehost.co.uk/je19Of4kQeKw5X2fPXCRLblu9xSEDDxR</t>
  </si>
  <si>
    <t xml:space="preserve">Lost World</t>
  </si>
  <si>
    <t xml:space="preserve">Wonder World</t>
  </si>
  <si>
    <t xml:space="preserve">Mania</t>
  </si>
  <si>
    <t xml:space="preserve">Prime Time</t>
  </si>
  <si>
    <t xml:space="preserve">Rush</t>
  </si>
  <si>
    <t xml:space="preserve">Back 2 Back</t>
  </si>
  <si>
    <t xml:space="preserve">https://audio.jukehost.co.uk/wCzYqVgShzUg32xO8A5CpfAp1vaEqC5Q</t>
  </si>
  <si>
    <t xml:space="preserve">Right There Ride On</t>
  </si>
  <si>
    <t xml:space="preserve">Shadow Generations</t>
  </si>
  <si>
    <t xml:space="preserve">Space Colony Act 1</t>
  </si>
  <si>
    <t xml:space="preserve">Shadow the Hedgehog</t>
  </si>
  <si>
    <t xml:space="preserve">I am(all of me)</t>
  </si>
  <si>
    <t xml:space="preserve">https://audio.jukehost.co.uk/zi37xTz52bCjAMrsAUGGyrXQ18WR7V1S</t>
  </si>
  <si>
    <t xml:space="preserve">The Chosen One</t>
  </si>
  <si>
    <t xml:space="preserve">Green Hill Zone</t>
  </si>
  <si>
    <t xml:space="preserve">Marble Zone</t>
  </si>
  <si>
    <t xml:space="preserve">Sonic </t>
  </si>
  <si>
    <t xml:space="preserve">Flying Battery Zone</t>
  </si>
  <si>
    <t xml:space="preserve">https://audio.jukehost.co.uk/ptZj67nebPU12brtgxfNWQh8KRlamua6</t>
  </si>
  <si>
    <t xml:space="preserve">Sonic 2</t>
  </si>
  <si>
    <t xml:space="preserve">Chemical Plant Zone</t>
  </si>
  <si>
    <t xml:space="preserve">https://vgmtreasurechest.com/soundtracks/sonic-the-hedgehog-2-anniversary-edition-genesis-shc2020-gamerip/gxpyagjwmb/19.%20Chemical%20Plant%20Zone%20-%20Act%201.mp3</t>
  </si>
  <si>
    <t xml:space="preserve">Sonic 3</t>
  </si>
  <si>
    <t xml:space="preserve">Angel Island Zone</t>
  </si>
  <si>
    <t xml:space="preserve">Sonic and Knuckles</t>
  </si>
  <si>
    <t xml:space="preserve">https://audio.jukehost.co.uk/6Wcuwn8ohCFKmk2Ltzy0VwufZYnpBfMK</t>
  </si>
  <si>
    <t xml:space="preserve">Sonic and the black Knight</t>
  </si>
  <si>
    <t xml:space="preserve">Knight of the wind</t>
  </si>
  <si>
    <t xml:space="preserve">https://audio.jukehost.co.uk/40IaugjZXxtD5ttPxR6ZaSu4EUa91f5n</t>
  </si>
  <si>
    <t xml:space="preserve">Sonic The Hedgehog (Sonic 2006)</t>
  </si>
  <si>
    <t xml:space="preserve">His World</t>
  </si>
  <si>
    <t xml:space="preserve">https://audio.jukehost.co.uk/WD4aqkOePydRd9n7gROdUDvtH7lGe39Q</t>
  </si>
  <si>
    <t xml:space="preserve">Solaris Phase 2 </t>
  </si>
  <si>
    <t xml:space="preserve">https://audio.jukehost.co.uk/zWfVFkzPtY6sKI0NVdYZLoPDVzwT8ofp</t>
  </si>
  <si>
    <t xml:space="preserve">Superstars</t>
  </si>
  <si>
    <t xml:space="preserve">Spider-Man</t>
  </si>
  <si>
    <t xml:space="preserve">Marvel's Spider-Man</t>
  </si>
  <si>
    <t xml:space="preserve">Spider-man</t>
  </si>
  <si>
    <t xml:space="preserve">Spider-man 2 : the game</t>
  </si>
  <si>
    <t xml:space="preserve">Pizza</t>
  </si>
  <si>
    <t xml:space="preserve">https://audio.jukehost.co.uk/FlR1Lq1MXTcKKrqMdo6kKSiatVLw8P2Q</t>
  </si>
  <si>
    <t xml:space="preserve">Spiritfarer</t>
  </si>
  <si>
    <t xml:space="preserve">Meteoroids</t>
  </si>
  <si>
    <t xml:space="preserve">https://lambda.vgmtreasurechest.com/soundtracks/spiritfarer-farewell-edition-2022/gnqfmoubxd/41.%20Meteoroids.mp3</t>
  </si>
  <si>
    <t xml:space="preserve">What will you leave behind</t>
  </si>
  <si>
    <t xml:space="preserve">https://lambda.vgmtreasurechest.com/soundtracks/spiritfarer-farewell-edition-2022/xaralxctln/47.%20What%20Will%20You%20Leave%20Behind%20%28End%20Titles%29%20%5Bfeat.%20Maude%20Plante-Husaruk%5D.mp3</t>
  </si>
  <si>
    <t xml:space="preserve">SSX</t>
  </si>
  <si>
    <t xml:space="preserve">SSX on Tour</t>
  </si>
  <si>
    <t xml:space="preserve">Red hot </t>
  </si>
  <si>
    <t xml:space="preserve">https://www.youtube.com/watch?v=5qApHtzyRq0&amp;list=PLGz_pJSqYLg9jF-5lxWUxWVxCmnloNkGH&amp;index=6</t>
  </si>
  <si>
    <t xml:space="preserve">Run to the Hills</t>
  </si>
  <si>
    <t xml:space="preserve">intro theme</t>
  </si>
  <si>
    <t xml:space="preserve">https://www.youtube.com/watch?v=2XW0wAbDJpE</t>
  </si>
  <si>
    <t xml:space="preserve">Star Fox</t>
  </si>
  <si>
    <t xml:space="preserve">Corneria</t>
  </si>
  <si>
    <t xml:space="preserve">https://audio.jukehost.co.uk/l3ZDIiTaciuy4SFSsNSvnMzQk1MABNgh</t>
  </si>
  <si>
    <t xml:space="preserve">Stardew Valley</t>
  </si>
  <si>
    <t xml:space="preserve">Overture</t>
  </si>
  <si>
    <t xml:space="preserve">https://audio.jukehost.co.uk/56UDqhhi4YDBdVYN0t9tPYPtidWILUIO</t>
  </si>
  <si>
    <t xml:space="preserve">Spring (The Valley Comes Alive)</t>
  </si>
  <si>
    <t xml:space="preserve">https://audio.jukehost.co.uk/FZ25Jn1FgzIXS3aSuyPLvgnRqyRuT7bG</t>
  </si>
  <si>
    <t xml:space="preserve">Steins Gate</t>
  </si>
  <si>
    <t xml:space="preserve">Steins Gate 0</t>
  </si>
  <si>
    <t xml:space="preserve">Believe me</t>
  </si>
  <si>
    <t xml:space="preserve">https://audio.jukehost.co.uk/cK9bOeeNCt4aIRDSSPRc57vyXqte7AQf</t>
  </si>
  <si>
    <t xml:space="preserve">Gate of steiner</t>
  </si>
  <si>
    <t xml:space="preserve">https://audio.jukehost.co.uk/Q2hrnFh6XLTvNx5iKvfoRDg1ACqYPCdt</t>
  </si>
  <si>
    <t xml:space="preserve">Messenger</t>
  </si>
  <si>
    <t xml:space="preserve">https://downloads.khinsider.com/game-soundtracks/album/steinsgate-0-selected-sound-works-2016/01.%2520Messenger%2520-%2520Main%2520Theme.mp3</t>
  </si>
  <si>
    <t xml:space="preserve">https://nu.vgmtreasurechest.com/soundtracks/steinsgate-0-selected-sound-works-2016/hqyxxqtbtn/01.%20Messenger%20-%20Main%20Theme.mp3</t>
  </si>
  <si>
    <t xml:space="preserve">Stellar Blade</t>
  </si>
  <si>
    <t xml:space="preserve">Dawn</t>
  </si>
  <si>
    <t xml:space="preserve">https://downloads.khinsider.com/game-soundtracks/album/stellar-blade-soundtrack-2024/62.%2520Dawn.mp3</t>
  </si>
  <si>
    <t xml:space="preserve">Democrawler</t>
  </si>
  <si>
    <t xml:space="preserve">https://audio.jukehost.co.uk/7PX07cVCk2Rp4OiLAK2a6ic15zMgWPIi</t>
  </si>
  <si>
    <t xml:space="preserve">Flooded Commercial Sector</t>
  </si>
  <si>
    <t xml:space="preserve">https://audio.jukehost.co.uk/1xi6LpPDvK2Y5RvzuCnhRV6HBNZJhGr8</t>
  </si>
  <si>
    <t xml:space="preserve">Raven</t>
  </si>
  <si>
    <t xml:space="preserve">https://jetta.vgmtreasurechest.com/soundtracks/stellar-blade-soundtrack-2024/booeejhj/144.%20Raven.mp3</t>
  </si>
  <si>
    <t xml:space="preserve">Shaël</t>
  </si>
  <si>
    <t xml:space="preserve">https://downloads.khinsider.com/game-soundtracks/album/stellar-blade-soundtrack-2024/94.%2520Shael.mp3</t>
  </si>
  <si>
    <t xml:space="preserve">Silent Street (Battle)</t>
  </si>
  <si>
    <t xml:space="preserve">https://downloads.khinsider.com/game-soundtracks/album/stellar-blade-soundtrack-2024/09.%2520Silent%2520Street%2520%2528Battle%2529.mp3</t>
  </si>
  <si>
    <t xml:space="preserve">Silent Street (Type A)</t>
  </si>
  <si>
    <t xml:space="preserve">https://audio.jukehost.co.uk/ESOfBomP0pyLnhkAG48jobnlaWlryAd2</t>
  </si>
  <si>
    <t xml:space="preserve">The Song of the Sirens</t>
  </si>
  <si>
    <t xml:space="preserve">https://audio.jukehost.co.uk/hAjsHJOEir4XqDfpAZD5Q9knTMerJQLj</t>
  </si>
  <si>
    <t xml:space="preserve">Wasteland (Reboot Type A)</t>
  </si>
  <si>
    <t xml:space="preserve">https://jetta.vgmtreasurechest.com/soundtracks/stellar-blade-soundtrack-2024/rpzevppf/47.%20Wasteland%20%28Reboot%20Type%20A%29.mp3</t>
  </si>
  <si>
    <t xml:space="preserve">Wasteland (Reboot Type B)</t>
  </si>
  <si>
    <t xml:space="preserve">https://jetta.vgmtreasurechest.com/soundtracks/stellar-blade-soundtrack-2024/flpoboog/48.%20Wasteland%20%28Reboot%20Type%20B%29.mp3</t>
  </si>
  <si>
    <t xml:space="preserve">Wasteland (Reboot Type C)</t>
  </si>
  <si>
    <t xml:space="preserve">https://audio.jukehost.co.uk/7G7RLCqaX9vmRGNyysdlYZihdRHzV4fE</t>
  </si>
  <si>
    <t xml:space="preserve">Wasteland (Type A)</t>
  </si>
  <si>
    <t xml:space="preserve">https://audio.jukehost.co.uk/HfVVL8l42RFT5A4AhbECdYKcxLleJcDH</t>
  </si>
  <si>
    <t xml:space="preserve">Wasteland (Type B)</t>
  </si>
  <si>
    <t xml:space="preserve">https://jetta.vgmtreasurechest.com/soundtracks/stellar-blade-soundtrack-2024/wvnddgwo/44.%20Wasteland%20%28Type%20B%29.mp3</t>
  </si>
  <si>
    <t xml:space="preserve">Street Fighter</t>
  </si>
  <si>
    <t xml:space="preserve">SF2</t>
  </si>
  <si>
    <t xml:space="preserve">Guile's theme</t>
  </si>
  <si>
    <t xml:space="preserve">Guile theme</t>
  </si>
  <si>
    <t xml:space="preserve">https://audio.jukehost.co.uk/DRf8NQa73Z0w9J71euPzRRpWSAPbBHI3</t>
  </si>
  <si>
    <t xml:space="preserve">Ken theme</t>
  </si>
  <si>
    <t xml:space="preserve">https://audio.jukehost.co.uk/MhJYSbUrqxlymHSmifhEjuUqtlkwCHgl</t>
  </si>
  <si>
    <t xml:space="preserve">Street Fighter 5</t>
  </si>
  <si>
    <t xml:space="preserve">https://audio.jukehost.co.uk/mlJVVI5KWFreOW6zNaCxbPL7wCkywwyW</t>
  </si>
  <si>
    <t xml:space="preserve">Super street fighter 4 </t>
  </si>
  <si>
    <t xml:space="preserve">Volcanic Rim Stage</t>
  </si>
  <si>
    <t xml:space="preserve">https://audio.jukehost.co.uk/0uMPmjIuvIVtJt31RBgJFZ3vfT3V43Jq</t>
  </si>
  <si>
    <t xml:space="preserve">Subnautica</t>
  </si>
  <si>
    <t xml:space="preserve">Abandon Ship</t>
  </si>
  <si>
    <t xml:space="preserve">https://audio.jukehost.co.uk/57MorTbbVgbmHC15d6p2RuLYIvjblT44</t>
  </si>
  <si>
    <t xml:space="preserve">Original Inhabitants</t>
  </si>
  <si>
    <t xml:space="preserve">Subway Surfers</t>
  </si>
  <si>
    <t xml:space="preserve">Subway Surfer</t>
  </si>
  <si>
    <t xml:space="preserve">Suika Game</t>
  </si>
  <si>
    <t xml:space="preserve">Original</t>
  </si>
  <si>
    <t xml:space="preserve">https://downloads.khinsider.com/game-soundtracks/album/suika-game-android-ios-switch-gamerip-2021/01.%2520Original.mp3</t>
  </si>
  <si>
    <t xml:space="preserve">https://nu.vgmtreasurechest.com/soundtracks/suika-game-android-ios-switch-gamerip-2021/dzgmeahpvf/01.%20Original.mp3</t>
  </si>
  <si>
    <t xml:space="preserve">Sundered</t>
  </si>
  <si>
    <t xml:space="preserve">Eshe</t>
  </si>
  <si>
    <t xml:space="preserve">https://audio.jukehost.co.uk/TzNSePVDyQj9BfMDGn4sjSru97eBAFlP</t>
  </si>
  <si>
    <t xml:space="preserve">Super Hexagon</t>
  </si>
  <si>
    <t xml:space="preserve">Focus</t>
  </si>
  <si>
    <t xml:space="preserve">Super Lesbian Animal RPG</t>
  </si>
  <si>
    <t xml:space="preserve">SLARPG</t>
  </si>
  <si>
    <t xml:space="preserve">Fighting in the 990s</t>
  </si>
  <si>
    <t xml:space="preserve">https://audio.jukehost.co.uk/EG0gOEUFFdjFdYegBp30jWWP0pT9HUo4</t>
  </si>
  <si>
    <t xml:space="preserve">Super Mario</t>
  </si>
  <si>
    <t xml:space="preserve">New Super Mario Bros</t>
  </si>
  <si>
    <t xml:space="preserve">Luigi's casino theme</t>
  </si>
  <si>
    <t xml:space="preserve">https://audio.jukehost.co.uk/ItV7V6Oi8e6mKVhSK5nWU11SG2Qz4Fvz</t>
  </si>
  <si>
    <t xml:space="preserve">Wanted</t>
  </si>
  <si>
    <t xml:space="preserve">New Super Mario Bros.</t>
  </si>
  <si>
    <t xml:space="preserve">Athletic</t>
  </si>
  <si>
    <t xml:space="preserve">New Super Mario Bros. 2</t>
  </si>
  <si>
    <t xml:space="preserve">New Super Mario Bros. Wii</t>
  </si>
  <si>
    <t xml:space="preserve">Super Mario 3D Land</t>
  </si>
  <si>
    <t xml:space="preserve">Overworld</t>
  </si>
  <si>
    <t xml:space="preserve">Super Mario 64</t>
  </si>
  <si>
    <t xml:space="preserve">Dire Dire Docks</t>
  </si>
  <si>
    <t xml:space="preserve">https://audio.jukehost.co.uk/nqFUwVjZc4Bbfvggd5nl2bHBzFWh53mb</t>
  </si>
  <si>
    <t xml:space="preserve">File Select</t>
  </si>
  <si>
    <t xml:space="preserve">https://lambda.vgmtreasurechest.com/soundtracks/super-mario-64-soundtrack/shhnuigj/05.%20Super%20Mario%2064%20Main%20Theme.mp3</t>
  </si>
  <si>
    <t xml:space="preserve">https://lambda.vgmtreasurechest.com/soundtracks/super-mario-64-soundtrack/oqnpnthc/04.%20Opening.mp3</t>
  </si>
  <si>
    <t xml:space="preserve">Super Mario Bros.</t>
  </si>
  <si>
    <t xml:space="preserve">Underground</t>
  </si>
  <si>
    <t xml:space="preserve">Super Mario Galaxy</t>
  </si>
  <si>
    <t xml:space="preserve">Attack of the Airships</t>
  </si>
  <si>
    <t xml:space="preserve">https://audio.jukehost.co.uk/viBydezrZMTZajhXGEClzWLmZ3DMM8Ca</t>
  </si>
  <si>
    <t xml:space="preserve">Blue Sky Athletics</t>
  </si>
  <si>
    <t xml:space="preserve">https://audio.jukehost.co.uk/a4AfzSZmzBmIzVaA3jWezY3jZ1s9bnhm</t>
  </si>
  <si>
    <t xml:space="preserve">Comet Observatory</t>
  </si>
  <si>
    <t xml:space="preserve">https://audio.jukehost.co.uk/iBgJyzDYegsnMkTwyu4rwUJanOEKCfGX</t>
  </si>
  <si>
    <t xml:space="preserve">https://audio.jukehost.co.uk/gvHUbhV9aSVdJgt7LZU2gjaRHCAuTgDK</t>
  </si>
  <si>
    <t xml:space="preserve">Good Egg Galaxy</t>
  </si>
  <si>
    <t xml:space="preserve">https://audio.jukehost.co.uk/jPsWPnPPyydiQmW23All09UTPP8vElZ5</t>
  </si>
  <si>
    <t xml:space="preserve">Gusty Garden Galaxy</t>
  </si>
  <si>
    <t xml:space="preserve">Luma</t>
  </si>
  <si>
    <t xml:space="preserve">Story of the Starbits</t>
  </si>
  <si>
    <t xml:space="preserve">Mission Select</t>
  </si>
  <si>
    <t xml:space="preserve">https://audio.jukehost.co.uk/mh0Mo8z6DZpD1HAi4E1Zul618LhsUdGr</t>
  </si>
  <si>
    <t xml:space="preserve">https://audio.jukehost.co.uk/RBDS5V3eJUeQI5eNLDLqP3PZ7EhDGfkq</t>
  </si>
  <si>
    <t xml:space="preserve">Star Festival</t>
  </si>
  <si>
    <t xml:space="preserve">Toad Brigade</t>
  </si>
  <si>
    <t xml:space="preserve">https://audio.jukehost.co.uk/n1EaJNeqqJ42ZnP4agBdStsXLK44cjP3</t>
  </si>
  <si>
    <t xml:space="preserve">Super Mario Galaxy 2</t>
  </si>
  <si>
    <t xml:space="preserve">Lubba</t>
  </si>
  <si>
    <t xml:space="preserve">Road to Bowser</t>
  </si>
  <si>
    <t xml:space="preserve">Starship Mario</t>
  </si>
  <si>
    <t xml:space="preserve">https://lambda.vgmtreasurechest.com/soundtracks/super-mario-galaxy-2/qjyoakzt/1-33.%20Starship%20Mario%202.mp3</t>
  </si>
  <si>
    <t xml:space="preserve">Super Mario Maker</t>
  </si>
  <si>
    <t xml:space="preserve">Super Mario Odyssey</t>
  </si>
  <si>
    <t xml:space="preserve">Bowser's Castle Main courtyard</t>
  </si>
  <si>
    <t xml:space="preserve">https://downloads.khinsider.com/game-soundtracks/album/super-mario-odyssey-original-soundtrack/2-29.%2520Bowser%2527s%2520Castle%2520-%2520Main%2520Courtyard.mp3</t>
  </si>
  <si>
    <t xml:space="preserve">Caves</t>
  </si>
  <si>
    <t xml:space="preserve">https://downloads.khinsider.com/game-soundtracks/album/super-mario-odyssey-original-soundtrack/3-21.%2520Caves.mp3</t>
  </si>
  <si>
    <t xml:space="preserve">Jump Up Super Star !</t>
  </si>
  <si>
    <t xml:space="preserve">New Donk City</t>
  </si>
  <si>
    <t xml:space="preserve">Shiveria Town</t>
  </si>
  <si>
    <t xml:space="preserve">https://downloads.khinsider.com/game-soundtracks/album/super-mario-odyssey-original-soundtrack/2-14.%2520Shiveria%2520Town.mp3</t>
  </si>
  <si>
    <t xml:space="preserve">Title SCreen</t>
  </si>
  <si>
    <t xml:space="preserve">https://downloads.khinsider.com/game-soundtracks/album/super-mario-odyssey-original-soundtrack/1-01.%2520Title%2520Screen.mp3</t>
  </si>
  <si>
    <t xml:space="preserve">You got a Moon 1</t>
  </si>
  <si>
    <t xml:space="preserve">https://downloads.khinsider.com/game-soundtracks/album/super-mario-odyssey-original-soundtrack/1-10.%2520You%2520Got%2520a%2520Moon%2521%25201.mp3</t>
  </si>
  <si>
    <t xml:space="preserve">Super Mario Wonder</t>
  </si>
  <si>
    <t xml:space="preserve">Piranha Plants on Parade</t>
  </si>
  <si>
    <t xml:space="preserve">Super Meat Boy</t>
  </si>
  <si>
    <t xml:space="preserve">Betus Blues</t>
  </si>
  <si>
    <t xml:space="preserve">C.H.A.D.'s Broken Wind</t>
  </si>
  <si>
    <t xml:space="preserve">C.H.A.D.'s Lullaby</t>
  </si>
  <si>
    <t xml:space="preserve">Can o' Salt</t>
  </si>
  <si>
    <t xml:space="preserve">Dr Fetus' Castle</t>
  </si>
  <si>
    <t xml:space="preserve">Fast Track to Browntown</t>
  </si>
  <si>
    <t xml:space="preserve">Forest Funk</t>
  </si>
  <si>
    <t xml:space="preserve">Hot Damned</t>
  </si>
  <si>
    <t xml:space="preserve">It Ends</t>
  </si>
  <si>
    <t xml:space="preserve">McLart People</t>
  </si>
  <si>
    <t xml:space="preserve">Rocket Rider</t>
  </si>
  <si>
    <t xml:space="preserve">The Battle of Lil' Slugger</t>
  </si>
  <si>
    <t xml:space="preserve">Super Reaktor</t>
  </si>
  <si>
    <t xml:space="preserve">Trailer Theme</t>
  </si>
  <si>
    <t xml:space="preserve">https://www.youtube.com/watch?v=UDo2C_QKf_o</t>
  </si>
  <si>
    <t xml:space="preserve">Super Smash Bros</t>
  </si>
  <si>
    <t xml:space="preserve">Brawl</t>
  </si>
  <si>
    <t xml:space="preserve">https://audio.jukehost.co.uk/wkbt7TTEUxxbKCNMx6UCCZalV1xPZVik</t>
  </si>
  <si>
    <t xml:space="preserve">Final Destination</t>
  </si>
  <si>
    <t xml:space="preserve">https://audio.jukehost.co.uk/WZttAJO04dwYfNnbHjoP1M3y6AED4DFu</t>
  </si>
  <si>
    <t xml:space="preserve">https://audio.jukehost.co.uk/aOE452SlhObNx4WY2YVbFjJtl0Eh7q3t</t>
  </si>
  <si>
    <t xml:space="preserve">https://audio.jukehost.co.uk/SQuz1icgWny3UPEMBjvYHZ4hHLuLm0ei</t>
  </si>
  <si>
    <t xml:space="preserve">Porky</t>
  </si>
  <si>
    <t xml:space="preserve">Melee</t>
  </si>
  <si>
    <t xml:space="preserve">Brinstar</t>
  </si>
  <si>
    <t xml:space="preserve">https://audio.jukehost.co.uk/6Y2wty2jyF1JhBZdCzpcOc6LRBWEZ34h</t>
  </si>
  <si>
    <t xml:space="preserve">Ultimate</t>
  </si>
  <si>
    <t xml:space="preserve">Gangplank Galleon</t>
  </si>
  <si>
    <t xml:space="preserve">https://audio.jukehost.co.uk/sIA39N7BzD51ouVH6PFKnllyzSTQN4Dc</t>
  </si>
  <si>
    <t xml:space="preserve">Lifelight</t>
  </si>
  <si>
    <t xml:space="preserve">https://audio.jukehost.co.uk/kiAWccCFnmr5N6MH7CH9qDszUlBHouOa</t>
  </si>
  <si>
    <t xml:space="preserve">Supercell</t>
  </si>
  <si>
    <t xml:space="preserve">Brawl Stars</t>
  </si>
  <si>
    <t xml:space="preserve">Menu menu</t>
  </si>
  <si>
    <t xml:space="preserve">Clash of Clans</t>
  </si>
  <si>
    <t xml:space="preserve">Combat</t>
  </si>
  <si>
    <t xml:space="preserve">Home</t>
  </si>
  <si>
    <t xml:space="preserve">Clash Royale</t>
  </si>
  <si>
    <t xml:space="preserve">https://audio.jukehost.co.uk/TmZWslqvz9XzjctMBx20D8rVUHbEdVvF</t>
  </si>
  <si>
    <t xml:space="preserve">Superman</t>
  </si>
  <si>
    <t xml:space="preserve">Superman gbc</t>
  </si>
  <si>
    <t xml:space="preserve">track 3</t>
  </si>
  <si>
    <t xml:space="preserve">https://downloads.khinsider.com/game-soundtracks/album/superman-1997-sgb/03%2520BGM%2520%252303.mp3</t>
  </si>
  <si>
    <t xml:space="preserve">Symphony of War</t>
  </si>
  <si>
    <t xml:space="preserve">https://audio.jukehost.co.uk/QcUZK2vnGWL9k2PhqEEUVhpPLIIJQRRK</t>
  </si>
  <si>
    <t xml:space="preserve">Team Fortress</t>
  </si>
  <si>
    <t xml:space="preserve">Team Fortress 2</t>
  </si>
  <si>
    <t xml:space="preserve">It hate me so much</t>
  </si>
  <si>
    <t xml:space="preserve">https://audio.jukehost.co.uk/39vZzFsOlqBX3rF8LTthqdLUmZSGC3sw</t>
  </si>
  <si>
    <t xml:space="preserve">https://audio.jukehost.co.uk/lZLHzosNYrbRhJ4Z2vtOMiWFFjHWDYfV</t>
  </si>
  <si>
    <t xml:space="preserve">Robots!</t>
  </si>
  <si>
    <t xml:space="preserve">Rocket jump waltz</t>
  </si>
  <si>
    <t xml:space="preserve">https://audio.jukehost.co.uk/JwcKqsAOMJ4X3tdqTBnsSA3bFBCWMcIa</t>
  </si>
  <si>
    <t xml:space="preserve">Tearaway</t>
  </si>
  <si>
    <t xml:space="preserve">Gibbet Hill</t>
  </si>
  <si>
    <t xml:space="preserve">https://audio.jukehost.co.uk/uEqYxlHN25dmtuo3PqzGZ9VACk7KB9Il</t>
  </si>
  <si>
    <t xml:space="preserve">Teeworlds</t>
  </si>
  <si>
    <t xml:space="preserve">Tekken</t>
  </si>
  <si>
    <t xml:space="preserve">Tekken 4</t>
  </si>
  <si>
    <t xml:space="preserve">Jet</t>
  </si>
  <si>
    <t xml:space="preserve">Character select</t>
  </si>
  <si>
    <t xml:space="preserve">https://downloads.khinsider.com/game-soundtracks/album/tekken-4-ps2-gamerip-2002/1-02%2520-%2520Jet.mp3</t>
  </si>
  <si>
    <t xml:space="preserve">Kitsch</t>
  </si>
  <si>
    <t xml:space="preserve">https://downloads.khinsider.com/game-soundtracks/album/tekken-4-ps2-gamerip-2002/1-08%2520-%2520Kitsch.mp3</t>
  </si>
  <si>
    <t xml:space="preserve">Tekken 5</t>
  </si>
  <si>
    <t xml:space="preserve">mode select</t>
  </si>
  <si>
    <t xml:space="preserve">https://downloads.khinsider.com/game-soundtracks/album/tekken-5-tekken-dark-resurrection-original-soundtrack/1-03.%2520Mode%2520select%2520~Tekken5~.mp3</t>
  </si>
  <si>
    <t xml:space="preserve">neonatal</t>
  </si>
  <si>
    <t xml:space="preserve">https://downloads.khinsider.com/game-soundtracks/album/tekken-5-original-soundtrack/02.%2520tekken%25205%2520-%2520neonatal.mp3</t>
  </si>
  <si>
    <t xml:space="preserve">Tekken 6</t>
  </si>
  <si>
    <t xml:space="preserve">Karma (electric fountain)</t>
  </si>
  <si>
    <t xml:space="preserve">https://downloads.khinsider.com/game-soundtracks/album/tekken-6-complete-ost/1-16.%2520Karma%2520%2528Electric%2520Fountain%2529.mp3</t>
  </si>
  <si>
    <t xml:space="preserve">https://nu.vgmtreasurechest.com/soundtracks/tekken-6-complete-ost/jwfnalgw/1-16.%20Karma%20%28Electric%20Fountain%29.mp3</t>
  </si>
  <si>
    <t xml:space="preserve">Yodeling In Meadow Hill</t>
  </si>
  <si>
    <t xml:space="preserve">https://downloads.khinsider.com/game-soundtracks/album/tekken-6-complete-ost/1-18.%2520Yodeling%2520in%2520meadow%2520hill%2520%2528Hidden%2520Retreat%2529.mp3</t>
  </si>
  <si>
    <t xml:space="preserve">https://nu.vgmtreasurechest.com/soundtracks/tekken-6-complete-ost/jdokgcur/1-18.%20Yodeling%20in%20meadow%20hill%20%28Hidden%20Retreat%29.mp3</t>
  </si>
  <si>
    <t xml:space="preserve">Tekken 7</t>
  </si>
  <si>
    <t xml:space="preserve">Midnight Closet</t>
  </si>
  <si>
    <t xml:space="preserve">https://audio.jukehost.co.uk/z5z2tPW1iW29vkMvQtl0Bw8i0FFbgGuL</t>
  </si>
  <si>
    <t xml:space="preserve">Tekken 8</t>
  </si>
  <si>
    <t xml:space="preserve">Be stylish</t>
  </si>
  <si>
    <t xml:space="preserve">https://audio.jukehost.co.uk/Zuocg4EltUvX9Ur1mg3jIYVKUsviHJQQ</t>
  </si>
  <si>
    <t xml:space="preserve">Coliseum of Fate (classic)</t>
  </si>
  <si>
    <t xml:space="preserve">https://audio.jukehost.co.uk/5tqI9sOKiq4CvD414m90bBT5qsWGXKMK</t>
  </si>
  <si>
    <t xml:space="preserve">Coliseum of Fate (climax)</t>
  </si>
  <si>
    <t xml:space="preserve">https://audio.jukehost.co.uk/mc5QaPevEOzsTrjjUgsIfT2vGrlhP8b3</t>
  </si>
  <si>
    <t xml:space="preserve">Decisive Blow (classic)</t>
  </si>
  <si>
    <t xml:space="preserve">https://audio.jukehost.co.uk/aQBidyIL0v3Djl1KQoaJvhoPnh4IYwwk</t>
  </si>
  <si>
    <t xml:space="preserve">Decisive Blow (climax)</t>
  </si>
  <si>
    <t xml:space="preserve">https://audio.jukehost.co.uk/rRJg18lqhCC49e6EuWjlsZf6oktll7vj</t>
  </si>
  <si>
    <t xml:space="preserve">Descent into subconscious (classic)</t>
  </si>
  <si>
    <t xml:space="preserve">https://audio.jukehost.co.uk/b5sr7TVj4AohjMY140wt6vbMRAhRrCTl</t>
  </si>
  <si>
    <t xml:space="preserve">Elegant palace (classic)</t>
  </si>
  <si>
    <t xml:space="preserve">https://audio.jukehost.co.uk/0QxI2SHr7sZWnDaeyWKATRrBaTNJJQkr</t>
  </si>
  <si>
    <t xml:space="preserve">Libertation</t>
  </si>
  <si>
    <t xml:space="preserve">https://audio.jukehost.co.uk/RCPwd0jFWRt7q7rhJARoEpIlBUwNkBsv</t>
  </si>
  <si>
    <t xml:space="preserve">My Last Stand/Opening</t>
  </si>
  <si>
    <t xml:space="preserve">https://downloads.khinsider.com/game-soundtracks/album/tekken-8-original-soundtrack-2024/01.%2520My%2520Last%2520Stand.mp3</t>
  </si>
  <si>
    <t xml:space="preserve">https://jetta.vgmtreasurechest.com/soundtracks/tekken-8-original-soundtrack-2024/qhoyzevq/01.%20My%20Last%20Stand.mp3</t>
  </si>
  <si>
    <t xml:space="preserve">Neo City (classic)</t>
  </si>
  <si>
    <t xml:space="preserve">https://audio.jukehost.co.uk/DPqUL65JkKWhU9KZIRhauzowZLp2n3pZ</t>
  </si>
  <si>
    <t xml:space="preserve">Neo City (climax)</t>
  </si>
  <si>
    <t xml:space="preserve">https://downloads.khinsider.com/game-soundtracks/album/tekken-8-original-soundtrack-2024/07.%2520Neo%2520City%2520%2528Climax%2529.mp3</t>
  </si>
  <si>
    <t xml:space="preserve">https://jetta.vgmtreasurechest.com/soundtracks/tekken-8-original-soundtrack-2024/cokhivas/07.%20Neo%20City%20%28Climax%29.mp3</t>
  </si>
  <si>
    <t xml:space="preserve">https://audio.jukehost.co.uk/gOzoRqIYo08f45DnnSEGpy1ebxuflOMD</t>
  </si>
  <si>
    <t xml:space="preserve">Ortiz farm (classic)</t>
  </si>
  <si>
    <t xml:space="preserve">https://audio.jukehost.co.uk/3NSjt9VC5GC75izBXKs6y9I3JcJihSHf</t>
  </si>
  <si>
    <t xml:space="preserve">Ortiz farm (climax)</t>
  </si>
  <si>
    <t xml:space="preserve">https://audio.jukehost.co.uk/BdhWb7ZAeaiD0qUYbpfumD7MYlx54YDE</t>
  </si>
  <si>
    <t xml:space="preserve">Rude and Reckless</t>
  </si>
  <si>
    <t xml:space="preserve">https://audio.jukehost.co.uk/8ArThbFcK03exZXDaWdXvFa84NGBPGK8</t>
  </si>
  <si>
    <t xml:space="preserve">Sanctum (classic)</t>
  </si>
  <si>
    <t xml:space="preserve">Seaside Resort (classic)</t>
  </si>
  <si>
    <t xml:space="preserve">Seaside Resort (climax)</t>
  </si>
  <si>
    <t xml:space="preserve">Storm Rising (classic)</t>
  </si>
  <si>
    <t xml:space="preserve">https://audio.jukehost.co.uk/TXT8F8mCPmqpycSke572nKALEhtMB8rr</t>
  </si>
  <si>
    <t xml:space="preserve">Super Ghost Battle</t>
  </si>
  <si>
    <t xml:space="preserve">https://audio.jukehost.co.uk/ePx7znJBCKoZ2IPXYgBEO4fBEmNFSLGo</t>
  </si>
  <si>
    <t xml:space="preserve">Twilight party cruise (classic)</t>
  </si>
  <si>
    <t xml:space="preserve">https://audio.jukehost.co.uk/wixcRMLV3VUb65QNzUbxMjbyEsSjrvSB</t>
  </si>
  <si>
    <t xml:space="preserve">Yakushima (classic)</t>
  </si>
  <si>
    <t xml:space="preserve">https://audio.jukehost.co.uk/vBoppMUMpl7olgKYT45IRa198657cyeR</t>
  </si>
  <si>
    <t xml:space="preserve">Tekken </t>
  </si>
  <si>
    <t xml:space="preserve">Tekken 8 </t>
  </si>
  <si>
    <t xml:space="preserve">Secluded training ground (classic)</t>
  </si>
  <si>
    <t xml:space="preserve">https://audio.jukehost.co.uk/oVKiCD1Fkq5aM4zD1rgDtKsKPmIYlmOY</t>
  </si>
  <si>
    <t xml:space="preserve">Tekken tag tournament 2</t>
  </si>
  <si>
    <t xml:space="preserve">School -After school Mix-</t>
  </si>
  <si>
    <t xml:space="preserve">https://audio.jukehost.co.uk/DFo1wv6hy3hPaAWGl6r4ayOCaYMWp3qf</t>
  </si>
  <si>
    <t xml:space="preserve">Terraria</t>
  </si>
  <si>
    <t xml:space="preserve">Eerie</t>
  </si>
  <si>
    <t xml:space="preserve">Frost Moon</t>
  </si>
  <si>
    <t xml:space="preserve">https://audio.jukehost.co.uk/BnUARpfNffqWS8qAESdfqhzbeOhKE4Iw</t>
  </si>
  <si>
    <t xml:space="preserve">Mushrooms</t>
  </si>
  <si>
    <t xml:space="preserve">Overworld Night</t>
  </si>
  <si>
    <t xml:space="preserve">The Hallow</t>
  </si>
  <si>
    <t xml:space="preserve">Terraria Calamity Mod</t>
  </si>
  <si>
    <t xml:space="preserve">Roar of the Jungle Dragon</t>
  </si>
  <si>
    <t xml:space="preserve">https://audio.jukehost.co.uk/2F5LT2bQ69FX8czAiCKsLchUzjMctNwU</t>
  </si>
  <si>
    <t xml:space="preserve">Universal Collapse</t>
  </si>
  <si>
    <t xml:space="preserve">https://audio.jukehost.co.uk/dyUWqGXRWf62vr6RoNsqnxFzIppbk2nA</t>
  </si>
  <si>
    <t xml:space="preserve">Terraria: Otherworld</t>
  </si>
  <si>
    <t xml:space="preserve">Every adventure has a beginning</t>
  </si>
  <si>
    <t xml:space="preserve">Teslagrad</t>
  </si>
  <si>
    <t xml:space="preserve">Tetris</t>
  </si>
  <si>
    <t xml:space="preserve">Tetris 99</t>
  </si>
  <si>
    <t xml:space="preserve">Tetris BPS</t>
  </si>
  <si>
    <t xml:space="preserve">Technotris</t>
  </si>
  <si>
    <t xml:space="preserve">https://audio.jukehost.co.uk/R7C0oMp1vDhF61M55yGsCLzwqojOnQbE</t>
  </si>
  <si>
    <t xml:space="preserve">The Binding of Isaac</t>
  </si>
  <si>
    <t xml:space="preserve">Antibirth</t>
  </si>
  <si>
    <t xml:space="preserve">Depression Shop</t>
  </si>
  <si>
    <t xml:space="preserve">Isaac</t>
  </si>
  <si>
    <t xml:space="preserve">Forgotten Lullaby</t>
  </si>
  <si>
    <t xml:space="preserve">Antibirth </t>
  </si>
  <si>
    <t xml:space="preserve">Gloria Filio</t>
  </si>
  <si>
    <t xml:space="preserve">Innocence Glitched</t>
  </si>
  <si>
    <t xml:space="preserve">Journey from a Jar to the Sky</t>
  </si>
  <si>
    <t xml:space="preserve">Machine in the Walls</t>
  </si>
  <si>
    <t xml:space="preserve">Misericorde</t>
  </si>
  <si>
    <t xml:space="preserve">Binding of Isaac</t>
  </si>
  <si>
    <t xml:space="preserve">Crusade</t>
  </si>
  <si>
    <t xml:space="preserve">Greed</t>
  </si>
  <si>
    <t xml:space="preserve">Sacrificial</t>
  </si>
  <si>
    <t xml:space="preserve">Rebirth</t>
  </si>
  <si>
    <t xml:space="preserve">Diptera Sonata</t>
  </si>
  <si>
    <t xml:space="preserve">Everlasting Hymn</t>
  </si>
  <si>
    <t xml:space="preserve">https://audio.jukehost.co.uk/1vmjXNd1qXbfknTWboBVE1S5vpnD5TVC</t>
  </si>
  <si>
    <t xml:space="preserve">Rebirth </t>
  </si>
  <si>
    <t xml:space="preserve">Genesis 13-37</t>
  </si>
  <si>
    <t xml:space="preserve">Isaac/Genesis</t>
  </si>
  <si>
    <t xml:space="preserve">Genesis 22-10</t>
  </si>
  <si>
    <t xml:space="preserve">https://audio.jukehost.co.uk/vgPjPK8UfQssomSRbNBFnlkhVJigPYQs</t>
  </si>
  <si>
    <t xml:space="preserve">Sodden Hollow</t>
  </si>
  <si>
    <t xml:space="preserve">The Forgotten</t>
  </si>
  <si>
    <t xml:space="preserve">The Elder Scrolls</t>
  </si>
  <si>
    <t xml:space="preserve">Skyrim</t>
  </si>
  <si>
    <t xml:space="preserve">From past to present</t>
  </si>
  <si>
    <t xml:space="preserve">https://audio.jukehost.co.uk/ski3Hp0rRm6RpIkwbrazYGch0nhdo8TV</t>
  </si>
  <si>
    <t xml:space="preserve">Dragonborn</t>
  </si>
  <si>
    <t xml:space="preserve">https://audio.jukehost.co.uk/bQZ3yJQ8hhAT7CnHWbW3NQIAs9qw1yQ3</t>
  </si>
  <si>
    <t xml:space="preserve">Steel on Steel</t>
  </si>
  <si>
    <t xml:space="preserve">https://audio.jukehost.co.uk/9zotqfQ3v7N01V9ASyDT0FtARyXaQKvu</t>
  </si>
  <si>
    <t xml:space="preserve">The Streets of Whiterun</t>
  </si>
  <si>
    <t xml:space="preserve">https://audio.jukehost.co.uk/CynK1kudEZ7u8uzEamKUmeV9FlObUkc1</t>
  </si>
  <si>
    <t xml:space="preserve">The End Is Nigh</t>
  </si>
  <si>
    <t xml:space="preserve">Mortaman</t>
  </si>
  <si>
    <t xml:space="preserve">Retrograde</t>
  </si>
  <si>
    <t xml:space="preserve">Ruin</t>
  </si>
  <si>
    <t xml:space="preserve">The Arid and Gloomy Flats</t>
  </si>
  <si>
    <t xml:space="preserve">The End</t>
  </si>
  <si>
    <t xml:space="preserve">https://audio.jukehost.co.uk/3Ohq5bHUcWgwjwP4l4BQ0bxDlJ5VGGVk</t>
  </si>
  <si>
    <t xml:space="preserve">The Machine</t>
  </si>
  <si>
    <t xml:space="preserve">https://audio.jukehost.co.uk/YkrtjkD9MzppsoDPEAacH7Wow5N6lwl2</t>
  </si>
  <si>
    <t xml:space="preserve">Wall of Sorrow</t>
  </si>
  <si>
    <t xml:space="preserve">The Last of Us</t>
  </si>
  <si>
    <t xml:space="preserve">The Last of US</t>
  </si>
  <si>
    <t xml:space="preserve">https://audio.jukehost.co.uk/utTUyMikTYQkDTNkkf426rpnyTuep3J3</t>
  </si>
  <si>
    <t xml:space="preserve">The Legend of Heroes</t>
  </si>
  <si>
    <t xml:space="preserve">Trails from Zero</t>
  </si>
  <si>
    <t xml:space="preserve">Inevitable Struggle (Super Arrange Version)</t>
  </si>
  <si>
    <t xml:space="preserve">https://audio.jukehost.co.uk/KCxooqK0DC4LLMpFAythrgPoCEVcNXe8</t>
  </si>
  <si>
    <t xml:space="preserve">Trails in the Sky</t>
  </si>
  <si>
    <t xml:space="preserve">Hollow Light of the Sealed Land</t>
  </si>
  <si>
    <t xml:space="preserve">https://audio.jukehost.co.uk/XtNg8N0usOwKBUshRZnRbURuf0CTKHKO</t>
  </si>
  <si>
    <t xml:space="preserve">Trails in the Sky SC</t>
  </si>
  <si>
    <t xml:space="preserve">Silver Will (Super Arrange Version)</t>
  </si>
  <si>
    <t xml:space="preserve">https://audio.jukehost.co.uk/9hmsRpjwvmx98ti5W7a6MoyBfdQSMf6N</t>
  </si>
  <si>
    <t xml:space="preserve">Trails in the Sky the 3rd</t>
  </si>
  <si>
    <t xml:space="preserve">Overdosing Heavenly Bliss</t>
  </si>
  <si>
    <t xml:space="preserve">Trails into Reverie</t>
  </si>
  <si>
    <t xml:space="preserve">Hide and Seek by Myself</t>
  </si>
  <si>
    <t xml:space="preserve">https://audio.jukehost.co.uk/A2sCxQu2cbfzp2k4acfQQXQMU8QQWaAb</t>
  </si>
  <si>
    <t xml:space="preserve">Trails of Cold Steel</t>
  </si>
  <si>
    <t xml:space="preserve">To Become the Foundation of the World</t>
  </si>
  <si>
    <t xml:space="preserve">https://audio.jukehost.co.uk/DyTAMgoGMSx0eZhSvTsd6LBeaiL3uXd7</t>
  </si>
  <si>
    <t xml:space="preserve">Trails of Cold Steel II</t>
  </si>
  <si>
    <t xml:space="preserve">E.O.V</t>
  </si>
  <si>
    <t xml:space="preserve">https://audio.jukehost.co.uk/hnqaauphYV9jTEtlcuOWW3ZoB2MT84b3</t>
  </si>
  <si>
    <t xml:space="preserve">Trails of Cold Steel III</t>
  </si>
  <si>
    <t xml:space="preserve">Spiral of Erebos</t>
  </si>
  <si>
    <t xml:space="preserve">https://audio.jukehost.co.uk/hbQ4BSd4qssltsqdHOqv2hRe1sD90mYf</t>
  </si>
  <si>
    <t xml:space="preserve">Trails of Cold Steel IV</t>
  </si>
  <si>
    <t xml:space="preserve">Burning Throb</t>
  </si>
  <si>
    <t xml:space="preserve">https://audio.jukehost.co.uk/1NScWFR9la8Y6YJu7cRLwJvprsaPEc4V</t>
  </si>
  <si>
    <t xml:space="preserve">Trails Through Daybreak</t>
  </si>
  <si>
    <t xml:space="preserve">In the Dawn</t>
  </si>
  <si>
    <t xml:space="preserve">https://audio.jukehost.co.uk/mmFvtIlkz12yNLvMVEYiOSZhGsNhHgY0</t>
  </si>
  <si>
    <t xml:space="preserve">Trails Through Daybreak II</t>
  </si>
  <si>
    <t xml:space="preserve">At the End of My Beloved Time Limit</t>
  </si>
  <si>
    <t xml:space="preserve">https://audio.jukehost.co.uk/4MAo8XP1ewmUdiqdi4pjUTCgRMg6Qukc</t>
  </si>
  <si>
    <t xml:space="preserve">Trails to Azure</t>
  </si>
  <si>
    <t xml:space="preserve">Unfathomed Force</t>
  </si>
  <si>
    <t xml:space="preserve">https://audio.jukehost.co.uk/cpkniGxWPnkgI9eN0OqxZm3EyxHq5xkx</t>
  </si>
  <si>
    <t xml:space="preserve">The Messenger</t>
  </si>
  <si>
    <t xml:space="preserve">Civilization in the sky</t>
  </si>
  <si>
    <t xml:space="preserve">Cloud Ruins (Future)</t>
  </si>
  <si>
    <t xml:space="preserve">https://downloads.khinsider.com/game-soundtracks/album/the-messenger-disc-ii-the-future-2018/12%2520Civilization%2520in%2520the%2520Sky%2520%2528Cloud%2520Ruins%2529.mp3</t>
  </si>
  <si>
    <t xml:space="preserve">https://audio.jukehost.co.uk/mpDceaFlnoZ8WyrAR1IUasFEmLi2QQdZ</t>
  </si>
  <si>
    <t xml:space="preserve">Forgotten</t>
  </si>
  <si>
    <t xml:space="preserve">Forlorn Temple (Past)</t>
  </si>
  <si>
    <t xml:space="preserve">https://downloads.khinsider.com/game-soundtracks/album/the-messenger-disc-i-the-past-2018/05%2520Forgotten%2520%2528Forlorn%2520Temple%2529.mp3</t>
  </si>
  <si>
    <t xml:space="preserve">https://audio.jukehost.co.uk/d8aTcOCG6f3R7MnDkV4BZUUldeIAKb62</t>
  </si>
  <si>
    <t xml:space="preserve">Hills of Destiny</t>
  </si>
  <si>
    <t xml:space="preserve">Autumn Hills (Past)</t>
  </si>
  <si>
    <t xml:space="preserve">https://downloads.khinsider.com/game-soundtracks/album/the-messenger-disc-i-the-past-2018/03%2520Hills%2520of%2520Destiny%2520%2528Autumn%2520Hills%2529.mp3</t>
  </si>
  <si>
    <t xml:space="preserve">Impossible Ascent</t>
  </si>
  <si>
    <t xml:space="preserve">Searing Crags (Past)</t>
  </si>
  <si>
    <t xml:space="preserve">https://downloads.khinsider.com/game-soundtracks/album/the-messenger-disc-i-the-past-2018/12%2520Impossible%2520Ascent%2520%2528Searing%2520Crags%2529.mp3</t>
  </si>
  <si>
    <t xml:space="preserve">Phantom's Legacy</t>
  </si>
  <si>
    <t xml:space="preserve">Final Boss (Future)</t>
  </si>
  <si>
    <t xml:space="preserve">https://downloads.khinsider.com/game-soundtracks/album/the-messenger-disc-ii-the-future-2018/29%2520Phantom%2527s%2520Legacy%2520%2528Final%2520Boss%2529.mp3</t>
  </si>
  <si>
    <t xml:space="preserve">https://audio.jukehost.co.uk/YM5LTU3LHGBEqILvZmBVyG1byKWT0ss4</t>
  </si>
  <si>
    <t xml:space="preserve">Quillshroom's Horrors </t>
  </si>
  <si>
    <t xml:space="preserve">Quillshroom Marsh (Past)</t>
  </si>
  <si>
    <t xml:space="preserve">https://downloads.khinsider.com/game-soundtracks/album/the-messenger-disc-i-the-past-2018/10%2520Quillshroom%2527s%2520Horrors%2520%2528Quillshroom%2520Marsh%2529.mp3</t>
  </si>
  <si>
    <t xml:space="preserve">The Arcane Golem</t>
  </si>
  <si>
    <t xml:space="preserve">https://downloads.khinsider.com/game-soundtracks/album/the-messenger-disc-i-the-past-2018/16%2520The%2520Arcane%2520Golem.mp3</t>
  </si>
  <si>
    <t xml:space="preserve">https://audio.jukehost.co.uk/HypI4WrzODBJwNF24m9QkVOxQsLWbGi7</t>
  </si>
  <si>
    <t xml:space="preserve">The Arcane Shoppe</t>
  </si>
  <si>
    <t xml:space="preserve">Shop (Past)</t>
  </si>
  <si>
    <t xml:space="preserve">https://downloads.khinsider.com/game-soundtracks/album/the-messenger-disc-i-the-past-2018/18%2520The%2520Arcane%2520Shoppe.mp3</t>
  </si>
  <si>
    <t xml:space="preserve">The frozen dark</t>
  </si>
  <si>
    <t xml:space="preserve">Glacial Peak (Future)</t>
  </si>
  <si>
    <t xml:space="preserve">https://downloads.khinsider.com/game-soundtracks/album/the-messenger-disc-ii-the-future-2018/09%2520The%2520Frozen%2520Dark%2520%2528Glacial%2520Peak%2529.mp3</t>
  </si>
  <si>
    <t xml:space="preserve">https://audio.jukehost.co.uk/lsRDwLIzXKQq52BT7s0B20HWmo2U2gqs</t>
  </si>
  <si>
    <t xml:space="preserve">The Frozen Light</t>
  </si>
  <si>
    <t xml:space="preserve">Glacial Peak (Past)</t>
  </si>
  <si>
    <t xml:space="preserve">https://downloads.khinsider.com/game-soundtracks/album/the-messenger-disc-i-the-past-2018/14%2520The%2520Frozen%2520Light%2520%2528Glacial%2520Peak%2529.mp3</t>
  </si>
  <si>
    <t xml:space="preserve">The shopkeeper</t>
  </si>
  <si>
    <t xml:space="preserve">Shop (Future)</t>
  </si>
  <si>
    <t xml:space="preserve">https://downloads.khinsider.com/game-soundtracks/album/the-messenger-disc-ii-the-future-2018/11%2520The%2520Shopkeeper.mp3</t>
  </si>
  <si>
    <t xml:space="preserve">https://nu.vgmtreasurechest.com/soundtracks/the-messenger-disc-ii-the-future-2018/ltjorrka/11%20The%20Shopkeeper.mp3</t>
  </si>
  <si>
    <t xml:space="preserve">The Midnight Walk</t>
  </si>
  <si>
    <t xml:space="preserve">Gräns</t>
  </si>
  <si>
    <t xml:space="preserve">https://downloads.khinsider.com/game-soundtracks/album/the-midnight-walk-original-game-soundtrack-2025/30.%2520Gr%25C3%25A4ns.mp3</t>
  </si>
  <si>
    <t xml:space="preserve">https://lambda.vgmtreasurechest.com/soundtracks/the-midnight-walk-original-game-soundtrack-2025/mpwnejpvcv/30.%20Gr%C3%A4ns.mp3</t>
  </si>
  <si>
    <t xml:space="preserve">The Return of the Obra Dinn</t>
  </si>
  <si>
    <t xml:space="preserve">The Sims</t>
  </si>
  <si>
    <t xml:space="preserve">Sims 3</t>
  </si>
  <si>
    <t xml:space="preserve">https://audio.jukehost.co.uk/ISeQIkfq6VYkoiIwiV6bx9xFVfNaNfN3</t>
  </si>
  <si>
    <t xml:space="preserve">Sims 4</t>
  </si>
  <si>
    <t xml:space="preserve">https://audio.jukehost.co.uk/mfohKxRnA8lF1eOW3rjJfyfIYDDBcXSI</t>
  </si>
  <si>
    <t xml:space="preserve">The Sims Medieval</t>
  </si>
  <si>
    <t xml:space="preserve">Mirthful Steps</t>
  </si>
  <si>
    <t xml:space="preserve">The Witcher</t>
  </si>
  <si>
    <t xml:space="preserve">The Witcher 3</t>
  </si>
  <si>
    <t xml:space="preserve">Hunt or be hunted</t>
  </si>
  <si>
    <t xml:space="preserve">https://audio.jukehost.co.uk/C0FQm1wZkQaOobmqT1YMdCfyMdnyB8wq</t>
  </si>
  <si>
    <t xml:space="preserve">La balade de Priscillia</t>
  </si>
  <si>
    <t xml:space="preserve">https://audio.jukehost.co.uk/EuRHfdjA0rGoP4XlgvVYWaIK1PdHpxJO</t>
  </si>
  <si>
    <t xml:space="preserve">Silver for monsters</t>
  </si>
  <si>
    <t xml:space="preserve">https://audio.jukehost.co.uk/GvbO5cBZKyFo42CWqAEcvmjERxs2GQ53</t>
  </si>
  <si>
    <t xml:space="preserve">Steel for humans</t>
  </si>
  <si>
    <t xml:space="preserve">https://audio.jukehost.co.uk/C1zGqW50h8255jO2hNp4pAQqYeBUzGGV</t>
  </si>
  <si>
    <t xml:space="preserve">Sword of destiny</t>
  </si>
  <si>
    <t xml:space="preserve">https://audio.jukehost.co.uk/wAC68wtlAEcVwLyiAfd8v5VUxMEZxLYR</t>
  </si>
  <si>
    <t xml:space="preserve">The wolf and the swallow</t>
  </si>
  <si>
    <t xml:space="preserve">https://audio.jukehost.co.uk/GWcN7CqMEwK1T2tSC8GuMesXLwN6TWax</t>
  </si>
  <si>
    <t xml:space="preserve">The wolven storm</t>
  </si>
  <si>
    <t xml:space="preserve">https://audio.jukehost.co.uk/JpN1gWB0C8ARhb6I5eTqDI0ebE8uFPMQ</t>
  </si>
  <si>
    <t xml:space="preserve">The World Ends With You</t>
  </si>
  <si>
    <t xml:space="preserve">Calling</t>
  </si>
  <si>
    <t xml:space="preserve">https://audio.jukehost.co.uk/ttU3SVdVbXAAXcicdTrQu6uoKaV3IbCh</t>
  </si>
  <si>
    <t xml:space="preserve">Theme Hospital</t>
  </si>
  <si>
    <t xml:space="preserve">Candy Floss</t>
  </si>
  <si>
    <t xml:space="preserve">https://audio.jukehost.co.uk/pW31wUh1bh1IVPvmUPLXlYdwFC0t4GNQ</t>
  </si>
  <si>
    <t xml:space="preserve">Titanfall</t>
  </si>
  <si>
    <t xml:space="preserve">Titanfall 2</t>
  </si>
  <si>
    <t xml:space="preserve">BT-7274</t>
  </si>
  <si>
    <t xml:space="preserve">https://audio.jukehost.co.uk/ZiYRxWbkR5rTmlgAH9CqQRHX5fdLzHGE</t>
  </si>
  <si>
    <t xml:space="preserve">Tomb Raider</t>
  </si>
  <si>
    <t xml:space="preserve">Lara Croft and the Temple of Osiris</t>
  </si>
  <si>
    <t xml:space="preserve">Lara Croft Overture</t>
  </si>
  <si>
    <t xml:space="preserve">https://audio.jukehost.co.uk/5gCVerqV34ubDSYGQ4oUGKscBa19EDW7</t>
  </si>
  <si>
    <t xml:space="preserve">Legend</t>
  </si>
  <si>
    <t xml:space="preserve">https://audio.jukehost.co.uk/C2rJKpQtreNNDjoI1suu3ExBUt1qtZ0r</t>
  </si>
  <si>
    <t xml:space="preserve">Touhou</t>
  </si>
  <si>
    <t xml:space="preserve">Lotus Land Story</t>
  </si>
  <si>
    <t xml:space="preserve">Bad Apple</t>
  </si>
  <si>
    <t xml:space="preserve">https://audio.jukehost.co.uk/2AUE8O5PwvNnGe4oGchBF7VhPB9F2DRm</t>
  </si>
  <si>
    <t xml:space="preserve">Transistor</t>
  </si>
  <si>
    <t xml:space="preserve">The Spine</t>
  </si>
  <si>
    <t xml:space="preserve">Trove</t>
  </si>
  <si>
    <t xml:space="preserve">Peaceful hub</t>
  </si>
  <si>
    <t xml:space="preserve">https://audio.jukehost.co.uk/9GDOaqVKWm4Q1UUY4opm7F7Eoul6SmfD</t>
  </si>
  <si>
    <t xml:space="preserve">Tunic</t>
  </si>
  <si>
    <t xml:space="preserve">Memories of memories</t>
  </si>
  <si>
    <t xml:space="preserve">Ultima</t>
  </si>
  <si>
    <t xml:space="preserve">Ultima VI</t>
  </si>
  <si>
    <t xml:space="preserve">Can't remove the pain</t>
  </si>
  <si>
    <t xml:space="preserve">https://audio.jukehost.co.uk/0rne0e5Le5G7aLHueoob3LiC1lSu5TAV</t>
  </si>
  <si>
    <t xml:space="preserve">Ultrakill</t>
  </si>
  <si>
    <t xml:space="preserve">Castle Vein</t>
  </si>
  <si>
    <t xml:space="preserve">https://audio.jukehost.co.uk/Wk2MtL5R8TMlhGDLe4FUYw0mxEZHll4x</t>
  </si>
  <si>
    <t xml:space="preserve">Tenebre Rosso Sangue</t>
  </si>
  <si>
    <t xml:space="preserve">https://audio.jukehost.co.uk/75UQ5mhKTTWWPJO6kK8S2aJ9QoQHKpJP</t>
  </si>
  <si>
    <t xml:space="preserve">The CyberGrind</t>
  </si>
  <si>
    <t xml:space="preserve">https://audio.jukehost.co.uk/MW6IuNsRnF3HDJVy6Ip6B9xvbfEgupjY</t>
  </si>
  <si>
    <t xml:space="preserve">Uncharted</t>
  </si>
  <si>
    <t xml:space="preserve">Uncharted 3</t>
  </si>
  <si>
    <t xml:space="preserve">Nate's Theme</t>
  </si>
  <si>
    <t xml:space="preserve">https://audio.jukehost.co.uk/BNUeRwnvzPbODrlXCoUDVFhBWw9GkzVl</t>
  </si>
  <si>
    <t xml:space="preserve">Undertale</t>
  </si>
  <si>
    <t xml:space="preserve">Underfell : Stories from the sea</t>
  </si>
  <si>
    <t xml:space="preserve">Sans theme</t>
  </si>
  <si>
    <t xml:space="preserve">https://www.youtube.com/watch?v=uMUCJdpEPQs</t>
  </si>
  <si>
    <t xml:space="preserve">Asgore</t>
  </si>
  <si>
    <t xml:space="preserve">https://audio.jukehost.co.uk/0mWavtkJotBftStWvu2r3j6Y3PyuyQsh</t>
  </si>
  <si>
    <t xml:space="preserve">Battle against a true hero</t>
  </si>
  <si>
    <t xml:space="preserve">https://audio.jukehost.co.uk/exTVA5dAsqC8AIb3WFM0FOa1zV4eoJmv</t>
  </si>
  <si>
    <t xml:space="preserve">CORE</t>
  </si>
  <si>
    <t xml:space="preserve">https://audio.jukehost.co.uk/JCpn87wKC2YVY5r3XOSdi3nbTBR8KLt5</t>
  </si>
  <si>
    <t xml:space="preserve">Finale</t>
  </si>
  <si>
    <t xml:space="preserve">https://audio.jukehost.co.uk/ZdvbUtscPqunww9XoFWaw1Uk5Uxzt5z5</t>
  </si>
  <si>
    <t xml:space="preserve">Heartache</t>
  </si>
  <si>
    <t xml:space="preserve">Megalovania</t>
  </si>
  <si>
    <t xml:space="preserve">https://audio.jukehost.co.uk/vWAIpKb10Awx0PDh05N6XlXX1ukeEzvN</t>
  </si>
  <si>
    <t xml:space="preserve">Waterfall</t>
  </si>
  <si>
    <t xml:space="preserve">Undertale Yellow</t>
  </si>
  <si>
    <t xml:space="preserve">A mother's love</t>
  </si>
  <si>
    <t xml:space="preserve">Unravel</t>
  </si>
  <si>
    <t xml:space="preserve">Unravel 2</t>
  </si>
  <si>
    <t xml:space="preserve">Let it all out</t>
  </si>
  <si>
    <t xml:space="preserve">Problem solving</t>
  </si>
  <si>
    <t xml:space="preserve">Untitled Goose Game</t>
  </si>
  <si>
    <t xml:space="preserve">Quack</t>
  </si>
  <si>
    <t xml:space="preserve">VA-11 HALL-1</t>
  </si>
  <si>
    <t xml:space="preserve">Every Day is Night</t>
  </si>
  <si>
    <t xml:space="preserve">https://audio.jukehost.co.uk/RXNslWkbKrzvyw4tBJ7u4VFAB2JHoox0</t>
  </si>
  <si>
    <t xml:space="preserve">Valorant</t>
  </si>
  <si>
    <t xml:space="preserve">Die for you</t>
  </si>
  <si>
    <t xml:space="preserve">https://audio.jukehost.co.uk/YZeIdCFYhJc1Nez5Wl0Wa2I5LgfarNHy</t>
  </si>
  <si>
    <t xml:space="preserve">Ticking away</t>
  </si>
  <si>
    <t xml:space="preserve">Vampire Survivors</t>
  </si>
  <si>
    <t xml:space="preserve">Copper Green Intent</t>
  </si>
  <si>
    <t xml:space="preserve">Moms are tough</t>
  </si>
  <si>
    <t xml:space="preserve">https://audio.jukehost.co.uk/0gtr88gmcqYKXJJDA4n0DVbd84YG1aTS</t>
  </si>
  <si>
    <t xml:space="preserve">Reincarnated Echoes</t>
  </si>
  <si>
    <t xml:space="preserve">Vampire Survivors : Ode to Castlevania</t>
  </si>
  <si>
    <t xml:space="preserve">Castlevania ?</t>
  </si>
  <si>
    <t xml:space="preserve">https://audio.jukehost.co.uk/dViOchFPdNtAzazMWadkEqnbCMy47249</t>
  </si>
  <si>
    <t xml:space="preserve">https://audio.jukehost.co.uk/eQjoXYZbiDv981pzEVTCR6v3rTVOZyUY</t>
  </si>
  <si>
    <t xml:space="preserve">Viva Piñata</t>
  </si>
  <si>
    <t xml:space="preserve">OG</t>
  </si>
  <si>
    <t xml:space="preserve">Soil Song</t>
  </si>
  <si>
    <t xml:space="preserve">https://jetta.vgmtreasurechest.com/soundtracks/viva-pinata-original-soundtrack/uthgljoq/24%20Soil%20Song.mp3</t>
  </si>
  <si>
    <t xml:space="preserve">VVVVVV</t>
  </si>
  <si>
    <t xml:space="preserve">Positive Force</t>
  </si>
  <si>
    <t xml:space="preserve">Warcraft</t>
  </si>
  <si>
    <t xml:space="preserve">HearthStone</t>
  </si>
  <si>
    <t xml:space="preserve">https://audio.jukehost.co.uk/e7ubm0l9auLp04DAktt3bRdbmV8PVoSP</t>
  </si>
  <si>
    <t xml:space="preserve">Warframe</t>
  </si>
  <si>
    <t xml:space="preserve">For Namer</t>
  </si>
  <si>
    <t xml:space="preserve">Sleeping in the cold below</t>
  </si>
  <si>
    <t xml:space="preserve">We all lift together</t>
  </si>
  <si>
    <t xml:space="preserve">WarioWare</t>
  </si>
  <si>
    <t xml:space="preserve">Mega Microgame</t>
  </si>
  <si>
    <t xml:space="preserve">Warioware</t>
  </si>
  <si>
    <t xml:space="preserve">Smooth Moves</t>
  </si>
  <si>
    <t xml:space="preserve">Wii Party</t>
  </si>
  <si>
    <t xml:space="preserve">Wii Sports</t>
  </si>
  <si>
    <t xml:space="preserve">Wii Sports Resort</t>
  </si>
  <si>
    <t xml:space="preserve">Xenoblade Chronicles</t>
  </si>
  <si>
    <t xml:space="preserve">Colony 9 (day)</t>
  </si>
  <si>
    <t xml:space="preserve">You will know our names</t>
  </si>
  <si>
    <t xml:space="preserve">https://audio.jukehost.co.uk/73FLsrvJStf4gAxOL2iS20fhLC50yJFm</t>
  </si>
  <si>
    <t xml:space="preserve">Xenoblade Chronicles 2</t>
  </si>
  <si>
    <t xml:space="preserve">Counterattack</t>
  </si>
  <si>
    <t xml:space="preserve">Incoming</t>
  </si>
  <si>
    <t xml:space="preserve">https://audio.jukehost.co.uk/sZ8TysT6uP8UiWmBf39kP5QozA0ZRKkk</t>
  </si>
  <si>
    <t xml:space="preserve">Roaming the wastes</t>
  </si>
  <si>
    <t xml:space="preserve">https://audio.jukehost.co.uk/TtIlyx98tGOpqW0T0BbzcGVwp4BLkNvG</t>
  </si>
  <si>
    <t xml:space="preserve">Step away</t>
  </si>
  <si>
    <t xml:space="preserve">https://audio.jukehost.co.uk/yqZ9vPzmyIkw6fQPihdPMWJHmA3bneqI</t>
  </si>
  <si>
    <t xml:space="preserve">Xenoblade Chronicles 3</t>
  </si>
  <si>
    <t xml:space="preserve">Brilliant Wings</t>
  </si>
  <si>
    <t xml:space="preserve">https://audio.jukehost.co.uk/8j8DzrACPGDHsr2SnYUCpODsI5d6zvKn</t>
  </si>
  <si>
    <t xml:space="preserve">Xenoblade Chronicles 3 </t>
  </si>
  <si>
    <t xml:space="preserve">Carrying the weight of life</t>
  </si>
  <si>
    <t xml:space="preserve">https://audio.jukehost.co.uk/vwmcUG9sebMovzcyFK2d0LSOZF91gXGK</t>
  </si>
  <si>
    <t xml:space="preserve">Kaleidoscopic Core</t>
  </si>
  <si>
    <t xml:space="preserve">https://audio.jukehost.co.uk/PFmURYhAAx9C1szZO4ZOh10cJ8XHkC5X</t>
  </si>
  <si>
    <t xml:space="preserve">Xenoblade Chronicles X</t>
  </si>
  <si>
    <t xml:space="preserve">So nah so fern</t>
  </si>
  <si>
    <t xml:space="preserve">https://audio.jukehost.co.uk/80xU3SuzcmdRPB1MSi3H5poGcIFGgn14</t>
  </si>
  <si>
    <t xml:space="preserve">Theme X</t>
  </si>
  <si>
    <t xml:space="preserve">https://audio.jukehost.co.uk/x37OJSzjrw0FXGQDSE9VpUsP0kQANaRK</t>
  </si>
  <si>
    <t xml:space="preserve">Yakuza</t>
  </si>
  <si>
    <t xml:space="preserve">Yakuza 0</t>
  </si>
  <si>
    <t xml:space="preserve">Baka Mitai</t>
  </si>
  <si>
    <t xml:space="preserve">https://audio.jukehost.co.uk/JnNHQvBTt2bQi6SQKOtUvePPa7YUPKWz</t>
  </si>
  <si>
    <t xml:space="preserve">Intro </t>
  </si>
  <si>
    <t xml:space="preserve">https://audio.jukehost.co.uk/hyg0qqKlKnzyO5uhle0WtoG99rvbvPgg</t>
  </si>
  <si>
    <t xml:space="preserve">Yakuza 0 </t>
  </si>
  <si>
    <t xml:space="preserve">Friday Night</t>
  </si>
  <si>
    <t xml:space="preserve">https://audio.jukehost.co.uk/sXR3tFsi0y8Gr27V3jfoTrT8F2HzY4Xj</t>
  </si>
  <si>
    <t xml:space="preserve">Yoku's island express</t>
  </si>
  <si>
    <t xml:space="preserve">Welcome to mokumana beach</t>
  </si>
  <si>
    <t xml:space="preserve">https://audio.jukehost.co.uk/yXGUYE3DxMeQwFW69BilkJGg0n6zdiMH</t>
  </si>
  <si>
    <t xml:space="preserve">Yoku Taidua and the village</t>
  </si>
  <si>
    <t xml:space="preserve">https://audio.jukehost.co.uk/BVAWn1VWYkLlL6RTGJLj7sqP47bEcqu6</t>
  </si>
  <si>
    <t xml:space="preserve">Yoshi's Island</t>
  </si>
  <si>
    <t xml:space="preserve">Flower Garden</t>
  </si>
  <si>
    <t xml:space="preserve">https://audio.jukehost.co.uk/rzU808BePSQ2mtoP0etkJBrADF75bKX6</t>
  </si>
  <si>
    <t xml:space="preserve">YuGiOh</t>
  </si>
  <si>
    <t xml:space="preserve">YGO Duel Link</t>
  </si>
  <si>
    <t xml:space="preserve">Winning Theme (DM/GX)</t>
  </si>
  <si>
    <t xml:space="preserve">https://audio.jukehost.co.uk/ZZurfn5onUca7m7HJSEwmJmrZ6noRdPi</t>
  </si>
  <si>
    <t xml:space="preserve">World theme</t>
  </si>
  <si>
    <t xml:space="preserve">YGO Master Duel</t>
  </si>
  <si>
    <t xml:space="preserve">Zachtronics</t>
  </si>
  <si>
    <t xml:space="preserve">Exapunks</t>
  </si>
  <si>
    <t xml:space="preserve">Getting Started</t>
  </si>
  <si>
    <t xml:space="preserve">Last Call BBS</t>
  </si>
  <si>
    <t xml:space="preserve">20th Century Food Court</t>
  </si>
  <si>
    <t xml:space="preserve">https://audio.jukehost.co.uk/UARJqfNDyLeyBnvMAfn00wearsg0xMVo</t>
  </si>
  <si>
    <t xml:space="preserve">Zelda</t>
  </si>
  <si>
    <t xml:space="preserve">A Link Between Worlds</t>
  </si>
  <si>
    <t xml:space="preserve">Ballad of the Goddess (version milk bar)</t>
  </si>
  <si>
    <t xml:space="preserve">https://nu.vgmtreasurechest.com/soundtracks/the-legend-of-zelda-a-link-between-worlds-original-soundtrack-2014/yzaycjrsps/2-42.%20Ballad%20of%20the%20Goddess%20%28Milk%20Bar%20Musicians%29.mp3</t>
  </si>
  <si>
    <t xml:space="preserve">Lorule Castle</t>
  </si>
  <si>
    <t xml:space="preserve">https://nu.vgmtreasurechest.com/soundtracks/the-legend-of-zelda-a-link-between-worlds-original-soundtrack-2014/ppcbtqychp/2-23.%20Lorule%20Castle.mp3</t>
  </si>
  <si>
    <t xml:space="preserve">Sneaking into the Dark Palace</t>
  </si>
  <si>
    <t xml:space="preserve">https://nu.vgmtreasurechest.com/soundtracks/the-legend-of-zelda-a-link-between-worlds-original-soundtrack-2014/jxwjacddqx/2-15.%20Sneaking%20into%20the%20Dark%20Palace.mp3</t>
  </si>
  <si>
    <t xml:space="preserve">A Link To the Past</t>
  </si>
  <si>
    <t xml:space="preserve">Sactuary Dungeon</t>
  </si>
  <si>
    <t xml:space="preserve">https://jetta.vgmtreasurechest.com/soundtracks/legend-of-zelda-the-a-link-to-the-past-snes/tutksjpa/16.%20Sanctuary%20Dungeon.mp3</t>
  </si>
  <si>
    <t xml:space="preserve">Breath of the wild</t>
  </si>
  <si>
    <t xml:space="preserve">Attack on Vah'Naboris</t>
  </si>
  <si>
    <t xml:space="preserve">https://audio.jukehost.co.uk/C4cxIUWPl1uINF0qqb85xe8qClNsbNEf</t>
  </si>
  <si>
    <t xml:space="preserve">Attack on Vah'Ruta</t>
  </si>
  <si>
    <t xml:space="preserve">https://audio.jukehost.co.uk/NrQIENaiELeEJlaWGIMGnLrNZ6N68N1d</t>
  </si>
  <si>
    <t xml:space="preserve">E3 2017</t>
  </si>
  <si>
    <t xml:space="preserve">https://audio.jukehost.co.uk/M5BJB0runmhwtc2oxNYcftsFxcXsFqKf</t>
  </si>
  <si>
    <t xml:space="preserve">Kakariko Village (Day)</t>
  </si>
  <si>
    <t xml:space="preserve">Kass's Final Song</t>
  </si>
  <si>
    <t xml:space="preserve">https://audio.jukehost.co.uk/eniCOP07iSvqXJrbhkEXWkVlmJoFZtXm</t>
  </si>
  <si>
    <t xml:space="preserve">https://audio.jukehost.co.uk/4JE7qzM1tquUSTv5Cwf9cpd0ZYwyFMc6</t>
  </si>
  <si>
    <t xml:space="preserve">Sidon's theme</t>
  </si>
  <si>
    <t xml:space="preserve">https://audio.jukehost.co.uk/Mwgdz3wgvmGD0TVRUouCxpqRIlDQ1Rqy</t>
  </si>
  <si>
    <t xml:space="preserve">Echoes of wisdom</t>
  </si>
  <si>
    <t xml:space="preserve">Ganon battle</t>
  </si>
  <si>
    <t xml:space="preserve">https://audio.jukehost.co.uk/wrypfoMqQdb1YAiKp3Y3mCykG6LZ4JCe</t>
  </si>
  <si>
    <t xml:space="preserve">Hyrule Warriors</t>
  </si>
  <si>
    <t xml:space="preserve">Molgera</t>
  </si>
  <si>
    <t xml:space="preserve">https://audio.jukehost.co.uk/acryNPc1ocLu2oMAhq50ij9C7G1cuqef</t>
  </si>
  <si>
    <t xml:space="preserve">Hyrule Warriors : Age of calamity</t>
  </si>
  <si>
    <t xml:space="preserve">Daruk's theme</t>
  </si>
  <si>
    <t xml:space="preserve">Mipha's theme</t>
  </si>
  <si>
    <t xml:space="preserve">Revali's theme</t>
  </si>
  <si>
    <t xml:space="preserve">The knight who seals the darkness</t>
  </si>
  <si>
    <t xml:space="preserve">Urbosa's theme</t>
  </si>
  <si>
    <t xml:space="preserve">Link : Faces of evil</t>
  </si>
  <si>
    <t xml:space="preserve">Nortinka</t>
  </si>
  <si>
    <t xml:space="preserve">World map theme</t>
  </si>
  <si>
    <t xml:space="preserve">Link's Awakening</t>
  </si>
  <si>
    <t xml:space="preserve">https://audio.jukehost.co.uk/Iz6dnanXrVLD4kzKZGdS4h385ZkmHbEz</t>
  </si>
  <si>
    <t xml:space="preserve">Tal Tal Heights</t>
  </si>
  <si>
    <t xml:space="preserve">https://audio.jukehost.co.uk/qkfwDepgj0RYkX2kvE8aK8ywuZwDO3pw</t>
  </si>
  <si>
    <t xml:space="preserve">Link's Awakening 2019</t>
  </si>
  <si>
    <t xml:space="preserve">Ballad of the wind fish</t>
  </si>
  <si>
    <t xml:space="preserve">https://audio.jukehost.co.uk/zwDQXXimu7w7wDxUwonf8IKLMBT3txIp</t>
  </si>
  <si>
    <t xml:space="preserve">Mabe Village</t>
  </si>
  <si>
    <t xml:space="preserve">https://nu.vgmtreasurechest.com/soundtracks/legend-of-zelda-the-link-s-awakening-2019-remake-gamerip/saxnuktm/1-10%20Mabe%20Village.mp3</t>
  </si>
  <si>
    <t xml:space="preserve">Majora's Mask</t>
  </si>
  <si>
    <t xml:space="preserve">Astral observatory</t>
  </si>
  <si>
    <t xml:space="preserve">https://audio.jukehost.co.uk/LRiqBM5MtUYVSCIZC37Tf2V4LB3zPEva</t>
  </si>
  <si>
    <t xml:space="preserve">Song of healing</t>
  </si>
  <si>
    <t xml:space="preserve">Ocarina of time</t>
  </si>
  <si>
    <t xml:space="preserve">Forest Temple</t>
  </si>
  <si>
    <t xml:space="preserve">https://lambda.vgmtreasurechest.com/soundtracks/legend-of-zelda-the-ocarina-of-time-original-sound-track-1998/gtbynwsx/59%20Forest%20Temple.mp3</t>
  </si>
  <si>
    <t xml:space="preserve">Gerudo valley</t>
  </si>
  <si>
    <t xml:space="preserve">https://audio.jukehost.co.uk/1wFkgKbyD1SkiMAEgiDRewr869iCDoCz</t>
  </si>
  <si>
    <t xml:space="preserve">Ocarina of Time</t>
  </si>
  <si>
    <t xml:space="preserve">Gerudo Valley (orchestral)</t>
  </si>
  <si>
    <t xml:space="preserve">https://audio.jukehost.co.uk/wF2JQ36Ha3cYCcNcBveeyQqwGBApzCia</t>
  </si>
  <si>
    <t xml:space="preserve">Song of Storms</t>
  </si>
  <si>
    <t xml:space="preserve">https://audio.jukehost.co.uk/nSGQjwDfWE7BMmOk1UIU2uUnfu80bFPj</t>
  </si>
  <si>
    <t xml:space="preserve">Skyward Sword</t>
  </si>
  <si>
    <t xml:space="preserve">Ballad of the goddess</t>
  </si>
  <si>
    <t xml:space="preserve">Ballad of the goddess (harp)</t>
  </si>
  <si>
    <t xml:space="preserve">Fi's farewell</t>
  </si>
  <si>
    <t xml:space="preserve">https://audio.jukehost.co.uk/eJvKDWn6japUd6go0hLsOut08uesFWBS</t>
  </si>
  <si>
    <t xml:space="preserve">Pirates Stronghold (exterior, timeshift stone)</t>
  </si>
  <si>
    <t xml:space="preserve">Sand sea (past)</t>
  </si>
  <si>
    <t xml:space="preserve">https://downloads.khinsider.com/game-soundtracks/album/the-legend-of-zelda-skyward-sword-wii-gamerip-2011/226.%2520Pirates%2520Stronghold%2520%2528Exterior%252C%2520Timeshift%2520Stone%2529.mp3</t>
  </si>
  <si>
    <t xml:space="preserve">https://lambda.vgmtreasurechest.com/soundtracks/the-legend-of-zelda-skyward-sword-wii-gamerip-2011/gyahhpeb/226.%20Pirates%20Stronghold%20%28Exterior%2C%20Timeshift%20Stone%29.mp3</t>
  </si>
  <si>
    <t xml:space="preserve">Spirit Tracks</t>
  </si>
  <si>
    <t xml:space="preserve">Cragma Battle</t>
  </si>
  <si>
    <t xml:space="preserve">https://audio.jukehost.co.uk/64ip66XSNnYi3IyOMvPkvrbxozqEznqQ</t>
  </si>
  <si>
    <t xml:space="preserve">Fight against Byrne</t>
  </si>
  <si>
    <t xml:space="preserve">Traucmahr</t>
  </si>
  <si>
    <t xml:space="preserve">https://jetta.vgmtreasurechest.com/soundtracks/the-legend-of-zelda-spirit-tracks/tatsjrfa/148.%20Fight%20Against%20Byrne.mp3</t>
  </si>
  <si>
    <t xml:space="preserve">Final boss battle</t>
  </si>
  <si>
    <t xml:space="preserve">https://audio.jukehost.co.uk/ujyx2ZaPCG9BwQLtbAfsTZyV2vOZhDvL</t>
  </si>
  <si>
    <t xml:space="preserve">Realm Overworld</t>
  </si>
  <si>
    <t xml:space="preserve">https://jetta.vgmtreasurechest.com/soundtracks/the-legend-of-zelda-spirit-tracks/gzggnvqp/058.%20Overworld%20Adventure.mp3</t>
  </si>
  <si>
    <t xml:space="preserve">Tower of spirits</t>
  </si>
  <si>
    <t xml:space="preserve">https://downloads.khinsider.com/game-soundtracks/album/the-legend-of-zelda-spirit-tracks/047.%2520Tower%2520of%2520Spirits.mp3</t>
  </si>
  <si>
    <t xml:space="preserve">https://jetta.vgmtreasurechest.com/soundtracks/the-legend-of-zelda-spirit-tracks/pwmvsbet/047.%20Tower%20of%20Spirits.mp3</t>
  </si>
  <si>
    <t xml:space="preserve">Tears of the kingdom</t>
  </si>
  <si>
    <t xml:space="preserve">Seized construct</t>
  </si>
  <si>
    <t xml:space="preserve">https://downloads.khinsider.com/game-soundtracks/album/the-legend-of-zelda-tears-of-the-kingdom-o.s.t-switch-gamerip-2023/9-07.%2520Scourge%2520of%2520the%2520Spirit%2520Temple%252C%2520Seized%2520Construct%2520Battle.mp3</t>
  </si>
  <si>
    <t xml:space="preserve">https://jetta.vgmtreasurechest.com/soundtracks/the-legend-of-zelda-tears-of-the-kingdom-o.s.t-switch-gamerip-2023/jjrkxjes/9-07.%20Scourge%20of%20the%20Spirit%20Temple%2C%20Seized%20Construct%20Battle.mp3</t>
  </si>
  <si>
    <t xml:space="preserve">https://audio.jukehost.co.uk/mGxzUIYk70XyMDjp6BNamXVmppE8fbsB</t>
  </si>
  <si>
    <t xml:space="preserve">Twilight Princess</t>
  </si>
  <si>
    <t xml:space="preserve">Hidden Village</t>
  </si>
  <si>
    <t xml:space="preserve">https://audio.jukehost.co.uk/uVp8UGSRcy0d31Hepjvin1qPft2IdIet</t>
  </si>
  <si>
    <t xml:space="preserve">Wand of Gamelon</t>
  </si>
  <si>
    <t xml:space="preserve">Sakado Graveyard</t>
  </si>
  <si>
    <t xml:space="preserve">https://downloads.khinsider.com/game-soundtracks/album/zelda-the-wand-of-gamelon-cdi/29_Sakado%2520Graveyard.mp3</t>
  </si>
  <si>
    <t xml:space="preserve">https://jetta.vgmtreasurechest.com/soundtracks/zelda-the-wand-of-gamelon-cdi/shgmrwhx/29_Sakado%20Graveyard.mp3</t>
  </si>
  <si>
    <t xml:space="preserve">Wind Waker</t>
  </si>
  <si>
    <t xml:space="preserve">https://downloads.khinsider.com/game-soundtracks/album/legend-of-zelda-the-the-wind-waker-hd-2013-wii-u-gamerip/4-02.%2520Molgera%2520Battle.mp3</t>
  </si>
  <si>
    <t xml:space="preserve">https://nu.vgmtreasurechest.com/soundtracks/legend-of-zelda-the-the-wind-waker-hd-2013-wii-u-gamerip/fsgtsgaupi/4-02.%20Molgera%20Battle.mp3</t>
  </si>
  <si>
    <t xml:space="preserve">Zenless Zone Zero</t>
  </si>
  <si>
    <t xml:space="preserve">Burning Desire</t>
  </si>
  <si>
    <t xml:space="preserve">https://audio.jukehost.co.uk/wJusP7MZGDUJKS8s6OpFCu29pXX7hx8y</t>
  </si>
  <si>
    <t xml:space="preserve">Golden Sign</t>
  </si>
  <si>
    <t xml:space="preserve">https://audio.jukehost.co.uk/2Yfn7psjp8uWyfT9hfxwWSqgsUrQjqri</t>
  </si>
  <si>
    <t xml:space="preserve">Zombie Tsunami</t>
  </si>
  <si>
    <t xml:space="preserve">In Game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</si>
</sst>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8"/>
      <color rgb="FF0000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4A86E8"/>
      <name val="Arial"/>
      <family val="0"/>
      <charset val="1"/>
    </font>
    <font>
      <b val="true"/>
      <sz val="18"/>
      <color theme="1"/>
      <name val="Arial"/>
      <family val="0"/>
      <charset val="1"/>
    </font>
    <font>
      <b val="true"/>
      <sz val="11"/>
      <color theme="1"/>
      <name val="Arial"/>
      <family val="0"/>
    </font>
    <font>
      <u val="single"/>
      <sz val="11"/>
      <color rgb="FF0000FF"/>
      <name val="Cambria"/>
      <family val="0"/>
      <charset val="1"/>
    </font>
    <font>
      <u val="single"/>
      <sz val="11"/>
      <color rgb="FF0000FF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sz val="11"/>
      <color theme="1"/>
      <name val="Roboto"/>
      <family val="0"/>
      <charset val="1"/>
    </font>
    <font>
      <sz val="11"/>
      <color rgb="FF000000"/>
      <name val="Arial"/>
      <family val="0"/>
      <charset val="1"/>
    </font>
    <font>
      <sz val="10"/>
      <color theme="1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E6A39D"/>
        <bgColor rgb="FFF2B29B"/>
      </patternFill>
    </fill>
    <fill>
      <patternFill patternType="solid">
        <fgColor rgb="FFF7D3AB"/>
        <bgColor rgb="FFFBD49B"/>
      </patternFill>
    </fill>
    <fill>
      <patternFill patternType="solid">
        <fgColor rgb="FFC2D3A9"/>
        <bgColor rgb="FFCED7AB"/>
      </patternFill>
    </fill>
    <fill>
      <patternFill patternType="solid">
        <fgColor rgb="FFF2E5AF"/>
        <bgColor rgb="FFE6E0AE"/>
      </patternFill>
    </fill>
    <fill>
      <patternFill patternType="solid">
        <fgColor rgb="FFFFEAB1"/>
        <bgColor rgb="FFF2E5AF"/>
      </patternFill>
    </fill>
    <fill>
      <patternFill patternType="solid">
        <fgColor rgb="FFEFBBA4"/>
        <bgColor rgb="FFF2B29B"/>
      </patternFill>
    </fill>
    <fill>
      <patternFill patternType="solid">
        <fgColor rgb="FFAACAA7"/>
        <bgColor rgb="FFB6CEA8"/>
      </patternFill>
    </fill>
    <fill>
      <patternFill patternType="solid">
        <fgColor rgb="FFE6E0AE"/>
        <bgColor rgb="FFDADCAC"/>
      </patternFill>
    </fill>
    <fill>
      <patternFill patternType="solid">
        <fgColor rgb="FFB6CEA8"/>
        <bgColor rgb="FFAACAA7"/>
      </patternFill>
    </fill>
    <fill>
      <patternFill patternType="solid">
        <fgColor rgb="FFCED7AB"/>
        <bgColor rgb="FFC2D3A9"/>
      </patternFill>
    </fill>
    <fill>
      <patternFill patternType="solid">
        <fgColor rgb="FFDADCAC"/>
        <bgColor rgb="FFE6E0AE"/>
      </patternFill>
    </fill>
    <fill>
      <patternFill patternType="solid">
        <fgColor rgb="FFFDDD9A"/>
        <bgColor rgb="FFFCD89A"/>
      </patternFill>
    </fill>
    <fill>
      <patternFill patternType="solid">
        <fgColor rgb="FFFBD49B"/>
        <bgColor rgb="FFFAD09B"/>
      </patternFill>
    </fill>
    <fill>
      <patternFill patternType="solid">
        <fgColor rgb="FFFFE599"/>
        <bgColor rgb="FFFDDD9A"/>
      </patternFill>
    </fill>
    <fill>
      <patternFill patternType="solid">
        <fgColor rgb="FFF2B29B"/>
        <bgColor rgb="FFEFBBA4"/>
      </patternFill>
    </fill>
    <fill>
      <patternFill patternType="solid">
        <fgColor rgb="FFF9CB9C"/>
        <bgColor rgb="FFFAD09B"/>
      </patternFill>
    </fill>
    <fill>
      <patternFill patternType="solid">
        <fgColor rgb="FFFCD89A"/>
        <bgColor rgb="FFFBD49B"/>
      </patternFill>
    </fill>
    <fill>
      <patternFill patternType="solid">
        <fgColor rgb="FFFAD09B"/>
        <bgColor rgb="FFFBD49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11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1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1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E599"/>
      <rgbColor rgb="FFFF0000"/>
      <rgbColor rgb="FF00FF00"/>
      <rgbColor rgb="FF0000FF"/>
      <rgbColor rgb="FFFDDD9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CEA8"/>
      <rgbColor rgb="FF808080"/>
      <rgbColor rgb="FF9999FF"/>
      <rgbColor rgb="FF993366"/>
      <rgbColor rgb="FFF2E5AF"/>
      <rgbColor rgb="FFDADCAC"/>
      <rgbColor rgb="FF660066"/>
      <rgbColor rgb="FFF2B29B"/>
      <rgbColor rgb="FF1155CC"/>
      <rgbColor rgb="FFCED7AB"/>
      <rgbColor rgb="FF000080"/>
      <rgbColor rgb="FFFF00FF"/>
      <rgbColor rgb="FFFCD89A"/>
      <rgbColor rgb="FF00FFFF"/>
      <rgbColor rgb="FF800080"/>
      <rgbColor rgb="FF800000"/>
      <rgbColor rgb="FF008080"/>
      <rgbColor rgb="FF0000FF"/>
      <rgbColor rgb="FF00CCFF"/>
      <rgbColor rgb="FFC2D3A9"/>
      <rgbColor rgb="FFE6E0AE"/>
      <rgbColor rgb="FFFFEAB1"/>
      <rgbColor rgb="FFAACAA7"/>
      <rgbColor rgb="FFE6A39D"/>
      <rgbColor rgb="FFEFBBA4"/>
      <rgbColor rgb="FFF9CB9C"/>
      <rgbColor rgb="FF4A86E8"/>
      <rgbColor rgb="FF33CCCC"/>
      <rgbColor rgb="FF99CC00"/>
      <rgbColor rgb="FFFAD09B"/>
      <rgbColor rgb="FFFBD49B"/>
      <rgbColor rgb="FFFF6600"/>
      <rgbColor rgb="FF666699"/>
      <rgbColor rgb="FFF7D3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1238400</xdr:colOff>
      <xdr:row>928</xdr:row>
      <xdr:rowOff>165960</xdr:rowOff>
    </xdr:from>
    <xdr:to>
      <xdr:col>2</xdr:col>
      <xdr:colOff>1523520</xdr:colOff>
      <xdr:row>929</xdr:row>
      <xdr:rowOff>155520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4630680" y="186023520"/>
          <a:ext cx="285120" cy="189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wnloads.khinsider.com/" TargetMode="External"/><Relationship Id="rId2" Type="http://schemas.openxmlformats.org/officeDocument/2006/relationships/hyperlink" Target="https://audio.jukehost.co.uk/E49raN6v4BAV79JoSn9eYcsByEp8Y4MR" TargetMode="External"/><Relationship Id="rId3" Type="http://schemas.openxmlformats.org/officeDocument/2006/relationships/hyperlink" Target="https://downloads.khinsider.com/game-soundtracks/album/a-dance-of-fire-and-ice-windows-gamerip-2019/017.%252010-X%2520Butterfly%2520Planet.mp3" TargetMode="External"/><Relationship Id="rId4" Type="http://schemas.openxmlformats.org/officeDocument/2006/relationships/hyperlink" Target="https://audio.jukehost.co.uk/S6UHSzIkKf9FEwK2FuMfdYjsGdUYxA1I" TargetMode="External"/><Relationship Id="rId5" Type="http://schemas.openxmlformats.org/officeDocument/2006/relationships/hyperlink" Target="https://audio.jukehost.co.uk/XJ7Vhxs6P8S3k43FqioL0tzImi7d67vi" TargetMode="External"/><Relationship Id="rId6" Type="http://schemas.openxmlformats.org/officeDocument/2006/relationships/hyperlink" Target="https://audio.jukehost.co.uk/ta5mN2jdMfX6BNIHZMrBIuYdtAseriZ2" TargetMode="External"/><Relationship Id="rId7" Type="http://schemas.openxmlformats.org/officeDocument/2006/relationships/hyperlink" Target="https://audio.jukehost.co.uk/l4NnCUebRZUkFOkLGJ5QxkRJMOqJvJT8" TargetMode="External"/><Relationship Id="rId8" Type="http://schemas.openxmlformats.org/officeDocument/2006/relationships/hyperlink" Target="https://audio.jukehost.co.uk/vIIABtce2kPtV8ibwKrDKhN5nm3ouSxk" TargetMode="External"/><Relationship Id="rId9" Type="http://schemas.openxmlformats.org/officeDocument/2006/relationships/hyperlink" Target="https://audio.jukehost.co.uk/B5HM2eYj1n0gCBrS4toVqVpJWgPcgRpD" TargetMode="External"/><Relationship Id="rId10" Type="http://schemas.openxmlformats.org/officeDocument/2006/relationships/hyperlink" Target="https://audio.jukehost.co.uk/GCPvOmkHdBEDjY4OAdRds3QaC50jZCQn" TargetMode="External"/><Relationship Id="rId11" Type="http://schemas.openxmlformats.org/officeDocument/2006/relationships/hyperlink" Target="https://audio.jukehost.co.uk/KFT3JYfQFMlU1TT4aSMUIIyysxfGCOk7" TargetMode="External"/><Relationship Id="rId12" Type="http://schemas.openxmlformats.org/officeDocument/2006/relationships/hyperlink" Target="https://downloads.khinsider.com/game-soundtracks/album/dai-gyakuten-saiban-2-naruhodou-ryuunosuke-no-kakugo-gekiban-ongaku-daizenshuu-2017/2-05.%2520Partners%2520-%2520The%2520game%2520is%2520afoot%2521.mp3" TargetMode="External"/><Relationship Id="rId13" Type="http://schemas.openxmlformats.org/officeDocument/2006/relationships/hyperlink" Target="https://lambda.vgmtreasurechest.com/soundtracks/dai-gyakuten-saiban-2-naruhodou-ryuunosuke-no-kakugo-gekiban-ongaku-daizenshuu-2017/upooxbsowh/2-05.%20Partners%20-%20The%20game%20is%20afoot%21.mp3" TargetMode="External"/><Relationship Id="rId14" Type="http://schemas.openxmlformats.org/officeDocument/2006/relationships/hyperlink" Target="https://audio.jukehost.co.uk/MBcRDkiIBOPEcA52Ah1hfnI4zPkbA9he" TargetMode="External"/><Relationship Id="rId15" Type="http://schemas.openxmlformats.org/officeDocument/2006/relationships/hyperlink" Target="https://audio.jukehost.co.uk/uurnQmA3E1brJYMRAC3bZKONqy4H7RIa" TargetMode="External"/><Relationship Id="rId16" Type="http://schemas.openxmlformats.org/officeDocument/2006/relationships/hyperlink" Target="https://downloads.khinsider.com/game-soundtracks/album/afterimage-ps4-ps5-switch-windows-xbox-one-xbox-series-xs-gamerip-2023/04%2520Bgm%2520Login.mp3" TargetMode="External"/><Relationship Id="rId17" Type="http://schemas.openxmlformats.org/officeDocument/2006/relationships/hyperlink" Target="https://nu.vgmtreasurechest.com/soundtracks/afterimage-original-game-soundtrack-2023/knlquavz/01.%20Afterimage.mp3" TargetMode="External"/><Relationship Id="rId18" Type="http://schemas.openxmlformats.org/officeDocument/2006/relationships/hyperlink" Target="https://audio.jukehost.co.uk/8maF1awhxwX6t5JDILy6IIJotLq0t0wJ" TargetMode="External"/><Relationship Id="rId19" Type="http://schemas.openxmlformats.org/officeDocument/2006/relationships/hyperlink" Target="https://audio.jukehost.co.uk/IR4NjlOF6bPdNH4Cm1sZSNlvluPghb8U" TargetMode="External"/><Relationship Id="rId20" Type="http://schemas.openxmlformats.org/officeDocument/2006/relationships/hyperlink" Target="https://audio.jukehost.co.uk/b2lCTYJJDDX9aAKPHEtPPWYMjlMm2GEM" TargetMode="External"/><Relationship Id="rId21" Type="http://schemas.openxmlformats.org/officeDocument/2006/relationships/hyperlink" Target="https://audio.jukehost.co.uk/LKaUR5GGVuUE8bhxzl0tVHT32r0hEqbQ" TargetMode="External"/><Relationship Id="rId22" Type="http://schemas.openxmlformats.org/officeDocument/2006/relationships/hyperlink" Target="https://downloads.khinsider.com/game-soundtracks/album/alan-wake-2-old-gods-of-asgard-2023/07%2520-%2520Herald%2520of%2520Darkness%2520%2528feat.%2520Alan%2520Wake%2520%2526%2520Mr.%2520Door%2529.mp3" TargetMode="External"/><Relationship Id="rId23" Type="http://schemas.openxmlformats.org/officeDocument/2006/relationships/hyperlink" Target="https://nu.vgmtreasurechest.com/soundtracks/alan-wake-2-old-gods-of-asgard-2023/ecbynwru/07%20-%20Herald%20of%20Darkness%20%28feat.%20Alan%20Wake%20%26%20Mr.%20Door%29.mp3" TargetMode="External"/><Relationship Id="rId24" Type="http://schemas.openxmlformats.org/officeDocument/2006/relationships/hyperlink" Target="https://audio.jukehost.co.uk/JndZQdO3c3Hp8EZ8lXp9rggayd9rhTmH" TargetMode="External"/><Relationship Id="rId25" Type="http://schemas.openxmlformats.org/officeDocument/2006/relationships/hyperlink" Target="https://downloads.khinsider.com/game-soundtracks/album/amnesia-the-dark-descent/11.%2520Back%2520Hall.mp3" TargetMode="External"/><Relationship Id="rId26" Type="http://schemas.openxmlformats.org/officeDocument/2006/relationships/hyperlink" Target="https://nu.vgmtreasurechest.com/soundtracks/amnesia-the-dark-descent/fruwxajt/11.%20Back%20Hall.mp3" TargetMode="External"/><Relationship Id="rId27" Type="http://schemas.openxmlformats.org/officeDocument/2006/relationships/hyperlink" Target="https://audio.jukehost.co.uk/Cly4nSycDbot03KacGRD59iC2iwnmX4F" TargetMode="External"/><Relationship Id="rId28" Type="http://schemas.openxmlformats.org/officeDocument/2006/relationships/hyperlink" Target="https://audio.jukehost.co.uk/cdVmbZiJGPkzGxMT7Lbdg6wSxjetndet" TargetMode="External"/><Relationship Id="rId29" Type="http://schemas.openxmlformats.org/officeDocument/2006/relationships/hyperlink" Target="https://audio.jukehost.co.uk/2JHCSRV4EDwuwnoOrSB3TmlzsteXazfq" TargetMode="External"/><Relationship Id="rId30" Type="http://schemas.openxmlformats.org/officeDocument/2006/relationships/hyperlink" Target="https://audio.jukehost.co.uk/j4yXWmRrwyQ3A7IpHcpAfYTaj74wunDi" TargetMode="External"/><Relationship Id="rId31" Type="http://schemas.openxmlformats.org/officeDocument/2006/relationships/hyperlink" Target="https://audio.jukehost.co.uk/BinqBPt69en6THO336FrJcMMz5NCwBYP" TargetMode="External"/><Relationship Id="rId32" Type="http://schemas.openxmlformats.org/officeDocument/2006/relationships/hyperlink" Target="https://audio.jukehost.co.uk/P48WzYotsOOmnmJzzeWnO0U6BiovfQTM" TargetMode="External"/><Relationship Id="rId33" Type="http://schemas.openxmlformats.org/officeDocument/2006/relationships/hyperlink" Target="https://audio.jukehost.co.uk/ARKHW1tDDv2qBFShJaQJxJeqGRz474Pv" TargetMode="External"/><Relationship Id="rId34" Type="http://schemas.openxmlformats.org/officeDocument/2006/relationships/hyperlink" Target="https://audio.jukehost.co.uk/pPqiER4PNkCbsTOcYjx5M2Burxe6is1N" TargetMode="External"/><Relationship Id="rId35" Type="http://schemas.openxmlformats.org/officeDocument/2006/relationships/hyperlink" Target="https://audio.jukehost.co.uk/i1MtTPZTk1KySAPDrFy1vPIWZjZnNXT9" TargetMode="External"/><Relationship Id="rId36" Type="http://schemas.openxmlformats.org/officeDocument/2006/relationships/hyperlink" Target="https://audio.jukehost.co.uk/puQ6jl39GkjTcwHv5BPy5zXBrKEywcGI" TargetMode="External"/><Relationship Id="rId37" Type="http://schemas.openxmlformats.org/officeDocument/2006/relationships/hyperlink" Target="https://audio.jukehost.co.uk/yNuz5yvgYWm5QOuQvFj0CVUrUikikXy5" TargetMode="External"/><Relationship Id="rId38" Type="http://schemas.openxmlformats.org/officeDocument/2006/relationships/hyperlink" Target="https://audio.jukehost.co.uk/lDdxg2q8JJ3Afeuhj7aF266Zx9OgoX04" TargetMode="External"/><Relationship Id="rId39" Type="http://schemas.openxmlformats.org/officeDocument/2006/relationships/hyperlink" Target="https://audio.jukehost.co.uk/ieF4B353U382DDr4KbPS3KrV6AcaOM9p" TargetMode="External"/><Relationship Id="rId40" Type="http://schemas.openxmlformats.org/officeDocument/2006/relationships/hyperlink" Target="https://audio.jukehost.co.uk/6ftZO52GQHpManbHVdVfvqLOAN9BTN7z" TargetMode="External"/><Relationship Id="rId41" Type="http://schemas.openxmlformats.org/officeDocument/2006/relationships/hyperlink" Target="https://audio.jukehost.co.uk/XF3INZdawZSyPxB0gnb9enaYvdG9Ldky" TargetMode="External"/><Relationship Id="rId42" Type="http://schemas.openxmlformats.org/officeDocument/2006/relationships/hyperlink" Target="https://audio.jukehost.co.uk/qQ7RD6jnDZmk3eASTzNcCoDsjjY8T3Jt" TargetMode="External"/><Relationship Id="rId43" Type="http://schemas.openxmlformats.org/officeDocument/2006/relationships/hyperlink" Target="https://audio.jukehost.co.uk/q6gN0mlLmpz698TgQYZuidWiGP8gJEwW" TargetMode="External"/><Relationship Id="rId44" Type="http://schemas.openxmlformats.org/officeDocument/2006/relationships/hyperlink" Target="https://audio.jukehost.co.uk/xxhj1FzIw7dDnKLvBnOO44CdDTxjO3lv" TargetMode="External"/><Relationship Id="rId45" Type="http://schemas.openxmlformats.org/officeDocument/2006/relationships/hyperlink" Target="https://audio.jukehost.co.uk/4MwKn9HKjAGYJZUeUNI91sNwYLfCW9jM" TargetMode="External"/><Relationship Id="rId46" Type="http://schemas.openxmlformats.org/officeDocument/2006/relationships/hyperlink" Target="https://audio.jukehost.co.uk/KLWlQoP5CcqC0wTVAN66OgwYc3MtOi0w" TargetMode="External"/><Relationship Id="rId47" Type="http://schemas.openxmlformats.org/officeDocument/2006/relationships/hyperlink" Target="https://audio.jukehost.co.uk/4c64cim6wYWylpl9rYgqzypSY927QAgQ" TargetMode="External"/><Relationship Id="rId48" Type="http://schemas.openxmlformats.org/officeDocument/2006/relationships/hyperlink" Target="https://audio.jukehost.co.uk/CE9GzHeyOgjnWJ8DJIW9YRaYK1jm9zq7" TargetMode="External"/><Relationship Id="rId49" Type="http://schemas.openxmlformats.org/officeDocument/2006/relationships/hyperlink" Target="https://audio.jukehost.co.uk/Fe1Rvep0AV8PHc7lEi879g86VFxsydOU" TargetMode="External"/><Relationship Id="rId50" Type="http://schemas.openxmlformats.org/officeDocument/2006/relationships/hyperlink" Target="https://audio.jukehost.co.uk/fMgrhCbXHWaXhiOnWbPHG9u4ZCEpa2lE" TargetMode="External"/><Relationship Id="rId51" Type="http://schemas.openxmlformats.org/officeDocument/2006/relationships/hyperlink" Target="https://audio.jukehost.co.uk/6ItJY2wqPk2veEZR1AwaijS6ZSwRxtiQ" TargetMode="External"/><Relationship Id="rId52" Type="http://schemas.openxmlformats.org/officeDocument/2006/relationships/hyperlink" Target="https://audio.jukehost.co.uk/i8aIjeyC2bK7gTnovTKnYzGKNk9YMB0J" TargetMode="External"/><Relationship Id="rId53" Type="http://schemas.openxmlformats.org/officeDocument/2006/relationships/hyperlink" Target="https://audio.jukehost.co.uk/K2PHtbLxVehVBX42Iv3M8FuwXGxZSuni" TargetMode="External"/><Relationship Id="rId54" Type="http://schemas.openxmlformats.org/officeDocument/2006/relationships/hyperlink" Target="https://audio.jukehost.co.uk/wJtRk3VnfauRoReuFv57P9vH9750Olu5" TargetMode="External"/><Relationship Id="rId55" Type="http://schemas.openxmlformats.org/officeDocument/2006/relationships/hyperlink" Target="https://audio.jukehost.co.uk/Md9mkaqEsbyP6elbWhzT4cfQIJ1LFxBw" TargetMode="External"/><Relationship Id="rId56" Type="http://schemas.openxmlformats.org/officeDocument/2006/relationships/hyperlink" Target="https://audio.jukehost.co.uk/PatrI4GrYrZHazzj29wGGbpDe5DDH5UK" TargetMode="External"/><Relationship Id="rId57" Type="http://schemas.openxmlformats.org/officeDocument/2006/relationships/hyperlink" Target="https://audio.jukehost.co.uk/8EXfyn9O6bRtSC2QbeaNt6E6KUN6YD8x" TargetMode="External"/><Relationship Id="rId58" Type="http://schemas.openxmlformats.org/officeDocument/2006/relationships/hyperlink" Target="https://audio.jukehost.co.uk/7XSTGHP48pR3CjH23ws3OjONPiToHwOo" TargetMode="External"/><Relationship Id="rId59" Type="http://schemas.openxmlformats.org/officeDocument/2006/relationships/hyperlink" Target="https://audio.jukehost.co.uk/MhQvxSly3AVbBBZCJ9pPYs0BRTkXnnvD" TargetMode="External"/><Relationship Id="rId60" Type="http://schemas.openxmlformats.org/officeDocument/2006/relationships/hyperlink" Target="https://audio.jukehost.co.uk/hIaAQGdrSFHQDGg56iYXbsU0HC9EdhXN" TargetMode="External"/><Relationship Id="rId61" Type="http://schemas.openxmlformats.org/officeDocument/2006/relationships/hyperlink" Target="https://audio.jukehost.co.uk/ZMUu7Z3pAFyX1nKraW8gfHkOHi389RZN" TargetMode="External"/><Relationship Id="rId62" Type="http://schemas.openxmlformats.org/officeDocument/2006/relationships/hyperlink" Target="https://audio.jukehost.co.uk/I3KP0tRDEs0XaPgnXK7y635pjLQWlo1C" TargetMode="External"/><Relationship Id="rId63" Type="http://schemas.openxmlformats.org/officeDocument/2006/relationships/hyperlink" Target="https://audio.jukehost.co.uk/eZWGaniD5agc4DwMAg0M0ML9mMe8fUsg" TargetMode="External"/><Relationship Id="rId64" Type="http://schemas.openxmlformats.org/officeDocument/2006/relationships/hyperlink" Target="https://audio.jukehost.co.uk/jb7l2VX0u9ZgsgL5olLUusx99vF8l2hd" TargetMode="External"/><Relationship Id="rId65" Type="http://schemas.openxmlformats.org/officeDocument/2006/relationships/hyperlink" Target="https://audio.jukehost.co.uk/1nNoHX9NvBNI8nAqmBqnO5GdUcx5eE5b" TargetMode="External"/><Relationship Id="rId66" Type="http://schemas.openxmlformats.org/officeDocument/2006/relationships/hyperlink" Target="https://audio.jukehost.co.uk/0brLUu1VBZdgLjkfQeqbhEsoP7cIQcaw" TargetMode="External"/><Relationship Id="rId67" Type="http://schemas.openxmlformats.org/officeDocument/2006/relationships/hyperlink" Target="https://audio.jukehost.co.uk/tIpmz9FioglRTFiwjNSDv1AsrZoFEZf0" TargetMode="External"/><Relationship Id="rId68" Type="http://schemas.openxmlformats.org/officeDocument/2006/relationships/hyperlink" Target="https://lambda.vgmtreasurechest.com/soundtracks/baba-is-you/xxvkooee/02.%20Baba%20Is%20You.mp3" TargetMode="External"/><Relationship Id="rId69" Type="http://schemas.openxmlformats.org/officeDocument/2006/relationships/hyperlink" Target="https://audio.jukehost.co.uk/sdCw91jPH1ox2IQYOZpgeTiykNHJWWX2" TargetMode="External"/><Relationship Id="rId70" Type="http://schemas.openxmlformats.org/officeDocument/2006/relationships/hyperlink" Target="https://audio.jukehost.co.uk/wMspmALkj2p8mZQp4m7aZ6LtuqCybnIa" TargetMode="External"/><Relationship Id="rId71" Type="http://schemas.openxmlformats.org/officeDocument/2006/relationships/hyperlink" Target="https://audio.jukehost.co.uk/W7ZVOBoe7DG29k0hQDwFrn0uXcotkFWG" TargetMode="External"/><Relationship Id="rId72" Type="http://schemas.openxmlformats.org/officeDocument/2006/relationships/hyperlink" Target="https://audio.jukehost.co.uk/z4TEF4OIgPhBlCYXnVxKEI62qa9ePaI1" TargetMode="External"/><Relationship Id="rId73" Type="http://schemas.openxmlformats.org/officeDocument/2006/relationships/hyperlink" Target="https://audio.jukehost.co.uk/UEvt1COEJB4DDsyrK6lf1yirV52FL9T8" TargetMode="External"/><Relationship Id="rId74" Type="http://schemas.openxmlformats.org/officeDocument/2006/relationships/hyperlink" Target="https://jetta.vgmtreasurechest.com/soundtracks/baten-kaitos-origins-gc-gamerip-2006/yglktopf/1-01.%20Le%20Ali%20del%20Principio.mp3" TargetMode="External"/><Relationship Id="rId75" Type="http://schemas.openxmlformats.org/officeDocument/2006/relationships/hyperlink" Target="https://audio.jukehost.co.uk/7WPJEl614OQf4inecNjF8CDt80UREpkQ" TargetMode="External"/><Relationship Id="rId76" Type="http://schemas.openxmlformats.org/officeDocument/2006/relationships/hyperlink" Target="https://nu.vgmtreasurechest.com/soundtracks/battlefield-1942/qxpixllz/01%20-%20Vehicle%204.mp3" TargetMode="External"/><Relationship Id="rId77" Type="http://schemas.openxmlformats.org/officeDocument/2006/relationships/hyperlink" Target="https://audio.jukehost.co.uk/z0Cc5LQQ66KwarIPGyavJ2EO9hIdAGxN" TargetMode="External"/><Relationship Id="rId78" Type="http://schemas.openxmlformats.org/officeDocument/2006/relationships/hyperlink" Target="https://audio.jukehost.co.uk/K7SifgnwhqCvICIP5dkYQFOJUPLoJ61B" TargetMode="External"/><Relationship Id="rId79" Type="http://schemas.openxmlformats.org/officeDocument/2006/relationships/hyperlink" Target="https://audio.jukehost.co.uk/8wmBYb9F9juBO7z39S5dku8pDcCLCA9T" TargetMode="External"/><Relationship Id="rId80" Type="http://schemas.openxmlformats.org/officeDocument/2006/relationships/hyperlink" Target="https://downloads.khinsider.com/game-soundtracks/album/blasphemous-linux-macos-ps4-switch-windows-xbox-one-gamerip-2019/38%2520Cante%2520de%2520los%2520Muertos%2520%25E2%2594%2582%2520Chants%2520of%2520the%2520Dead%2520%2528Instrumental%2529%2520%25E2%259" TargetMode="External"/><Relationship Id="rId81" Type="http://schemas.openxmlformats.org/officeDocument/2006/relationships/hyperlink" Target="https://nu.vgmtreasurechest.com/soundtracks/blasphemous-linux-macos-ps4-switch-windows-xbox-one-gamerip-2019/btptyjcl/38%20Cante%20de%20los%20Muertos%20&#9474;%20Chants%20of%20the%20Dead%20%28Instrumental%29%20&#9884;Isidora%2C%20Voice%20of%20the%20Dead&#9884;.mp3" TargetMode="External"/><Relationship Id="rId82" Type="http://schemas.openxmlformats.org/officeDocument/2006/relationships/hyperlink" Target="https://audio.jukehost.co.uk/ds65MaHpSrVG9uk9pNwz7vpdze9BHqDC" TargetMode="External"/><Relationship Id="rId83" Type="http://schemas.openxmlformats.org/officeDocument/2006/relationships/hyperlink" Target="https://audio.jukehost.co.uk/1fPtZYkJSgp9wB3BqLywYD1JFGu8Xrfh" TargetMode="External"/><Relationship Id="rId84" Type="http://schemas.openxmlformats.org/officeDocument/2006/relationships/hyperlink" Target="https://downloads.khinsider.com/game-soundtracks/album/blasphemous-2-ost-2023/18.%2520De%2520Blanca%2520Mantilla.mp3" TargetMode="External"/><Relationship Id="rId85" Type="http://schemas.openxmlformats.org/officeDocument/2006/relationships/hyperlink" Target="https://jetta.vgmtreasurechest.com/soundtracks/blasphemous-2-ost-2023/qbkuuomt/18.%20De%20Blanca%20Mantilla.mp3" TargetMode="External"/><Relationship Id="rId86" Type="http://schemas.openxmlformats.org/officeDocument/2006/relationships/hyperlink" Target="https://downloads.khinsider.com/game-soundtracks/album/blasphemous-2-ost-2023/30.%2520Lienzo%2520de%2520la%2520Luz%2520y%2520el%2520Tiempo.mp3" TargetMode="External"/><Relationship Id="rId87" Type="http://schemas.openxmlformats.org/officeDocument/2006/relationships/hyperlink" Target="https://jetta.vgmtreasurechest.com/soundtracks/blasphemous-2-ost-2023/gcvwwtbd/30.%20Lienzo%20de%20la%20Luz%20y%20el%20Tiempo.mp3" TargetMode="External"/><Relationship Id="rId88" Type="http://schemas.openxmlformats.org/officeDocument/2006/relationships/hyperlink" Target="https://downloads.khinsider.com/game-soundtracks/album/blasphemous-2-ost-2023/27.%2520Padre%2520de%2520los%2520Penitentes.mp3" TargetMode="External"/><Relationship Id="rId89" Type="http://schemas.openxmlformats.org/officeDocument/2006/relationships/hyperlink" Target="https://jetta.vgmtreasurechest.com/soundtracks/blasphemous-2-ost-2023/nvppbptz/27.%20Padre%20de%20los%20Penitentes.mp3" TargetMode="External"/><Relationship Id="rId90" Type="http://schemas.openxmlformats.org/officeDocument/2006/relationships/hyperlink" Target="https://audio.jukehost.co.uk/g8CVNzy7NJHdEDN3SCGzCYwEJcsxgOYU" TargetMode="External"/><Relationship Id="rId91" Type="http://schemas.openxmlformats.org/officeDocument/2006/relationships/hyperlink" Target="https://downloads.khinsider.com/game-soundtracks/album/bloodborne-original-soundtrack-2015/03.%2520Hunter%2527s%2520Dream.mp3" TargetMode="External"/><Relationship Id="rId92" Type="http://schemas.openxmlformats.org/officeDocument/2006/relationships/hyperlink" Target="https://nu.vgmtreasurechest.com/soundtracks/bloodborne-original-soundtrack-2015/cdnefrqf/03.%20Hunter%27s%20Dream.mp3" TargetMode="External"/><Relationship Id="rId93" Type="http://schemas.openxmlformats.org/officeDocument/2006/relationships/hyperlink" Target="https://downloads.khinsider.com/game-soundtracks/album/bloodborne-original-soundtrack-2015/22.%2520Lullaby%2520for%2520Mergo.mp3" TargetMode="External"/><Relationship Id="rId94" Type="http://schemas.openxmlformats.org/officeDocument/2006/relationships/hyperlink" Target="https://nu.vgmtreasurechest.com/soundtracks/bloodborne-original-soundtrack-2015/kzsmknlq/22.%20Lullaby%20for%20Mergo.mp3" TargetMode="External"/><Relationship Id="rId95" Type="http://schemas.openxmlformats.org/officeDocument/2006/relationships/hyperlink" Target="https://audio.jukehost.co.uk/oGWZyDnGoTOfS7qQjWtqIp9alIZl3Onf" TargetMode="External"/><Relationship Id="rId96" Type="http://schemas.openxmlformats.org/officeDocument/2006/relationships/hyperlink" Target="https://audio.jukehost.co.uk/4riDOzp7lqW85opKrM4jod8KREq4fyVb" TargetMode="External"/><Relationship Id="rId97" Type="http://schemas.openxmlformats.org/officeDocument/2006/relationships/hyperlink" Target="https://audio.jukehost.co.uk/yfiIUq1V9d0D5HAvHIMd1tK5w2JQF1Bd" TargetMode="External"/><Relationship Id="rId98" Type="http://schemas.openxmlformats.org/officeDocument/2006/relationships/hyperlink" Target="https://audio.jukehost.co.uk/IsIWg1mgKKDg1NoK2cEpVWxIlyREJuRM" TargetMode="External"/><Relationship Id="rId99" Type="http://schemas.openxmlformats.org/officeDocument/2006/relationships/hyperlink" Target="https://audio.jukehost.co.uk/IjY7spwowM6PTR9Obek7ZtlkJUIItArD" TargetMode="External"/><Relationship Id="rId100" Type="http://schemas.openxmlformats.org/officeDocument/2006/relationships/hyperlink" Target="https://audio.jukehost.co.uk/n59olf6W5jPq68Qnxekoc9zK0QC7yeH5" TargetMode="External"/><Relationship Id="rId101" Type="http://schemas.openxmlformats.org/officeDocument/2006/relationships/hyperlink" Target="https://downloads.khinsider.com/game-soundtracks/album/bomb-rush-cyberfunk-soundtrack-2023/02.%2520I%2520Wanna%2520Kno.mp3" TargetMode="External"/><Relationship Id="rId102" Type="http://schemas.openxmlformats.org/officeDocument/2006/relationships/hyperlink" Target="https://audio.jukehost.co.uk/6fO0sLmU08SW8jJ7xMxD0NzhKAp11ih4" TargetMode="External"/><Relationship Id="rId103" Type="http://schemas.openxmlformats.org/officeDocument/2006/relationships/hyperlink" Target="https://audio.jukehost.co.uk/qfwjuEW1rtL8fH0HrA9tx03T9c3oRw0D" TargetMode="External"/><Relationship Id="rId104" Type="http://schemas.openxmlformats.org/officeDocument/2006/relationships/hyperlink" Target="https://audio.jukehost.co.uk/rRQGRkKgSudSRjh5twMH9h7xDKx9X2hW" TargetMode="External"/><Relationship Id="rId105" Type="http://schemas.openxmlformats.org/officeDocument/2006/relationships/hyperlink" Target="https://audio.jukehost.co.uk/PGP8l78ct84VwfP1XPPWy0d2CFyQTovJ" TargetMode="External"/><Relationship Id="rId106" Type="http://schemas.openxmlformats.org/officeDocument/2006/relationships/hyperlink" Target="https://audio.jukehost.co.uk/8dV9Y5y6TEdfKBQxNkh4o6OobrprJYxh" TargetMode="External"/><Relationship Id="rId107" Type="http://schemas.openxmlformats.org/officeDocument/2006/relationships/hyperlink" Target="https://audio.jukehost.co.uk/syxsuu3YB2w3mzrFnbkVLsJB5eTY06db" TargetMode="External"/><Relationship Id="rId108" Type="http://schemas.openxmlformats.org/officeDocument/2006/relationships/hyperlink" Target="https://audio.jukehost.co.uk/a3I17EHgmq7O4B2COpzrfXRz7KtEHmks" TargetMode="External"/><Relationship Id="rId109" Type="http://schemas.openxmlformats.org/officeDocument/2006/relationships/hyperlink" Target="https://audio.jukehost.co.uk/mNrQw6NDFmzeIVkE4QahC8lPmk1EpjYi" TargetMode="External"/><Relationship Id="rId110" Type="http://schemas.openxmlformats.org/officeDocument/2006/relationships/hyperlink" Target="https://downloads.khinsider.com/game-soundtracks/album/borderlands-gamerip-2009/22.%2520Intro%2520Music%2520No%2520Edit%2520Full.mp3" TargetMode="External"/><Relationship Id="rId111" Type="http://schemas.openxmlformats.org/officeDocument/2006/relationships/hyperlink" Target="https://lambda.vgmtreasurechest.com/soundtracks/borderlands-gamerip-2009/jutkusgd/22.%20Intro%20Music%20No%20Edit%20Full.mp3" TargetMode="External"/><Relationship Id="rId112" Type="http://schemas.openxmlformats.org/officeDocument/2006/relationships/hyperlink" Target="https://lambda.vgmtreasurechest.com/soundtracks/bpm-bullets-per-minute-original-game-soundtrack/xdarggms/07%20-%20Into%20Asgard.mp3" TargetMode="External"/><Relationship Id="rId113" Type="http://schemas.openxmlformats.org/officeDocument/2006/relationships/hyperlink" Target="https://audio.jukehost.co.uk/orErAghyP9mgzszlOVTlKjUPi9OGqGI8" TargetMode="External"/><Relationship Id="rId114" Type="http://schemas.openxmlformats.org/officeDocument/2006/relationships/hyperlink" Target="https://audio.jukehost.co.uk/yaMyqQUKdp5WtcMpVv2iSmex1oHtro6x" TargetMode="External"/><Relationship Id="rId115" Type="http://schemas.openxmlformats.org/officeDocument/2006/relationships/hyperlink" Target="https://audio.jukehost.co.uk/8yVgjTsl67fWKaenNUjGtX2elX7Xo2yM" TargetMode="External"/><Relationship Id="rId116" Type="http://schemas.openxmlformats.org/officeDocument/2006/relationships/hyperlink" Target="https://audio.jukehost.co.uk/lu2FQ74bew5ngu5c8WGpB2myhXuP93ww" TargetMode="External"/><Relationship Id="rId117" Type="http://schemas.openxmlformats.org/officeDocument/2006/relationships/hyperlink" Target="https://audio.jukehost.co.uk/5SccJr7ZAncksBRnLT6U36PYuwaLt0yC" TargetMode="External"/><Relationship Id="rId118" Type="http://schemas.openxmlformats.org/officeDocument/2006/relationships/hyperlink" Target="https://audio.jukehost.co.uk/0rPmuHSNswHDTbCJmSZfZRMfq25h2XYk" TargetMode="External"/><Relationship Id="rId119" Type="http://schemas.openxmlformats.org/officeDocument/2006/relationships/hyperlink" Target="https://audio.jukehost.co.uk/4mNlhEuaZHdhY4mlt4r7LyFb5oZNHvYv" TargetMode="External"/><Relationship Id="rId120" Type="http://schemas.openxmlformats.org/officeDocument/2006/relationships/hyperlink" Target="https://audio.jukehost.co.uk/2fYVmi0AhFwjkZcwnPs6G9yLcVe0HegR" TargetMode="External"/><Relationship Id="rId121" Type="http://schemas.openxmlformats.org/officeDocument/2006/relationships/hyperlink" Target="https://audio.jukehost.co.uk/kasQg7snNjkeptR7cJNhBegGbCABrnJY" TargetMode="External"/><Relationship Id="rId122" Type="http://schemas.openxmlformats.org/officeDocument/2006/relationships/hyperlink" Target="https://audio.jukehost.co.uk/Gbs5DInRJ2OkCfGwNPSK2IfwcnVeq9UG" TargetMode="External"/><Relationship Id="rId123" Type="http://schemas.openxmlformats.org/officeDocument/2006/relationships/hyperlink" Target="https://audio.jukehost.co.uk/iauCRfgY255ffYLTPm7VdsfJRsqnE98s" TargetMode="External"/><Relationship Id="rId124" Type="http://schemas.openxmlformats.org/officeDocument/2006/relationships/hyperlink" Target="https://audio.jukehost.co.uk/uVhqNJpX7H67TcitbrrYxxtmiqxEkL1t" TargetMode="External"/><Relationship Id="rId125" Type="http://schemas.openxmlformats.org/officeDocument/2006/relationships/hyperlink" Target="https://audio.jukehost.co.uk/Jtgmfkxz1DJiVmmqGgitCmUeIXV1SK0h" TargetMode="External"/><Relationship Id="rId126" Type="http://schemas.openxmlformats.org/officeDocument/2006/relationships/hyperlink" Target="https://audio.jukehost.co.uk/fbeBhjyE7E9ArXC97EulqphapUxSyxUX" TargetMode="External"/><Relationship Id="rId127" Type="http://schemas.openxmlformats.org/officeDocument/2006/relationships/hyperlink" Target="https://audio.jukehost.co.uk/Ax2rX8EznbL8Teu6Bs7Jpn0bSv7Ydvym" TargetMode="External"/><Relationship Id="rId128" Type="http://schemas.openxmlformats.org/officeDocument/2006/relationships/hyperlink" Target="https://audio.jukehost.co.uk/JMVmmNab7KcTfLdubDkzK7pbu5EJWJ9n" TargetMode="External"/><Relationship Id="rId129" Type="http://schemas.openxmlformats.org/officeDocument/2006/relationships/hyperlink" Target="https://audio.jukehost.co.uk/T4Zh51L9FCVxYBrWxXxwt9kl6YKCUOxv" TargetMode="External"/><Relationship Id="rId130" Type="http://schemas.openxmlformats.org/officeDocument/2006/relationships/hyperlink" Target="https://audio.jukehost.co.uk/IepLfUbdCsgQaudS9pGegtZJa9H3I9Ed" TargetMode="External"/><Relationship Id="rId131" Type="http://schemas.openxmlformats.org/officeDocument/2006/relationships/hyperlink" Target="https://audio.jukehost.co.uk/k1nVc2CHoTyUiTi9DpNDxPOqZ09kRyXq" TargetMode="External"/><Relationship Id="rId132" Type="http://schemas.openxmlformats.org/officeDocument/2006/relationships/hyperlink" Target="https://audio.jukehost.co.uk/KvuuqG8GNjs5XRsIMZjpZ8NF0yXEoOGa" TargetMode="External"/><Relationship Id="rId133" Type="http://schemas.openxmlformats.org/officeDocument/2006/relationships/hyperlink" Target="https://audio.jukehost.co.uk/XF0JsifFKSJPtf3xrK0vUqzN2zxVqdlx" TargetMode="External"/><Relationship Id="rId134" Type="http://schemas.openxmlformats.org/officeDocument/2006/relationships/hyperlink" Target="https://audio.jukehost.co.uk/fPBFSmkDKj8BhflldbmPhRTyS39CzoKa" TargetMode="External"/><Relationship Id="rId135" Type="http://schemas.openxmlformats.org/officeDocument/2006/relationships/hyperlink" Target="https://audio.jukehost.co.uk/L6MMMYUtYo2ldeQM1QG16cXAevZ1cVRf" TargetMode="External"/><Relationship Id="rId136" Type="http://schemas.openxmlformats.org/officeDocument/2006/relationships/hyperlink" Target="https://audio.jukehost.co.uk/6P7iXfvqxCsHtXLlGAXfhvWFY15VTLvi" TargetMode="External"/><Relationship Id="rId137" Type="http://schemas.openxmlformats.org/officeDocument/2006/relationships/hyperlink" Target="https://audio.jukehost.co.uk/AiuhC5JFrPZWPrWFYxq4PCkvDK081v9p" TargetMode="External"/><Relationship Id="rId138" Type="http://schemas.openxmlformats.org/officeDocument/2006/relationships/hyperlink" Target="https://audio.jukehost.co.uk/cPEHlrsRdEk6jeKLSTpnPITm6H2eeolp" TargetMode="External"/><Relationship Id="rId139" Type="http://schemas.openxmlformats.org/officeDocument/2006/relationships/hyperlink" Target="https://audio.jukehost.co.uk/xYVfcYxnZZRwqa30ILiaY3Y25cCIZybO" TargetMode="External"/><Relationship Id="rId140" Type="http://schemas.openxmlformats.org/officeDocument/2006/relationships/hyperlink" Target="https://audio.jukehost.co.uk/ILiVfq68K5WNMnjwS9RQFIbkCGS5dmUb" TargetMode="External"/><Relationship Id="rId141" Type="http://schemas.openxmlformats.org/officeDocument/2006/relationships/hyperlink" Target="https://audio.jukehost.co.uk/NxHv8IJSR8e27YnA4W6MIjApfWifpGHb" TargetMode="External"/><Relationship Id="rId142" Type="http://schemas.openxmlformats.org/officeDocument/2006/relationships/hyperlink" Target="https://audio.jukehost.co.uk/S1FabQ3D7C1QY1TKC2oCBx2AOqsMQzWn" TargetMode="External"/><Relationship Id="rId143" Type="http://schemas.openxmlformats.org/officeDocument/2006/relationships/hyperlink" Target="https://audio.jukehost.co.uk/R7GnXbqVfRU1IFY7SjCe4wK2P6oK3oSs" TargetMode="External"/><Relationship Id="rId144" Type="http://schemas.openxmlformats.org/officeDocument/2006/relationships/hyperlink" Target="https://audio.jukehost.co.uk/lHWEp2f21kpxywMvepOK6kkpPoitjJ2f" TargetMode="External"/><Relationship Id="rId145" Type="http://schemas.openxmlformats.org/officeDocument/2006/relationships/hyperlink" Target="https://audio.jukehost.co.uk/HhjG9Kr3uqIgn95rM3mJEO3oWgMhmM44" TargetMode="External"/><Relationship Id="rId146" Type="http://schemas.openxmlformats.org/officeDocument/2006/relationships/hyperlink" Target="https://audio.jukehost.co.uk/GrV0dnFAFqcGaAbxtgQD19j4EG3ePcca" TargetMode="External"/><Relationship Id="rId147" Type="http://schemas.openxmlformats.org/officeDocument/2006/relationships/hyperlink" Target="https://audio.jukehost.co.uk/XYel9IJchCFeqAz1Qz1MvdxV5vpGTpoA" TargetMode="External"/><Relationship Id="rId148" Type="http://schemas.openxmlformats.org/officeDocument/2006/relationships/hyperlink" Target="https://audio.jukehost.co.uk/JMv5zwqgGzjYY9NA8VFsCciW0Adk1Drp" TargetMode="External"/><Relationship Id="rId149" Type="http://schemas.openxmlformats.org/officeDocument/2006/relationships/hyperlink" Target="https://dn720306.ca.archive.org/0/items/official-celeste-original-soundtrack-06-checking-in/%5BOfficial%5D%20Celeste%20Original%20Soundtrack%20-%2016%20-%20Confronting%20Myself.mp3" TargetMode="External"/><Relationship Id="rId150" Type="http://schemas.openxmlformats.org/officeDocument/2006/relationships/hyperlink" Target="https://ia803204.us.archive.org/3/items/MirrorTempleMirrorMagicMix/Mirror%20Temple%20%28Mirror%20Magic%20Mix%29.mp3" TargetMode="External"/><Relationship Id="rId151" Type="http://schemas.openxmlformats.org/officeDocument/2006/relationships/hyperlink" Target="https://audio.jukehost.co.uk/9W2ZZhTePBbkTdvlG4FkmZHcVl7k4eGE" TargetMode="External"/><Relationship Id="rId152" Type="http://schemas.openxmlformats.org/officeDocument/2006/relationships/hyperlink" Target="https://audio.jukehost.co.uk/JsBLSwloMXcMn9nMhpPDoAJ9Zo7J4NNO" TargetMode="External"/><Relationship Id="rId153" Type="http://schemas.openxmlformats.org/officeDocument/2006/relationships/hyperlink" Target="https://audio.jukehost.co.uk/E92dzGhFp8646cUUD6RxhBg6CVuS9IPB" TargetMode="External"/><Relationship Id="rId154" Type="http://schemas.openxmlformats.org/officeDocument/2006/relationships/hyperlink" Target="https://audio.jukehost.co.uk/7mUVmo5zJ1SPzFhfknp1OgLW2OhhEIGA" TargetMode="External"/><Relationship Id="rId155" Type="http://schemas.openxmlformats.org/officeDocument/2006/relationships/hyperlink" Target="https://audio.jukehost.co.uk/DdWPl03nePu7AbOyKXgP3GmYeKItAX7Z" TargetMode="External"/><Relationship Id="rId156" Type="http://schemas.openxmlformats.org/officeDocument/2006/relationships/hyperlink" Target="https://ia600809.us.archive.org/2/items/christopher-tin-sogno-di-volare-the-dream-of-flight-civilization-vi-main-theme/Christopher%20Tin%20-%20Sogno%20di%20Volare%20%28The%20Dream%20of%20Flight%29%20%28Civilization%20VI%20Main%20Theme%29.mp3" TargetMode="External"/><Relationship Id="rId157" Type="http://schemas.openxmlformats.org/officeDocument/2006/relationships/hyperlink" Target="https://www.youtube.com/watch?v=oeFkb3LsmlQ" TargetMode="External"/><Relationship Id="rId158" Type="http://schemas.openxmlformats.org/officeDocument/2006/relationships/hyperlink" Target="https://www.youtube.com/watch?v=pXHE2MH9vLU" TargetMode="External"/><Relationship Id="rId159" Type="http://schemas.openxmlformats.org/officeDocument/2006/relationships/hyperlink" Target="https://www.youtube.com/watch?v=6aMIr6KI0Xc" TargetMode="External"/><Relationship Id="rId160" Type="http://schemas.openxmlformats.org/officeDocument/2006/relationships/hyperlink" Target="https://www.youtube.com/watch?v=oEtmFgonY3E" TargetMode="External"/><Relationship Id="rId161" Type="http://schemas.openxmlformats.org/officeDocument/2006/relationships/hyperlink" Target="https://lambda.vgmtreasurechest.com/soundtracks/club-penguin-gamerip-2005-pc-mobile/gkervejh/Pizzatron%203000.mp3" TargetMode="External"/><Relationship Id="rId162" Type="http://schemas.openxmlformats.org/officeDocument/2006/relationships/hyperlink" Target="https://downloads.khinsider.com/game-soundtracks/album/code-vein-original-soundtrack/01.%2520Code%2520Vein.mp3" TargetMode="External"/><Relationship Id="rId163" Type="http://schemas.openxmlformats.org/officeDocument/2006/relationships/hyperlink" Target="https://vgmtreasurechest.com/soundtracks/code-vein-original-soundtrack/xoanoedg/01.%20Code%20Vein.mp3" TargetMode="External"/><Relationship Id="rId164" Type="http://schemas.openxmlformats.org/officeDocument/2006/relationships/hyperlink" Target="https://downloads.khinsider.com/game-soundtracks/album/alan-wake-2-old-gods-of-asgard-2023/08%2520-%2520Take%2520Control.mp3" TargetMode="External"/><Relationship Id="rId165" Type="http://schemas.openxmlformats.org/officeDocument/2006/relationships/hyperlink" Target="https://nu.vgmtreasurechest.com/soundtracks/alan-wake-2-old-gods-of-asgard-2023/yhrmjjvx/08%20-%20Take%20Control.mp3" TargetMode="External"/><Relationship Id="rId166" Type="http://schemas.openxmlformats.org/officeDocument/2006/relationships/hyperlink" Target="https://audio.jukehost.co.uk/BG4kNobQHcj8Z3DyNWXwJH3pd4ZpEhCB" TargetMode="External"/><Relationship Id="rId167" Type="http://schemas.openxmlformats.org/officeDocument/2006/relationships/hyperlink" Target="https://audio.jukehost.co.uk/BG4kNobQHcj8Z3DyNWXwJH3pd4ZpEhCB" TargetMode="External"/><Relationship Id="rId168" Type="http://schemas.openxmlformats.org/officeDocument/2006/relationships/hyperlink" Target="https://audio.jukehost.co.uk/iMosmHXQEdIjLRA6F7baRKQfoxfdROaY" TargetMode="External"/><Relationship Id="rId169" Type="http://schemas.openxmlformats.org/officeDocument/2006/relationships/hyperlink" Target="https://downloads.khinsider.com/game-soundtracks/album/crysis-2-ps3-windows-xbox-360-gamerip-2011/92.%2520Epilogue.mp3" TargetMode="External"/><Relationship Id="rId170" Type="http://schemas.openxmlformats.org/officeDocument/2006/relationships/hyperlink" Target="https://lambda.vgmtreasurechest.com/soundtracks/crysis-2-ps3-windows-xbox-360-gamerip-2011/waqbkwcy/92.%20Epilogue.mp3" TargetMode="External"/><Relationship Id="rId171" Type="http://schemas.openxmlformats.org/officeDocument/2006/relationships/hyperlink" Target="https://audio.jukehost.co.uk/4AdoReXXBR6QFFFsuBsExMzCqxIRJNrI" TargetMode="External"/><Relationship Id="rId172" Type="http://schemas.openxmlformats.org/officeDocument/2006/relationships/hyperlink" Target="https://audio.jukehost.co.uk/Lf2mS8e7mRcXxAIYRvmPT6LeX2g9JXbA" TargetMode="External"/><Relationship Id="rId173" Type="http://schemas.openxmlformats.org/officeDocument/2006/relationships/hyperlink" Target="https://audio.jukehost.co.uk/6TaY4wE1anMMrHyZQ0MyXnj1gSk3Fl0y" TargetMode="External"/><Relationship Id="rId174" Type="http://schemas.openxmlformats.org/officeDocument/2006/relationships/hyperlink" Target="https://audio.jukehost.co.uk/gROuFlNc4F5bEwK9uoww9AOfPkxFwVjw" TargetMode="External"/><Relationship Id="rId175" Type="http://schemas.openxmlformats.org/officeDocument/2006/relationships/hyperlink" Target="https://audio.jukehost.co.uk/zWPFMueMuSsf5Z7Psxt7sUUKJMlry4ee" TargetMode="External"/><Relationship Id="rId176" Type="http://schemas.openxmlformats.org/officeDocument/2006/relationships/hyperlink" Target="https://audio.jukehost.co.uk/BfpOUFvE7eDIIOGTwvONVo88y2H1gIBx" TargetMode="External"/><Relationship Id="rId177" Type="http://schemas.openxmlformats.org/officeDocument/2006/relationships/hyperlink" Target="https://audio.jukehost.co.uk/saDkNZP620ZiKgptWwFulk8OpqNLLoji" TargetMode="External"/><Relationship Id="rId178" Type="http://schemas.openxmlformats.org/officeDocument/2006/relationships/hyperlink" Target="https://audio.jukehost.co.uk/ly0a1BJmYXFkYXHstIhNar9ldOgcOGDV" TargetMode="External"/><Relationship Id="rId179" Type="http://schemas.openxmlformats.org/officeDocument/2006/relationships/hyperlink" Target="https://audio.jukehost.co.uk/Pj3asao1cYG7RMO6VAk6EXtJUPgflPKQ" TargetMode="External"/><Relationship Id="rId180" Type="http://schemas.openxmlformats.org/officeDocument/2006/relationships/hyperlink" Target="https://audio.jukehost.co.uk/UUIIRw39LKQrN3rEXaxFFvqfbVuv8Qr4" TargetMode="External"/><Relationship Id="rId181" Type="http://schemas.openxmlformats.org/officeDocument/2006/relationships/hyperlink" Target="https://audio.jukehost.co.uk/l4YFyMy5ri6BdXKkFdeiIrkXSVbXSpTo" TargetMode="External"/><Relationship Id="rId182" Type="http://schemas.openxmlformats.org/officeDocument/2006/relationships/hyperlink" Target="https://downloads.khinsider.com/game-soundtracks/album/dark-souls-ii-official-soundtrack-2014/03.%2520Majula.mp3" TargetMode="External"/><Relationship Id="rId183" Type="http://schemas.openxmlformats.org/officeDocument/2006/relationships/hyperlink" Target="https://jetta.vgmtreasurechest.com/soundtracks/dark-souls-ii-official-soundtrack-2014/sjrhmoiz/03.%20Majula.mp3" TargetMode="External"/><Relationship Id="rId184" Type="http://schemas.openxmlformats.org/officeDocument/2006/relationships/hyperlink" Target="https://audio.jukehost.co.uk/aFcNQDjRvkf64yqJr5sQQwG3fSTH03Ta" TargetMode="External"/><Relationship Id="rId185" Type="http://schemas.openxmlformats.org/officeDocument/2006/relationships/hyperlink" Target="https://audio.jukehost.co.uk/9AiAar10g04yGyQcH6Zrd2X5wQIHibfz" TargetMode="External"/><Relationship Id="rId186" Type="http://schemas.openxmlformats.org/officeDocument/2006/relationships/hyperlink" Target="https://audio.jukehost.co.uk/MEfywgUSZbMOpcAOPQIvYX45WltOW8KY" TargetMode="External"/><Relationship Id="rId187" Type="http://schemas.openxmlformats.org/officeDocument/2006/relationships/hyperlink" Target="https://vgmtreasurechest.com/soundtracks/dark-souls-iii-soundtracks/nszsskym/1-01%20Dark%20Souls%20III.mp3" TargetMode="External"/><Relationship Id="rId188" Type="http://schemas.openxmlformats.org/officeDocument/2006/relationships/hyperlink" Target="https://audio.jukehost.co.uk/3H1WlkhLEz2BwNPMMMrIkR9kiM1hnqWW" TargetMode="External"/><Relationship Id="rId189" Type="http://schemas.openxmlformats.org/officeDocument/2006/relationships/hyperlink" Target="https://downloads.khinsider.com/game-soundtracks/album/dark-souls-iii-soundtracks/2-10%2520Sister%2520Friede%2520and%2520Father%2520Ariandel.mp3" TargetMode="External"/><Relationship Id="rId190" Type="http://schemas.openxmlformats.org/officeDocument/2006/relationships/hyperlink" Target="https://vgmtreasurechest.com/soundtracks/dark-souls-iii-soundtracks/jhitvwui/2-10%20Sister%20Friede%20and%20Father%20Ariandel.mp3" TargetMode="External"/><Relationship Id="rId191" Type="http://schemas.openxmlformats.org/officeDocument/2006/relationships/hyperlink" Target="https://downloads.khinsider.com/game-soundtracks/album/dark-souls-iii-soundtracks/2-19%2520Slave%2520Knight%2520Gael.mp3" TargetMode="External"/><Relationship Id="rId192" Type="http://schemas.openxmlformats.org/officeDocument/2006/relationships/hyperlink" Target="https://vgmtreasurechest.com/soundtracks/dark-souls-iii-soundtracks/pffjgcsi/2-19%20Slave%20Knight%20Gael.mp3" TargetMode="External"/><Relationship Id="rId193" Type="http://schemas.openxmlformats.org/officeDocument/2006/relationships/hyperlink" Target="https://vgmtreasurechest.com/soundtracks/dark-souls-iii-soundtracks/ahiwhvid/1-24%20Soul%20Of%20Cinder.mp3" TargetMode="External"/><Relationship Id="rId194" Type="http://schemas.openxmlformats.org/officeDocument/2006/relationships/hyperlink" Target="https://audio.jukehost.co.uk/DIxuZ8oTMMfoiaDJO1bQVmyWWtaooZzX" TargetMode="External"/><Relationship Id="rId195" Type="http://schemas.openxmlformats.org/officeDocument/2006/relationships/hyperlink" Target="https://downloads.khinsider.com/game-soundtracks/album/death-s-door-2021-pc-switch-gamerip/Avarice%2520Crow%2520Land%2520%257Bm%257D.mp3" TargetMode="External"/><Relationship Id="rId196" Type="http://schemas.openxmlformats.org/officeDocument/2006/relationships/hyperlink" Target="https://jetta.vgmtreasurechest.com/soundtracks/death-s-door-2021-pc-switch-gamerip/xgmrwklz/Avarice%20Crow%20Land%20%7Bm%7D.mp3" TargetMode="External"/><Relationship Id="rId197" Type="http://schemas.openxmlformats.org/officeDocument/2006/relationships/hyperlink" Target="https://audio.jukehost.co.uk/7rBmB1wbvxrl9bNg5ewwJrsb74WdtNhO" TargetMode="External"/><Relationship Id="rId198" Type="http://schemas.openxmlformats.org/officeDocument/2006/relationships/hyperlink" Target="https://audio.jukehost.co.uk/kRe05VA2aWvBxYeAox0uCLspmZQr8Z1m" TargetMode="External"/><Relationship Id="rId199" Type="http://schemas.openxmlformats.org/officeDocument/2006/relationships/hyperlink" Target="https://audio.jukehost.co.uk/8P6prKcTYAq5fP10mnbkfdQDQiJP32I5" TargetMode="External"/><Relationship Id="rId200" Type="http://schemas.openxmlformats.org/officeDocument/2006/relationships/hyperlink" Target="https://downloads.khinsider.com/game-soundtracks/album/deathloop-original-game-soundtrack/03.%2520Menu%2520%2528Break%2520the%2520Loop%2529.mp3" TargetMode="External"/><Relationship Id="rId201" Type="http://schemas.openxmlformats.org/officeDocument/2006/relationships/hyperlink" Target="https://downloads.khinsider.com/game-soundtracks/album/deathloop-singles/Pitch%2520Black%2520%2528Original%2520Trailer%2520Soundtrack%2529.mp3" TargetMode="External"/><Relationship Id="rId202" Type="http://schemas.openxmlformats.org/officeDocument/2006/relationships/hyperlink" Target="https://lambda.vgmtreasurechest.com/soundtracks/deathloop-singles/tonybnlo/Pitch%20Black%20%28Original%20Trailer%20Soundtrack%29.mp3" TargetMode="External"/><Relationship Id="rId203" Type="http://schemas.openxmlformats.org/officeDocument/2006/relationships/hyperlink" Target="https://nu.vgmtreasurechest.com/soundtracks/deep-rock-galactic-original-soundtrack-volume-i/cqtxfibh/02%20-%20Attack%20of%20the%20Glyphids.mp3" TargetMode="External"/><Relationship Id="rId204" Type="http://schemas.openxmlformats.org/officeDocument/2006/relationships/hyperlink" Target="https://audio.jukehost.co.uk/uwQ4P4nkS16qaq19FYy5CqYPfue3vIvH" TargetMode="External"/><Relationship Id="rId205" Type="http://schemas.openxmlformats.org/officeDocument/2006/relationships/hyperlink" Target="https://audio.jukehost.co.uk/eTLp5JkChkJbio9SNrYfLilrpcpAOsGQ" TargetMode="External"/><Relationship Id="rId206" Type="http://schemas.openxmlformats.org/officeDocument/2006/relationships/hyperlink" Target="https://audio.jukehost.co.uk/7xfeuaqLsYWxceBwgqRIHdc9EJdOtn52" TargetMode="External"/><Relationship Id="rId207" Type="http://schemas.openxmlformats.org/officeDocument/2006/relationships/hyperlink" Target="https://audio.jukehost.co.uk/kgNzsYrzSG9aRtW4qV9NpCnKNOlzwEz9" TargetMode="External"/><Relationship Id="rId208" Type="http://schemas.openxmlformats.org/officeDocument/2006/relationships/hyperlink" Target="https://audio.jukehost.co.uk/Sx31hGrOsZ2yoUBw3vITeFumTcbmfAT5" TargetMode="External"/><Relationship Id="rId209" Type="http://schemas.openxmlformats.org/officeDocument/2006/relationships/hyperlink" Target="https://audio.jukehost.co.uk/f6tR1kqbinpgc4qACyJIsmNIfqsP3SC9" TargetMode="External"/><Relationship Id="rId210" Type="http://schemas.openxmlformats.org/officeDocument/2006/relationships/hyperlink" Target="https://audio.jukehost.co.uk/0oubGAlEC9MBFjGlWhQul743H3oQ6Fmj" TargetMode="External"/><Relationship Id="rId211" Type="http://schemas.openxmlformats.org/officeDocument/2006/relationships/hyperlink" Target="https://audio.jukehost.co.uk/Jiiwa9Ioql5VlkfwmnRlFlM3tTYe7yIx" TargetMode="External"/><Relationship Id="rId212" Type="http://schemas.openxmlformats.org/officeDocument/2006/relationships/hyperlink" Target="https://audio.jukehost.co.uk/phNjcPRggRCJ8nMBzUR4GQ7qwJSuadkE" TargetMode="External"/><Relationship Id="rId213" Type="http://schemas.openxmlformats.org/officeDocument/2006/relationships/hyperlink" Target="https://downloads.khinsider.com/game-soundtracks/album/detroit-become-human-original-soundtrack/01.%2520Kara%2520Main%2520Theme.mp3" TargetMode="External"/><Relationship Id="rId214" Type="http://schemas.openxmlformats.org/officeDocument/2006/relationships/hyperlink" Target="https://vgmtreasurechest.com/soundtracks/detroit-become-human-original-soundtrack/udgxrrkz/01.%20Kara%20Main%20Theme.mp3" TargetMode="External"/><Relationship Id="rId215" Type="http://schemas.openxmlformats.org/officeDocument/2006/relationships/hyperlink" Target="https://audio.jukehost.co.uk/7K7DeKBpHW89X9NgLSik5ELc2D4WwFvx" TargetMode="External"/><Relationship Id="rId216" Type="http://schemas.openxmlformats.org/officeDocument/2006/relationships/hyperlink" Target="https://audio.jukehost.co.uk/vnwXuLRSuDwBMg0RMabMO6PSHtXIR8Y2" TargetMode="External"/><Relationship Id="rId217" Type="http://schemas.openxmlformats.org/officeDocument/2006/relationships/hyperlink" Target="https://audio.jukehost.co.uk/e7vjXiCSHc9XfFBwFjXmzTfl1BAGGdzq" TargetMode="External"/><Relationship Id="rId218" Type="http://schemas.openxmlformats.org/officeDocument/2006/relationships/hyperlink" Target="https://audio.jukehost.co.uk/uxXNNRe7BwHWaAIvIJKQAsQ9yaWuULre" TargetMode="External"/><Relationship Id="rId219" Type="http://schemas.openxmlformats.org/officeDocument/2006/relationships/hyperlink" Target="https://audio.jukehost.co.uk/nNKWRNwDTgFMUIgCPQv7aBHDQohg4zGv" TargetMode="External"/><Relationship Id="rId220" Type="http://schemas.openxmlformats.org/officeDocument/2006/relationships/hyperlink" Target="https://downloads.khinsider.com/game-soundtracks/album/diablo-1/02%2520Tristram.mp3" TargetMode="External"/><Relationship Id="rId221" Type="http://schemas.openxmlformats.org/officeDocument/2006/relationships/hyperlink" Target="https://vgmtreasurechest.com/soundtracks/diablo-1/zlgyzaex/02%20Tristram.mp3" TargetMode="External"/><Relationship Id="rId222" Type="http://schemas.openxmlformats.org/officeDocument/2006/relationships/hyperlink" Target="https://vgmtreasurechest.com/soundtracks/dishonored-original-game-soundtrack-2013/seudqvpjzq/12.%20Honor%20for%20All%20-%20End%20Credits.mp3" TargetMode="External"/><Relationship Id="rId223" Type="http://schemas.openxmlformats.org/officeDocument/2006/relationships/hyperlink" Target="https://downloads.khinsider.com/game-soundtracks/album/dishonored-2-original-soundtrack-deluxe-edition-2017/01.%2520Dishonored%25202%2520Main%2520Theme.mp3" TargetMode="External"/><Relationship Id="rId224" Type="http://schemas.openxmlformats.org/officeDocument/2006/relationships/hyperlink" Target="https://audio.jukehost.co.uk/EnxpzLvZxX4qx2GdNNNAITrMy2IdFrMg" TargetMode="External"/><Relationship Id="rId225" Type="http://schemas.openxmlformats.org/officeDocument/2006/relationships/hyperlink" Target="https://downloads.khinsider.com/game-soundtracks/album/divinity-original-sin-ii-original-soundtrack/02.%2520Mead%252C%2520Gold%2520and%2520Blood%2520%2528Ifan%2527s%2520Theme%2529.mp3" TargetMode="External"/><Relationship Id="rId226" Type="http://schemas.openxmlformats.org/officeDocument/2006/relationships/hyperlink" Target="https://vgmtreasurechest.com/soundtracks/divinity-original-sin-ii-original-soundtrack/wddguene/02.%20Mead%2C%20Gold%20and%20Blood%20%28Ifan%27s%20Theme%29.mp3" TargetMode="External"/><Relationship Id="rId227" Type="http://schemas.openxmlformats.org/officeDocument/2006/relationships/hyperlink" Target="https://audio.jukehost.co.uk/cldnPb58aWZCRcNAK4YaRrhvoSgUwEBa" TargetMode="External"/><Relationship Id="rId228" Type="http://schemas.openxmlformats.org/officeDocument/2006/relationships/hyperlink" Target="https://audio.jukehost.co.uk/QsREnyTqP9zSlCAmD1BFdX4ljTTcOX2Q" TargetMode="External"/><Relationship Id="rId229" Type="http://schemas.openxmlformats.org/officeDocument/2006/relationships/hyperlink" Target="https://audio.jukehost.co.uk/cPmVFOeGRUmSWPkxE8pGMTMu0H2O20UO" TargetMode="External"/><Relationship Id="rId230" Type="http://schemas.openxmlformats.org/officeDocument/2006/relationships/hyperlink" Target="https://audio.jukehost.co.uk/kcXZ1RtYXhWVN2QpcLDzsJRD4E1hIUDD" TargetMode="External"/><Relationship Id="rId231" Type="http://schemas.openxmlformats.org/officeDocument/2006/relationships/hyperlink" Target="https://audio.jukehost.co.uk/OkfQnVyshHizHiaDzJMegaLJf3Fx8t3P" TargetMode="External"/><Relationship Id="rId232" Type="http://schemas.openxmlformats.org/officeDocument/2006/relationships/hyperlink" Target="https://audio.jukehost.co.uk/fZ30Zp0N9XRAp0m004zm8aVNtdUPLTHs" TargetMode="External"/><Relationship Id="rId233" Type="http://schemas.openxmlformats.org/officeDocument/2006/relationships/hyperlink" Target="https://audio.jukehost.co.uk/pJh0M95fgPkkmSSl5BtcDcl2jdgsYhrA" TargetMode="External"/><Relationship Id="rId234" Type="http://schemas.openxmlformats.org/officeDocument/2006/relationships/hyperlink" Target="https://audio.jukehost.co.uk/5aQJYrP6AtM5gsFrLuV3fTMFZTX2NHOf" TargetMode="External"/><Relationship Id="rId235" Type="http://schemas.openxmlformats.org/officeDocument/2006/relationships/hyperlink" Target="https://audio.jukehost.co.uk/78drt3wFZrnMhmmQ9OAft3FtblitGiVb" TargetMode="External"/><Relationship Id="rId236" Type="http://schemas.openxmlformats.org/officeDocument/2006/relationships/hyperlink" Target="https://audio.jukehost.co.uk/yx9LZpuaVLahYuuNpOpilL2iSkCOkP1s" TargetMode="External"/><Relationship Id="rId237" Type="http://schemas.openxmlformats.org/officeDocument/2006/relationships/hyperlink" Target="https://downloads.khinsider.com/game-soundtracks/album/dragon-age-inquisition-ost/11.%2520The%2520Dawn%2520Will%2520Come.mp3" TargetMode="External"/><Relationship Id="rId238" Type="http://schemas.openxmlformats.org/officeDocument/2006/relationships/hyperlink" Target="https://audio.jukehost.co.uk/KouXcXq6cD2g9WdYyTEutItOQwuO2soa" TargetMode="External"/><Relationship Id="rId239" Type="http://schemas.openxmlformats.org/officeDocument/2006/relationships/hyperlink" Target="https://audio.jukehost.co.uk/VkA1MHjlHaDIrIAhRWVxKbuuxadVF3BE" TargetMode="External"/><Relationship Id="rId240" Type="http://schemas.openxmlformats.org/officeDocument/2006/relationships/hyperlink" Target="https://audio.jukehost.co.uk/QhL5M2rsM6vze8G7fs2MwhXMJEv72St8" TargetMode="External"/><Relationship Id="rId241" Type="http://schemas.openxmlformats.org/officeDocument/2006/relationships/hyperlink" Target="https://audio.jukehost.co.uk/dIBQqye1wuDs7zMFySC9hJtclXkfMpGC" TargetMode="External"/><Relationship Id="rId242" Type="http://schemas.openxmlformats.org/officeDocument/2006/relationships/hyperlink" Target="https://audio.jukehost.co.uk/5Me5HgDy8GHUc4lxFdfFz5rEb9VYYpCy" TargetMode="External"/><Relationship Id="rId243" Type="http://schemas.openxmlformats.org/officeDocument/2006/relationships/hyperlink" Target="https://audio.jukehost.co.uk/4Lk8hySg1bo8lyLYuaJ3gSqqcsFm8hrP" TargetMode="External"/><Relationship Id="rId244" Type="http://schemas.openxmlformats.org/officeDocument/2006/relationships/hyperlink" Target="https://audio.jukehost.co.uk/4Vn3BsMIFlWoTpbGif1A5B35KuGjyYbw" TargetMode="External"/><Relationship Id="rId245" Type="http://schemas.openxmlformats.org/officeDocument/2006/relationships/hyperlink" Target="https://audio.jukehost.co.uk/qj5m7p0l8kTJFQ94rmiRlbj8ftjgWsyB" TargetMode="External"/><Relationship Id="rId246" Type="http://schemas.openxmlformats.org/officeDocument/2006/relationships/hyperlink" Target="https://audio.jukehost.co.uk/8O9OAYQK5kA5cSwJFk9IVvu3cf8Fef8g" TargetMode="External"/><Relationship Id="rId247" Type="http://schemas.openxmlformats.org/officeDocument/2006/relationships/hyperlink" Target="https://downloads.khinsider.com/game-soundtracks/album/everhood-soundtrack/07.%2520Tinnitus%2520Dance.mp3" TargetMode="External"/><Relationship Id="rId248" Type="http://schemas.openxmlformats.org/officeDocument/2006/relationships/hyperlink" Target="https://vgmtreasurechest.com/soundtracks/everhood-soundtrack/vtfvkret/07.%20Tinnitus%20Dance.mp3" TargetMode="External"/><Relationship Id="rId249" Type="http://schemas.openxmlformats.org/officeDocument/2006/relationships/hyperlink" Target="https://audio.jukehost.co.uk/dHtrgq77ZgeDqwIzitXdt3PdQuZhhUNi" TargetMode="External"/><Relationship Id="rId250" Type="http://schemas.openxmlformats.org/officeDocument/2006/relationships/hyperlink" Target="https://audio.jukehost.co.uk/0Jn7w7QsejGvyqPT7WDAVNdG6z0rTmIo" TargetMode="External"/><Relationship Id="rId251" Type="http://schemas.openxmlformats.org/officeDocument/2006/relationships/hyperlink" Target="https://audio.jukehost.co.uk/5QHL0rMRsvpRqa1SUf6MS07xrK2RgMeu" TargetMode="External"/><Relationship Id="rId252" Type="http://schemas.openxmlformats.org/officeDocument/2006/relationships/hyperlink" Target="https://audio.jukehost.co.uk/10TaSkksLYY3q1KT5ZlHqjPcEGZ2F7NB" TargetMode="External"/><Relationship Id="rId253" Type="http://schemas.openxmlformats.org/officeDocument/2006/relationships/hyperlink" Target="https://audio.jukehost.co.uk/KMdg997yw0QKwPvRHBccWcYuA87oTEBk" TargetMode="External"/><Relationship Id="rId254" Type="http://schemas.openxmlformats.org/officeDocument/2006/relationships/hyperlink" Target="https://audio.jukehost.co.uk/J49T72drYqxEoKll1eEZb85C939py0oV" TargetMode="External"/><Relationship Id="rId255" Type="http://schemas.openxmlformats.org/officeDocument/2006/relationships/hyperlink" Target="https://audio.jukehost.co.uk/ug5eJd7YL1Zdm9Wo1aJBpSiWO31SlNeZ" TargetMode="External"/><Relationship Id="rId256" Type="http://schemas.openxmlformats.org/officeDocument/2006/relationships/hyperlink" Target="https://audio.jukehost.co.uk/E5Jf2fAApdQT1TnqBMQ0OzFNmJcQaTSh" TargetMode="External"/><Relationship Id="rId257" Type="http://schemas.openxmlformats.org/officeDocument/2006/relationships/hyperlink" Target="https://audio.jukehost.co.uk/Udz46oJfYvqjS6bsb4gVPbD7N5VkfR87" TargetMode="External"/><Relationship Id="rId258" Type="http://schemas.openxmlformats.org/officeDocument/2006/relationships/hyperlink" Target="https://downloads.khinsider.com/game-soundtracks/album/fear-hunger-2-termina-windows-gamerip-2022/44.%2520Dark%2520Outside.mp3" TargetMode="External"/><Relationship Id="rId259" Type="http://schemas.openxmlformats.org/officeDocument/2006/relationships/hyperlink" Target="https://jetta.vgmtreasurechest.com/soundtracks/fear-hunger-2-termina-windows-gamerip-2022/lwbqbili/44.%20Dark%20Outside.mp3" TargetMode="External"/><Relationship Id="rId260" Type="http://schemas.openxmlformats.org/officeDocument/2006/relationships/hyperlink" Target="https://audio.jukehost.co.uk/geKZW0MmiaeM1x13bh4hS6ppYlJtWea9" TargetMode="External"/><Relationship Id="rId261" Type="http://schemas.openxmlformats.org/officeDocument/2006/relationships/hyperlink" Target="https://downloads.khinsider.com/game-soundtracks/album/final-fantasy-iv-world-2018/07.%2520Main%2520Theme%2520of%2520Final%2520Fantasy%2520IV.mp3" TargetMode="External"/><Relationship Id="rId262" Type="http://schemas.openxmlformats.org/officeDocument/2006/relationships/hyperlink" Target="https://downloads.khinsider.com/game-soundtracks/album/final-fantasy-iv-world-2018/02.%2520Red%2520Wings.mp3" TargetMode="External"/><Relationship Id="rId263" Type="http://schemas.openxmlformats.org/officeDocument/2006/relationships/hyperlink" Target="https://lambda.vgmtreasurechest.com/soundtracks/final-fantasy-iv-world-2018/neiagbpt/02.%20Red%20Wings.mp3" TargetMode="External"/><Relationship Id="rId264" Type="http://schemas.openxmlformats.org/officeDocument/2006/relationships/hyperlink" Target="https://downloads.khinsider.com/game-soundtracks/album/final-fantasy-iv-world-2018/01.%2520The%2520Prelude.mp3" TargetMode="External"/><Relationship Id="rId265" Type="http://schemas.openxmlformats.org/officeDocument/2006/relationships/hyperlink" Target="https://lambda.vgmtreasurechest.com/soundtracks/final-fantasy-iv-world-2018/vxamgtce/01.%20The%20Prelude.mp3" TargetMode="External"/><Relationship Id="rId266" Type="http://schemas.openxmlformats.org/officeDocument/2006/relationships/hyperlink" Target="https://ia600807.us.archive.org/3/items/final-fantasy-vi-6-terras-theme-snes-version/Final%20Fantasy%20VI%206%20Terras%20Theme%20SNES%20Version.mp3" TargetMode="External"/><Relationship Id="rId267" Type="http://schemas.openxmlformats.org/officeDocument/2006/relationships/hyperlink" Target="https://audio.jukehost.co.uk/Y5sEc8gBXbOHnpn0qPhwQoPa7MAP27c3" TargetMode="External"/><Relationship Id="rId268" Type="http://schemas.openxmlformats.org/officeDocument/2006/relationships/hyperlink" Target="https://audio.jukehost.co.uk/FJKKwg8VUJ2c4MPlQSueMSSDUrMu1Dep" TargetMode="External"/><Relationship Id="rId269" Type="http://schemas.openxmlformats.org/officeDocument/2006/relationships/hyperlink" Target="https://audio.jukehost.co.uk/3sLGEPIuzDDlqxsjGDv9Sf4N4UFbCxQW" TargetMode="External"/><Relationship Id="rId270" Type="http://schemas.openxmlformats.org/officeDocument/2006/relationships/hyperlink" Target="https://audio.jukehost.co.uk/uCCsh6yeikmxBnJahrEOvL757ohluQaq" TargetMode="External"/><Relationship Id="rId271" Type="http://schemas.openxmlformats.org/officeDocument/2006/relationships/hyperlink" Target="https://audio.jukehost.co.uk/ERKBUT4Jn9CMw5l4t0LopuV6loWAlffw" TargetMode="External"/><Relationship Id="rId272" Type="http://schemas.openxmlformats.org/officeDocument/2006/relationships/hyperlink" Target="https://audio.jukehost.co.uk/GzZKA8hLDc9nqtmgpTlfuWAXzR6gCRvR" TargetMode="External"/><Relationship Id="rId273" Type="http://schemas.openxmlformats.org/officeDocument/2006/relationships/hyperlink" Target="https://audio.jukehost.co.uk/t3xrJUOt6y4S6IxWToqXvSCsZ8HS37sJ" TargetMode="External"/><Relationship Id="rId274" Type="http://schemas.openxmlformats.org/officeDocument/2006/relationships/hyperlink" Target="https://audio.jukehost.co.uk/ZseAMn5Fnb5LdqjyVMTwi0cTdkUYGJTM" TargetMode="External"/><Relationship Id="rId275" Type="http://schemas.openxmlformats.org/officeDocument/2006/relationships/hyperlink" Target="https://audio.jukehost.co.uk/3Xbt3iCvbqsrVmG1LKdr70o7sNHdrwPM" TargetMode="External"/><Relationship Id="rId276" Type="http://schemas.openxmlformats.org/officeDocument/2006/relationships/hyperlink" Target="https://audio.jukehost.co.uk/R9jCi4iMJSNTq5VnbAKtcyVGPyHkaqpy" TargetMode="External"/><Relationship Id="rId277" Type="http://schemas.openxmlformats.org/officeDocument/2006/relationships/hyperlink" Target="https://audio.jukehost.co.uk/mhjdCiZdtiB8lqQjrHVU0sKegv8XAFqt" TargetMode="External"/><Relationship Id="rId278" Type="http://schemas.openxmlformats.org/officeDocument/2006/relationships/hyperlink" Target="https://audio.jukehost.co.uk/udzeBQeoi53MKV8Mh3K4mlhOtKyIfSgd" TargetMode="External"/><Relationship Id="rId279" Type="http://schemas.openxmlformats.org/officeDocument/2006/relationships/hyperlink" Target="https://audio.jukehost.co.uk/PvPz3Ly0MYTxpSEl8KF9DoxlGOemZaBG" TargetMode="External"/><Relationship Id="rId280" Type="http://schemas.openxmlformats.org/officeDocument/2006/relationships/hyperlink" Target="https://audio.jukehost.co.uk/q6OO0oFJoKvK4BgrQcNofoPIaIFqyPzv" TargetMode="External"/><Relationship Id="rId281" Type="http://schemas.openxmlformats.org/officeDocument/2006/relationships/hyperlink" Target="https://audio.jukehost.co.uk/X9Ao1bVncu9VgxyN9UBFen7aSy77892c" TargetMode="External"/><Relationship Id="rId282" Type="http://schemas.openxmlformats.org/officeDocument/2006/relationships/hyperlink" Target="https://audio.jukehost.co.uk/DHKKxa00fj64Vvtn3Il3Xrgp06KIopBB" TargetMode="External"/><Relationship Id="rId283" Type="http://schemas.openxmlformats.org/officeDocument/2006/relationships/hyperlink" Target="https://audio.jukehost.co.uk/1mhqw2IZ6xs7qbqdNuXORNSjXq3uN20r" TargetMode="External"/><Relationship Id="rId284" Type="http://schemas.openxmlformats.org/officeDocument/2006/relationships/hyperlink" Target="https://audio.jukehost.co.uk/bi8wIkB3jBlNCSVq5eqvx5PDFO7R326g" TargetMode="External"/><Relationship Id="rId285" Type="http://schemas.openxmlformats.org/officeDocument/2006/relationships/hyperlink" Target="https://audio.jukehost.co.uk/MHoaJkuWlHL6qnrwWTnRoGAFxYsXJCzR" TargetMode="External"/><Relationship Id="rId286" Type="http://schemas.openxmlformats.org/officeDocument/2006/relationships/hyperlink" Target="https://audio.jukehost.co.uk/QYEZq8BQNEOwNqLldz9ey4bK1SkA7st3" TargetMode="External"/><Relationship Id="rId287" Type="http://schemas.openxmlformats.org/officeDocument/2006/relationships/hyperlink" Target="https://audio.jukehost.co.uk/j9NWJFpPyYfzmeui1tA3j0OcZ1eyPn3g" TargetMode="External"/><Relationship Id="rId288" Type="http://schemas.openxmlformats.org/officeDocument/2006/relationships/hyperlink" Target="https://audio.jukehost.co.uk/Jvy57261Nf8JpHFStzg13YX2lHEwtuVF" TargetMode="External"/><Relationship Id="rId289" Type="http://schemas.openxmlformats.org/officeDocument/2006/relationships/hyperlink" Target="https://audio.jukehost.co.uk/DWzWMTILc7uH3dtxsVHZ7FmKWxr6UxZ2" TargetMode="External"/><Relationship Id="rId290" Type="http://schemas.openxmlformats.org/officeDocument/2006/relationships/hyperlink" Target="https://audio.jukehost.co.uk/A8XxtFbkMxg0aiJauQZlAg0bUMt859f1" TargetMode="External"/><Relationship Id="rId291" Type="http://schemas.openxmlformats.org/officeDocument/2006/relationships/hyperlink" Target="https://audio.jukehost.co.uk/NVykZ1INrVeR3JP4i0dRPPAhn3TUIdvU" TargetMode="External"/><Relationship Id="rId292" Type="http://schemas.openxmlformats.org/officeDocument/2006/relationships/hyperlink" Target="https://audio.jukehost.co.uk/GcrxZvtkI0tpEUSQCYzKYa9GECfxJJLY" TargetMode="External"/><Relationship Id="rId293" Type="http://schemas.openxmlformats.org/officeDocument/2006/relationships/hyperlink" Target="https://audio.jukehost.co.uk/xzWgPPsjDagHChbDVkAnn7tNOEwjqXtY" TargetMode="External"/><Relationship Id="rId294" Type="http://schemas.openxmlformats.org/officeDocument/2006/relationships/hyperlink" Target="https://audio.jukehost.co.uk/LQe1EQEPoLSTupawg5G1OOEZyIPhC84f" TargetMode="External"/><Relationship Id="rId295" Type="http://schemas.openxmlformats.org/officeDocument/2006/relationships/hyperlink" Target="https://audio.jukehost.co.uk/1oJbITPRoPZrzqBwIzY49WCCoUtgLWbm" TargetMode="External"/><Relationship Id="rId296" Type="http://schemas.openxmlformats.org/officeDocument/2006/relationships/hyperlink" Target="https://audio.jukehost.co.uk/dBksx24h5gxaudHTpmnyWCCjC6NGwh7v" TargetMode="External"/><Relationship Id="rId297" Type="http://schemas.openxmlformats.org/officeDocument/2006/relationships/hyperlink" Target="https://audio.jukehost.co.uk/ndbIDCYobymsQOJBIdoF7gADOiStwGE6" TargetMode="External"/><Relationship Id="rId298" Type="http://schemas.openxmlformats.org/officeDocument/2006/relationships/hyperlink" Target="https://audio.jukehost.co.uk/py4I0YvEuKQvFjqNTgkPC3nqeV3Ke5xq" TargetMode="External"/><Relationship Id="rId299" Type="http://schemas.openxmlformats.org/officeDocument/2006/relationships/hyperlink" Target="https://audio.jukehost.co.uk/nefKPZ2znIsKAjWjcYRP2dM0DBmKdAdc" TargetMode="External"/><Relationship Id="rId300" Type="http://schemas.openxmlformats.org/officeDocument/2006/relationships/hyperlink" Target="https://audio.jukehost.co.uk/pYZkGxjbHYOAXjlriQPUvvAxCNa5b1hO" TargetMode="External"/><Relationship Id="rId301" Type="http://schemas.openxmlformats.org/officeDocument/2006/relationships/hyperlink" Target="https://audio.jukehost.co.uk/c3ekjEjZO2rsum8DguL0uBkyLbBvug0c" TargetMode="External"/><Relationship Id="rId302" Type="http://schemas.openxmlformats.org/officeDocument/2006/relationships/hyperlink" Target="https://audio.jukehost.co.uk/TeuFcWH5b97JfXPMfDSXASC3qNLi6ru9" TargetMode="External"/><Relationship Id="rId303" Type="http://schemas.openxmlformats.org/officeDocument/2006/relationships/hyperlink" Target="https://audio.jukehost.co.uk/QeFXd55nsKV41UnBO6A9OU9rtXqCcJt5" TargetMode="External"/><Relationship Id="rId304" Type="http://schemas.openxmlformats.org/officeDocument/2006/relationships/hyperlink" Target="https://audio.jukehost.co.uk/tmnYShhRbNJ37L5K9wx83yoFY3JCc5Jz" TargetMode="External"/><Relationship Id="rId305" Type="http://schemas.openxmlformats.org/officeDocument/2006/relationships/hyperlink" Target="https://lambda.vgmtreasurechest.com/soundtracks/geometry-dash-android-ios-macos-windows-gamerip-2013/mrxkktnj/31.%20Shop2.mp3" TargetMode="External"/><Relationship Id="rId306" Type="http://schemas.openxmlformats.org/officeDocument/2006/relationships/hyperlink" Target="https://lambda.vgmtreasurechest.com/soundtracks/geometry-dash-android-ios-macos-windows-gamerip-2013/czrmjkva/34.%20Stereo%20Madness.mp3" TargetMode="External"/><Relationship Id="rId307" Type="http://schemas.openxmlformats.org/officeDocument/2006/relationships/hyperlink" Target="https://vgmtreasurechest.com/soundtracks/gran-turismo-3-a-spec-original-game-sound-track/adolmeji/07.%20Slipstream.mp3" TargetMode="External"/><Relationship Id="rId308" Type="http://schemas.openxmlformats.org/officeDocument/2006/relationships/hyperlink" Target="https://lambda.vgmtreasurechest.com/soundtracks/the-best-video-game-music-vol.2/wtchcoqk/06.%20Grand%20Theft%20Auto%20V%20%282013%29%20-%20Welcome%20to%20Los%20Santos%20-%20Main%20Theme.mp3" TargetMode="External"/><Relationship Id="rId309" Type="http://schemas.openxmlformats.org/officeDocument/2006/relationships/hyperlink" Target="https://audio.jukehost.co.uk/BWpDlUTWATAQmJjhtRdQ802pKbc1PtuB" TargetMode="External"/><Relationship Id="rId310" Type="http://schemas.openxmlformats.org/officeDocument/2006/relationships/hyperlink" Target="https://audio.jukehost.co.uk/yDK9uHTt463ndJocXfG7duSL4G3e3tIo" TargetMode="External"/><Relationship Id="rId311" Type="http://schemas.openxmlformats.org/officeDocument/2006/relationships/hyperlink" Target="https://audio.jukehost.co.uk/II3oPKdsHTGKenxhTN7hZFJokkk5pQQB" TargetMode="External"/><Relationship Id="rId312" Type="http://schemas.openxmlformats.org/officeDocument/2006/relationships/hyperlink" Target="https://audio.jukehost.co.uk/JN2g3qei9j7sE7fyX7gcjGtgWiPNOzah" TargetMode="External"/><Relationship Id="rId313" Type="http://schemas.openxmlformats.org/officeDocument/2006/relationships/hyperlink" Target="https://audio.jukehost.co.uk/tTQJqGa0Pv7aLtL5BPFASV3bV8v9GGMf" TargetMode="External"/><Relationship Id="rId314" Type="http://schemas.openxmlformats.org/officeDocument/2006/relationships/hyperlink" Target="https://audio.jukehost.co.uk/DGhAIQRP1gzqGWlnyK7IyLXqWXNz9fYR" TargetMode="External"/><Relationship Id="rId315" Type="http://schemas.openxmlformats.org/officeDocument/2006/relationships/hyperlink" Target="https://audio.jukehost.co.uk/bPJaqOz1TSY0TliztHLXCWjY2hh6NGbM" TargetMode="External"/><Relationship Id="rId316" Type="http://schemas.openxmlformats.org/officeDocument/2006/relationships/hyperlink" Target="https://audio.jukehost.co.uk/8s7dumqdHNXBjztXJU4VbbGzEbjxVbxB" TargetMode="External"/><Relationship Id="rId317" Type="http://schemas.openxmlformats.org/officeDocument/2006/relationships/hyperlink" Target="https://audio.jukehost.co.uk/eJ6DL1R18BrtIdyvYqK0MoIlbnti6H0g" TargetMode="External"/><Relationship Id="rId318" Type="http://schemas.openxmlformats.org/officeDocument/2006/relationships/hyperlink" Target="https://audio.jukehost.co.uk/BTIa33AGMmbWY2AqfOQqnm7FWU1LYbvc" TargetMode="External"/><Relationship Id="rId319" Type="http://schemas.openxmlformats.org/officeDocument/2006/relationships/hyperlink" Target="https://downloads.khinsider.com/game-soundtracks/album/guilty-gear-xrd-sign/3-08.%2520Django%2520django.mp3" TargetMode="External"/><Relationship Id="rId320" Type="http://schemas.openxmlformats.org/officeDocument/2006/relationships/hyperlink" Target="https://nu.vgmtreasurechest.com/soundtracks/guilty-gear-xrd-sign/weiewsbc/3-08.%20Django%20django.mp3" TargetMode="External"/><Relationship Id="rId321" Type="http://schemas.openxmlformats.org/officeDocument/2006/relationships/hyperlink" Target="https://audio.jukehost.co.uk/h2tTeoHikGdmBQYVXyTLKV6gPxDXrFTC" TargetMode="External"/><Relationship Id="rId322" Type="http://schemas.openxmlformats.org/officeDocument/2006/relationships/hyperlink" Target="https://audio.jukehost.co.uk/A9VWMhXeVG3h56RfzVIB3dARdI6bwkAO" TargetMode="External"/><Relationship Id="rId323" Type="http://schemas.openxmlformats.org/officeDocument/2006/relationships/hyperlink" Target="https://audio.jukehost.co.uk/pNJcTg95KWC6D03Nybj0AZ2u2ftF811Y" TargetMode="External"/><Relationship Id="rId324" Type="http://schemas.openxmlformats.org/officeDocument/2006/relationships/hyperlink" Target="https://audio.jukehost.co.uk/aYj1xx7KBgN6goHOtFcB2FG1GCDDRO5T" TargetMode="External"/><Relationship Id="rId325" Type="http://schemas.openxmlformats.org/officeDocument/2006/relationships/hyperlink" Target="https://audio.jukehost.co.uk/IfzO3P0UXf2oSvB7C1jVsulKe4aGL8Mg" TargetMode="External"/><Relationship Id="rId326" Type="http://schemas.openxmlformats.org/officeDocument/2006/relationships/hyperlink" Target="https://audio.jukehost.co.uk/hfkknjVJTy87cs5dwoJdpCHB9a3c2A1q" TargetMode="External"/><Relationship Id="rId327" Type="http://schemas.openxmlformats.org/officeDocument/2006/relationships/hyperlink" Target="https://www.youtube.com/watch?v=CFKgmZC0o_E&amp;list=PLFF188C45BD627028&amp;index=5" TargetMode="External"/><Relationship Id="rId328" Type="http://schemas.openxmlformats.org/officeDocument/2006/relationships/hyperlink" Target="https://www.youtube.com/watch?v=_V9MlehRXag&amp;list=PLFF188C45BD627028&amp;index=6" TargetMode="External"/><Relationship Id="rId329" Type="http://schemas.openxmlformats.org/officeDocument/2006/relationships/hyperlink" Target="https://www.youtube.com/watch?v=1nlxzxnE2CE&amp;list=PLFF188C45BD627028&amp;index=4" TargetMode="External"/><Relationship Id="rId330" Type="http://schemas.openxmlformats.org/officeDocument/2006/relationships/hyperlink" Target="https://www.youtube.com/watch?v=TgQFTVsBjjY&amp;list=PLFF188C45BD627028&amp;index=12" TargetMode="External"/><Relationship Id="rId331" Type="http://schemas.openxmlformats.org/officeDocument/2006/relationships/hyperlink" Target="https://www.youtube.com/watch?v=U4mQX_3synQ&amp;list=PLFF188C45BD627028&amp;index=16" TargetMode="External"/><Relationship Id="rId332" Type="http://schemas.openxmlformats.org/officeDocument/2006/relationships/hyperlink" Target="https://www.youtube.com/watch?v=mdLrUo_O52E&amp;list=PLFF188C45BD627028" TargetMode="External"/><Relationship Id="rId333" Type="http://schemas.openxmlformats.org/officeDocument/2006/relationships/hyperlink" Target="https://audio.jukehost.co.uk/nzdho1ZOgkCDBgy2i16jIIGtn2kzkXHb" TargetMode="External"/><Relationship Id="rId334" Type="http://schemas.openxmlformats.org/officeDocument/2006/relationships/hyperlink" Target="https://audio.jukehost.co.uk/nLvHYO54FxMUZE3RJGUD9eq3aXQ6Oxq8" TargetMode="External"/><Relationship Id="rId335" Type="http://schemas.openxmlformats.org/officeDocument/2006/relationships/hyperlink" Target="https://audio.jukehost.co.uk/TgnxGeAmzRDdiL5XuXbgL5EXVglnjWFq" TargetMode="External"/><Relationship Id="rId336" Type="http://schemas.openxmlformats.org/officeDocument/2006/relationships/hyperlink" Target="https://audio.jukehost.co.uk/bmWQwMcfXFTmBF4JjF43IPWjhFsD4JLj" TargetMode="External"/><Relationship Id="rId337" Type="http://schemas.openxmlformats.org/officeDocument/2006/relationships/hyperlink" Target="https://lambda.vgmtreasurechest.com/soundtracks/the-henry-stickmin-collection-gamerip/ppnfqfohon/Completing%20The%20Mission%20-%20Theme.mp3" TargetMode="External"/><Relationship Id="rId338" Type="http://schemas.openxmlformats.org/officeDocument/2006/relationships/hyperlink" Target="https://lambda.vgmtreasurechest.com/soundtracks/the-henry-stickmin-collection-gamerip/ynimsavfhh/Escaping%20The%20Prison%20-%20Theme.mp3" TargetMode="External"/><Relationship Id="rId339" Type="http://schemas.openxmlformats.org/officeDocument/2006/relationships/hyperlink" Target="https://nu.vgmtreasurechest.com/soundtracks/fleeing-the-complex-online-gamerip-2016/wgtxhtwb/1.%20Main%20Menu%20-%20sound%20321%20%28over%20to%20down%20%29.mp3" TargetMode="External"/><Relationship Id="rId340" Type="http://schemas.openxmlformats.org/officeDocument/2006/relationships/hyperlink" Target="https://lambda.vgmtreasurechest.com/soundtracks/the-henry-stickmin-collection-gamerip/dfnyqbtvne/Infiltrating%20The%20Airship%20-%20Theme.mp3" TargetMode="External"/><Relationship Id="rId341" Type="http://schemas.openxmlformats.org/officeDocument/2006/relationships/hyperlink" Target="https://lambda.vgmtreasurechest.com/soundtracks/the-henry-stickmin-collection-gamerip/aiwhjixduo/Title%20Theme.mp3" TargetMode="External"/><Relationship Id="rId342" Type="http://schemas.openxmlformats.org/officeDocument/2006/relationships/hyperlink" Target="https://audio.jukehost.co.uk/tUczzwo4CHp4lvwWOeltgLN6b0dDFd5t" TargetMode="External"/><Relationship Id="rId343" Type="http://schemas.openxmlformats.org/officeDocument/2006/relationships/hyperlink" Target="https://audio.jukehost.co.uk/IpjnbUHPs4WjS9Vmyjj8q3DzpB6oPHrM" TargetMode="External"/><Relationship Id="rId344" Type="http://schemas.openxmlformats.org/officeDocument/2006/relationships/hyperlink" Target="https://audio.jukehost.co.uk/lhodRZM7zhPV5MLBPgZcUb5N39X29xO2" TargetMode="External"/><Relationship Id="rId345" Type="http://schemas.openxmlformats.org/officeDocument/2006/relationships/hyperlink" Target="https://audio.jukehost.co.uk/LvNRkE5Iqw4al3WZ1KqPu0DmVSqcoKbV" TargetMode="External"/><Relationship Id="rId346" Type="http://schemas.openxmlformats.org/officeDocument/2006/relationships/hyperlink" Target="https://audio.jukehost.co.uk/qepMpRJIepQitFWkad7jt1vTyDO1yrkT" TargetMode="External"/><Relationship Id="rId347" Type="http://schemas.openxmlformats.org/officeDocument/2006/relationships/hyperlink" Target="https://audio.jukehost.co.uk/s0oxWmk2rjZfhshmonG6SUAQ5RaAhbZC" TargetMode="External"/><Relationship Id="rId348" Type="http://schemas.openxmlformats.org/officeDocument/2006/relationships/hyperlink" Target="https://audio.jukehost.co.uk/UnqlS0AU9cNew14kQrOKPE61BEiGk08i" TargetMode="External"/><Relationship Id="rId349" Type="http://schemas.openxmlformats.org/officeDocument/2006/relationships/hyperlink" Target="https://audio.jukehost.co.uk/9uDTAEdKDrEWEzMHoURcVvyy3x1UrMmv" TargetMode="External"/><Relationship Id="rId350" Type="http://schemas.openxmlformats.org/officeDocument/2006/relationships/hyperlink" Target="https://audio.jukehost.co.uk/r3SLejJ3tc5P7eRVqpq70XZi11voLXw1" TargetMode="External"/><Relationship Id="rId351" Type="http://schemas.openxmlformats.org/officeDocument/2006/relationships/hyperlink" Target="https://audio.jukehost.co.uk/NQ2FUD8ml9FQBjlAWReW27VFqGMv7JRR" TargetMode="External"/><Relationship Id="rId352" Type="http://schemas.openxmlformats.org/officeDocument/2006/relationships/hyperlink" Target="https://audio.jukehost.co.uk/VS4GQfGRse4lzXauj9AQYYHghrUqQNl7" TargetMode="External"/><Relationship Id="rId353" Type="http://schemas.openxmlformats.org/officeDocument/2006/relationships/hyperlink" Target="https://audio.jukehost.co.uk/YeVxEWfkF6RBRUHLcXjA5krByDv1CwuZ" TargetMode="External"/><Relationship Id="rId354" Type="http://schemas.openxmlformats.org/officeDocument/2006/relationships/hyperlink" Target="https://audio.jukehost.co.uk/iLtkswwqmOVCKS3MDxgDpIlnDdte0Iza" TargetMode="External"/><Relationship Id="rId355" Type="http://schemas.openxmlformats.org/officeDocument/2006/relationships/hyperlink" Target="https://audio.jukehost.co.uk/dKfgbJQjS0G7oOBeLAH6wKnCkt9ZMIsX" TargetMode="External"/><Relationship Id="rId356" Type="http://schemas.openxmlformats.org/officeDocument/2006/relationships/hyperlink" Target="https://audio.jukehost.co.uk/BaZL7PdYUghpvPmXHlhksiw4jbOw7Tvk" TargetMode="External"/><Relationship Id="rId357" Type="http://schemas.openxmlformats.org/officeDocument/2006/relationships/hyperlink" Target="https://audio.jukehost.co.uk/kL5fYQ4XrjfaHXfk7PHcLUfo5iIHhEXh" TargetMode="External"/><Relationship Id="rId358" Type="http://schemas.openxmlformats.org/officeDocument/2006/relationships/hyperlink" Target="https://audio.jukehost.co.uk/otUGRBSwUGT8BpBwcTuxpg2Zf6TNdHFv" TargetMode="External"/><Relationship Id="rId359" Type="http://schemas.openxmlformats.org/officeDocument/2006/relationships/hyperlink" Target="https://downloads.khinsider.com/game-soundtracks/album/immortals-fenyx-rising-2020/01.%2520Heart%2520of%2520the%2520Hero.mp3" TargetMode="External"/><Relationship Id="rId360" Type="http://schemas.openxmlformats.org/officeDocument/2006/relationships/hyperlink" Target="https://jetta.vgmtreasurechest.com/soundtracks/immortals-fenyx-rising-2020/lpphpbpt/01.%20Heart%20of%20the%20Hero.mp3" TargetMode="External"/><Relationship Id="rId361" Type="http://schemas.openxmlformats.org/officeDocument/2006/relationships/hyperlink" Target="https://audio.jukehost.co.uk/I1ViwRJYsO4HmWXFJhu0rar13lEhBDtF" TargetMode="External"/><Relationship Id="rId362" Type="http://schemas.openxmlformats.org/officeDocument/2006/relationships/hyperlink" Target="https://audio.jukehost.co.uk/4pQZwTC2W6iGLPOLwFq6sLF5LbtDjf6y" TargetMode="External"/><Relationship Id="rId363" Type="http://schemas.openxmlformats.org/officeDocument/2006/relationships/hyperlink" Target="https://audio.jukehost.co.uk/6REL0sClnFvWbATmEUR426IjvhMBNcfu" TargetMode="External"/><Relationship Id="rId364" Type="http://schemas.openxmlformats.org/officeDocument/2006/relationships/hyperlink" Target="https://audio.jukehost.co.uk/AD93efon6wJs401BQpKM19c0TcHb7svQ" TargetMode="External"/><Relationship Id="rId365" Type="http://schemas.openxmlformats.org/officeDocument/2006/relationships/hyperlink" Target="https://audio.jukehost.co.uk/B9V9gEsn4nuJVieooQCJYsKmHwuX5MjV" TargetMode="External"/><Relationship Id="rId366" Type="http://schemas.openxmlformats.org/officeDocument/2006/relationships/hyperlink" Target="https://audio.jukehost.co.uk/kQgPpdWMeiwQqDPz8PmcWWFR5kgnSigG" TargetMode="External"/><Relationship Id="rId367" Type="http://schemas.openxmlformats.org/officeDocument/2006/relationships/hyperlink" Target="https://downloads.khinsider.com/game-soundtracks/album/jetpack-joyride-original-game-soundtrack-2021-android-ios/01.%2520Jetpack%2520Joyride%2520Main%2520Theme.mp3" TargetMode="External"/><Relationship Id="rId368" Type="http://schemas.openxmlformats.org/officeDocument/2006/relationships/hyperlink" Target="https://lambda.vgmtreasurechest.com/soundtracks/jetpack-joyride-original-game-soundtrack-2021-android-ios/wpiuczqf/01.%20Jetpack%20Joyride%20Main%20Theme.mp3" TargetMode="External"/><Relationship Id="rId369" Type="http://schemas.openxmlformats.org/officeDocument/2006/relationships/hyperlink" Target="https://lambda.vgmtreasurechest.com/soundtracks/journey/ryqmjldh/18%20I%20was%20Born%20for%20This.mp3" TargetMode="External"/><Relationship Id="rId370" Type="http://schemas.openxmlformats.org/officeDocument/2006/relationships/hyperlink" Target="https://audio.jukehost.co.uk/La2CxlYQONTekAQgYuwwACl2fgZaNkDp" TargetMode="External"/><Relationship Id="rId371" Type="http://schemas.openxmlformats.org/officeDocument/2006/relationships/hyperlink" Target="https://audio.jukehost.co.uk/HApAgbE1S8qRZSsksyclrGUnlYP9vUkp" TargetMode="External"/><Relationship Id="rId372" Type="http://schemas.openxmlformats.org/officeDocument/2006/relationships/hyperlink" Target="https://audio.jukehost.co.uk/YMfnlCh3ypb5U0b0ZVuVpFoVgIa6n4as" TargetMode="External"/><Relationship Id="rId373" Type="http://schemas.openxmlformats.org/officeDocument/2006/relationships/hyperlink" Target="https://audio.jukehost.co.uk/5dv0HkBMDxPma2c0LV7xCfV73XB0fnIC" TargetMode="External"/><Relationship Id="rId374" Type="http://schemas.openxmlformats.org/officeDocument/2006/relationships/hyperlink" Target="https://audio.jukehost.co.uk/dSLaoFCDd6yLEcPWdf8KXHxsFOjd3Qod" TargetMode="External"/><Relationship Id="rId375" Type="http://schemas.openxmlformats.org/officeDocument/2006/relationships/hyperlink" Target="https://audio.jukehost.co.uk/DyuKFDEo02LovE23EBf937mhfqtjgZDh" TargetMode="External"/><Relationship Id="rId376" Type="http://schemas.openxmlformats.org/officeDocument/2006/relationships/hyperlink" Target="https://audio.jukehost.co.uk/EcPvVIqrq0a0PzS46TWSRquPzLDVjsFA" TargetMode="External"/><Relationship Id="rId377" Type="http://schemas.openxmlformats.org/officeDocument/2006/relationships/hyperlink" Target="https://audio.jukehost.co.uk/Y0fwyXvE2LZJxJqLCfW320Ayy1tU5Ago" TargetMode="External"/><Relationship Id="rId378" Type="http://schemas.openxmlformats.org/officeDocument/2006/relationships/hyperlink" Target="https://audio.jukehost.co.uk/6NJNKJmyhgA4NbCTZEKtgTXSRDxgyH3s" TargetMode="External"/><Relationship Id="rId379" Type="http://schemas.openxmlformats.org/officeDocument/2006/relationships/hyperlink" Target="https://audio.jukehost.co.uk/0ltsrZt9rbMf1Ohvgl3ToqoH3KvKNKen" TargetMode="External"/><Relationship Id="rId380" Type="http://schemas.openxmlformats.org/officeDocument/2006/relationships/hyperlink" Target="https://nu.vgmtreasurechest.com/soundtracks/katamari-damacy-ps2-gamerip-2004/nbznkgyxzi/02%20-%20Yu%20Miyake%20%26%20Masayuki%20Tanaka%20-%20Katamari%20On%20The%20Rock%20%28Main%20Theme%29.mp3" TargetMode="External"/><Relationship Id="rId381" Type="http://schemas.openxmlformats.org/officeDocument/2006/relationships/hyperlink" Target="https://audio.jukehost.co.uk/poQIDAheL5lPLdOdI7RgWOAOkSZYLbqf" TargetMode="External"/><Relationship Id="rId382" Type="http://schemas.openxmlformats.org/officeDocument/2006/relationships/hyperlink" Target="https://nu.vgmtreasurechest.com/soundtracks/kingdom-hearts-hd-1.5-2.5-remix-original-soundtrack-box-2014/kymoloic/3-11%20Vector%20to%20the%20Heavens.mp3" TargetMode="External"/><Relationship Id="rId383" Type="http://schemas.openxmlformats.org/officeDocument/2006/relationships/hyperlink" Target="https://audio.jukehost.co.uk/IRN9LUCFFuapG85ZmPYORLm8kqQZhtWd" TargetMode="External"/><Relationship Id="rId384" Type="http://schemas.openxmlformats.org/officeDocument/2006/relationships/hyperlink" Target="https://audio.jukehost.co.uk/lMxsQGMpuhbMmaDs4r3HjEKfqIbvCUeC" TargetMode="External"/><Relationship Id="rId385" Type="http://schemas.openxmlformats.org/officeDocument/2006/relationships/hyperlink" Target="https://audio.jukehost.co.uk/IZiYTxUEX9aAiwIxygD3wn27iOO8xhep" TargetMode="External"/><Relationship Id="rId386" Type="http://schemas.openxmlformats.org/officeDocument/2006/relationships/hyperlink" Target="https://audio.jukehost.co.uk/VKsAxPVe8KXVbZnTWRkbAyTUGSDT4EVw" TargetMode="External"/><Relationship Id="rId387" Type="http://schemas.openxmlformats.org/officeDocument/2006/relationships/hyperlink" Target="https://audio.jukehost.co.uk/R08Th2C3frhi5imSjmPjEaAT1NmcF11O" TargetMode="External"/><Relationship Id="rId388" Type="http://schemas.openxmlformats.org/officeDocument/2006/relationships/hyperlink" Target="https://audio.jukehost.co.uk/HQdvFjRad5f303XQSiTPMkhGvUjLA3rs" TargetMode="External"/><Relationship Id="rId389" Type="http://schemas.openxmlformats.org/officeDocument/2006/relationships/hyperlink" Target="https://audio.jukehost.co.uk/ShucIcM6Zmi39chV7fxV9AwMy5fRQPKK" TargetMode="External"/><Relationship Id="rId390" Type="http://schemas.openxmlformats.org/officeDocument/2006/relationships/hyperlink" Target="https://audio.jukehost.co.uk/iqIEIhytoAOzl15OUvvDjdABrHsCKwnh" TargetMode="External"/><Relationship Id="rId391" Type="http://schemas.openxmlformats.org/officeDocument/2006/relationships/hyperlink" Target="https://audio.jukehost.co.uk/3FbOnfRs94DVdJ64npeagGh7AOKSJWJi" TargetMode="External"/><Relationship Id="rId392" Type="http://schemas.openxmlformats.org/officeDocument/2006/relationships/hyperlink" Target="https://audio.jukehost.co.uk/dT2sFUdaqO0t6gZBXzpn5vPU1v1SWIn7" TargetMode="External"/><Relationship Id="rId393" Type="http://schemas.openxmlformats.org/officeDocument/2006/relationships/hyperlink" Target="https://downloads.khinsider.com/game-soundtracks/album/kingdom-hearts-ii-final-mix-gamerip/fm%2520-%2520Cavern%2520of%2520Remembrance.mp3" TargetMode="External"/><Relationship Id="rId394" Type="http://schemas.openxmlformats.org/officeDocument/2006/relationships/hyperlink" Target="https://vgmtreasurechest.com/soundtracks/kingdom-hearts-ii-final-mix-gamerip/cwdccftb/fm%20-%20Cavern%20of%20Remembrance.mp3" TargetMode="External"/><Relationship Id="rId395" Type="http://schemas.openxmlformats.org/officeDocument/2006/relationships/hyperlink" Target="https://audio.jukehost.co.uk/9LZKjNImse6S2NcgNBRGalR1DbjP2wB4" TargetMode="External"/><Relationship Id="rId396" Type="http://schemas.openxmlformats.org/officeDocument/2006/relationships/hyperlink" Target="https://audio.jukehost.co.uk/iJrw6Got3aZawqEJgaoWWMpGn4oI7b68" TargetMode="External"/><Relationship Id="rId397" Type="http://schemas.openxmlformats.org/officeDocument/2006/relationships/hyperlink" Target="https://audio.jukehost.co.uk/w2M0gsmGbnSMpJHOsG8qAKQ5JrJylwrX" TargetMode="External"/><Relationship Id="rId398" Type="http://schemas.openxmlformats.org/officeDocument/2006/relationships/hyperlink" Target="https://audio.jukehost.co.uk/c6jkp2QJNI0QzGfhFPwrmXpw2RHya9xI" TargetMode="External"/><Relationship Id="rId399" Type="http://schemas.openxmlformats.org/officeDocument/2006/relationships/hyperlink" Target="https://audio.jukehost.co.uk/Uz3BB4fZ8FoGMh64gyAuYAxSLCsQarYf" TargetMode="External"/><Relationship Id="rId400" Type="http://schemas.openxmlformats.org/officeDocument/2006/relationships/hyperlink" Target="https://audio.jukehost.co.uk/5PoDes0LA46Xl7zxaaksYZJHyelkZube" TargetMode="External"/><Relationship Id="rId401" Type="http://schemas.openxmlformats.org/officeDocument/2006/relationships/hyperlink" Target="https://audio.jukehost.co.uk/BuKzuw8YLGpQQrHFmG4nVIz6Aku5XzLz" TargetMode="External"/><Relationship Id="rId402" Type="http://schemas.openxmlformats.org/officeDocument/2006/relationships/hyperlink" Target="https://audio.jukehost.co.uk/j4MQNOMTdHnFBle6SSV4nSs2Bz6SWuhx" TargetMode="External"/><Relationship Id="rId403" Type="http://schemas.openxmlformats.org/officeDocument/2006/relationships/hyperlink" Target="https://audio.jukehost.co.uk/saRld7OFTohSZwB64irLOKTslJ5n43Q2" TargetMode="External"/><Relationship Id="rId404" Type="http://schemas.openxmlformats.org/officeDocument/2006/relationships/hyperlink" Target="https://nu.vgmtreasurechest.com/soundtracks/kingdom-hearts-iii-gamerip/poxwpjdm/003.%20Don%27t%20Think%20Twice%20%28English%29.mp3" TargetMode="External"/><Relationship Id="rId405" Type="http://schemas.openxmlformats.org/officeDocument/2006/relationships/hyperlink" Target="https://audio.jukehost.co.uk/5Hg4Ssar3VCKQ11zWIkfYWeByNi2SeZz" TargetMode="External"/><Relationship Id="rId406" Type="http://schemas.openxmlformats.org/officeDocument/2006/relationships/hyperlink" Target="https://audio.jukehost.co.uk/NFS1OfgtHqTnpWRSBWTlZ0VgfX9qIxD4" TargetMode="External"/><Relationship Id="rId407" Type="http://schemas.openxmlformats.org/officeDocument/2006/relationships/hyperlink" Target="https://audio.jukehost.co.uk/jy7zpL2YwGJIiZhnPBKyN2bVJsvMwu0s" TargetMode="External"/><Relationship Id="rId408" Type="http://schemas.openxmlformats.org/officeDocument/2006/relationships/hyperlink" Target="https://nu.vgmtreasurechest.com/soundtracks/kingdom-hearts-iii-gamerip/uumdfrsq/034.%20Wave%20of%20Darkness%20I.mp3" TargetMode="External"/><Relationship Id="rId409" Type="http://schemas.openxmlformats.org/officeDocument/2006/relationships/hyperlink" Target="https://audio.jukehost.co.uk/Vun8E7fYghJyb5Hpr23vCfgb96WE1l1J" TargetMode="External"/><Relationship Id="rId410" Type="http://schemas.openxmlformats.org/officeDocument/2006/relationships/hyperlink" Target="https://audio.jukehost.co.uk/dI9UQWkhlAp3V6QPUKbFTYRl4MoaYRPK" TargetMode="External"/><Relationship Id="rId411" Type="http://schemas.openxmlformats.org/officeDocument/2006/relationships/hyperlink" Target="https://audio.jukehost.co.uk/vtW1J2ya2uZOBAPtKkzKc5vocWenN4Lu" TargetMode="External"/><Relationship Id="rId412" Type="http://schemas.openxmlformats.org/officeDocument/2006/relationships/hyperlink" Target="https://audio.jukehost.co.uk/SbRAqLHh85Uuk8vRlNpJgnZLHL5ixCZt" TargetMode="External"/><Relationship Id="rId413" Type="http://schemas.openxmlformats.org/officeDocument/2006/relationships/hyperlink" Target="https://audio.jukehost.co.uk/2UTDpOspxHGAfL2vsZedpJk6fbcNDuHV" TargetMode="External"/><Relationship Id="rId414" Type="http://schemas.openxmlformats.org/officeDocument/2006/relationships/hyperlink" Target="https://audio.jukehost.co.uk/ZdlPN1ywtlNLT8SjGGFg88lApcHBG244" TargetMode="External"/><Relationship Id="rId415" Type="http://schemas.openxmlformats.org/officeDocument/2006/relationships/hyperlink" Target="https://downloads.khinsider.com/game-soundtracks/album/astalon-tears-of-the-earth-2021/1-01.%2520Poisoned%2520World.mp3" TargetMode="External"/><Relationship Id="rId416" Type="http://schemas.openxmlformats.org/officeDocument/2006/relationships/hyperlink" Target="https://downloads.khinsider.com/game-soundtracks/album/astalon-tears-of-the-earth-2021/1-05.%2520This%2520Cursed%2520Tower.mp3" TargetMode="External"/><Relationship Id="rId417" Type="http://schemas.openxmlformats.org/officeDocument/2006/relationships/hyperlink" Target="https://downloads.khinsider.com/game-soundtracks/album/astalon-tears-of-the-earth-2021/1-07.%2520Hollow%2520%2528Hate%2529.mp3" TargetMode="External"/><Relationship Id="rId418" Type="http://schemas.openxmlformats.org/officeDocument/2006/relationships/hyperlink" Target="https://downloads.khinsider.com/game-soundtracks/album/astalon-tears-of-the-earth-2021/1-16.%2520Arteries.mp3" TargetMode="External"/><Relationship Id="rId419" Type="http://schemas.openxmlformats.org/officeDocument/2006/relationships/hyperlink" Target="https://downloads.khinsider.com/game-soundtracks/album/astalon-tears-of-the-earth-2021/1-28.%2520The%2520Apex.mp3" TargetMode="External"/><Relationship Id="rId420" Type="http://schemas.openxmlformats.org/officeDocument/2006/relationships/hyperlink" Target="https://audio.jukehost.co.uk/Ap495a7OlpHtxtDRUqxKGbblBScdLGKJ" TargetMode="External"/><Relationship Id="rId421" Type="http://schemas.openxmlformats.org/officeDocument/2006/relationships/hyperlink" Target="https://audio.jukehost.co.uk/rcbPDnOqt2dFMGHAWFEVJMGppPZhIKGe" TargetMode="External"/><Relationship Id="rId422" Type="http://schemas.openxmlformats.org/officeDocument/2006/relationships/hyperlink" Target="https://audio.jukehost.co.uk/1aoB3UvKge0Mr0o5jBPMfDxNapSOLler" TargetMode="External"/><Relationship Id="rId423" Type="http://schemas.openxmlformats.org/officeDocument/2006/relationships/hyperlink" Target="https://audio.jukehost.co.uk/cvaMrU3NJCd2hHtk55rvRdIkXbqF9T4d" TargetMode="External"/><Relationship Id="rId424" Type="http://schemas.openxmlformats.org/officeDocument/2006/relationships/hyperlink" Target="https://audio.jukehost.co.uk/enDlwqgQPpuIfatf1zwKA040m9vjW8hV" TargetMode="External"/><Relationship Id="rId425" Type="http://schemas.openxmlformats.org/officeDocument/2006/relationships/hyperlink" Target="https://audio.jukehost.co.uk/gueI2in6dP2YQZ8Z9oNAn9iRvMlHHsTO" TargetMode="External"/><Relationship Id="rId426" Type="http://schemas.openxmlformats.org/officeDocument/2006/relationships/hyperlink" Target="https://audio.jukehost.co.uk/0Vne8SdBJPT66nLC9lLcSF5yDZHpvkMp" TargetMode="External"/><Relationship Id="rId427" Type="http://schemas.openxmlformats.org/officeDocument/2006/relationships/hyperlink" Target="https://audio.jukehost.co.uk/5AWTahNagBUxz3LKdkqsTHFoh8gLkTYQ" TargetMode="External"/><Relationship Id="rId428" Type="http://schemas.openxmlformats.org/officeDocument/2006/relationships/hyperlink" Target="https://audio.jukehost.co.uk/DbfLFnGdGncoUGUtgseJo0fAZi8NooOr" TargetMode="External"/><Relationship Id="rId429" Type="http://schemas.openxmlformats.org/officeDocument/2006/relationships/hyperlink" Target="https://audio.jukehost.co.uk/XUjkjFWy0cwzbb5XwgLeqhI7HUzyDgCN" TargetMode="External"/><Relationship Id="rId430" Type="http://schemas.openxmlformats.org/officeDocument/2006/relationships/hyperlink" Target="https://audio.jukehost.co.uk/5umdLSkzicay2usVz3u4eWNZRd1TEyCF" TargetMode="External"/><Relationship Id="rId431" Type="http://schemas.openxmlformats.org/officeDocument/2006/relationships/hyperlink" Target="https://audio.jukehost.co.uk/yTq9xJZ768ZWItqxbpOtoDPyxJOYg4V8" TargetMode="External"/><Relationship Id="rId432" Type="http://schemas.openxmlformats.org/officeDocument/2006/relationships/hyperlink" Target="https://audio.jukehost.co.uk/iYgMzSju0FAYhfi1MmtwKF4yZO69xiye" TargetMode="External"/><Relationship Id="rId433" Type="http://schemas.openxmlformats.org/officeDocument/2006/relationships/hyperlink" Target="https://audio.jukehost.co.uk/q1uRVByPbHXXmKt1nK08h3MxPJvqkrlr" TargetMode="External"/><Relationship Id="rId434" Type="http://schemas.openxmlformats.org/officeDocument/2006/relationships/hyperlink" Target="https://audio.jukehost.co.uk/SP1GayRMqEgeGE57KSjcpPdTmyPP9nDT" TargetMode="External"/><Relationship Id="rId435" Type="http://schemas.openxmlformats.org/officeDocument/2006/relationships/hyperlink" Target="https://audio.jukehost.co.uk/q5KCrMbwXmlOOuxP1dGFilCNRKCVn0wj" TargetMode="External"/><Relationship Id="rId436" Type="http://schemas.openxmlformats.org/officeDocument/2006/relationships/hyperlink" Target="https://audio.jukehost.co.uk/eAhyba5yLLdHSJlknvFucadt28I3Mz65" TargetMode="External"/><Relationship Id="rId437" Type="http://schemas.openxmlformats.org/officeDocument/2006/relationships/hyperlink" Target="https://audio.jukehost.co.uk/6OrSwKJXgYQ8IC3v6E4nDQfwNnln19cc" TargetMode="External"/><Relationship Id="rId438" Type="http://schemas.openxmlformats.org/officeDocument/2006/relationships/hyperlink" Target="https://audio.jukehost.co.uk/NNds8yuFbtiLz6yhPAq5duKFNo7clgiw" TargetMode="External"/><Relationship Id="rId439" Type="http://schemas.openxmlformats.org/officeDocument/2006/relationships/hyperlink" Target="https://audio.jukehost.co.uk/iw4eBljXXjq4HEsjCsvIpayb4L86BFdK" TargetMode="External"/><Relationship Id="rId440" Type="http://schemas.openxmlformats.org/officeDocument/2006/relationships/hyperlink" Target="https://audio.jukehost.co.uk/Y7RdKJo2BIW4oGSSnUZ58cwPdansJooJ" TargetMode="External"/><Relationship Id="rId441" Type="http://schemas.openxmlformats.org/officeDocument/2006/relationships/hyperlink" Target="https://audio.jukehost.co.uk/030D2DeNERO5ozp2Reseu2CwapYCoDn9" TargetMode="External"/><Relationship Id="rId442" Type="http://schemas.openxmlformats.org/officeDocument/2006/relationships/hyperlink" Target="https://audio.jukehost.co.uk/xmoKJSHl4ZecuMw7NcnbILoXjUiC9Hq1" TargetMode="External"/><Relationship Id="rId443" Type="http://schemas.openxmlformats.org/officeDocument/2006/relationships/hyperlink" Target="https://audio.jukehost.co.uk/MYa5u63vlWyiH4cKkttchIefOVg79ugx" TargetMode="External"/><Relationship Id="rId444" Type="http://schemas.openxmlformats.org/officeDocument/2006/relationships/hyperlink" Target="https://audio.jukehost.co.uk/No9viqcZpfKJxejiIEdcSwohFPqaTMf2" TargetMode="External"/><Relationship Id="rId445" Type="http://schemas.openxmlformats.org/officeDocument/2006/relationships/hyperlink" Target="https://audio.jukehost.co.uk/FLIPhKAAiOaSKn2xhrP9IW5LyPtNQArR" TargetMode="External"/><Relationship Id="rId446" Type="http://schemas.openxmlformats.org/officeDocument/2006/relationships/hyperlink" Target="https://audio.jukehost.co.uk/vfe2sYr82CA9aAQ80VfgWtPuqzEyKmxw" TargetMode="External"/><Relationship Id="rId447" Type="http://schemas.openxmlformats.org/officeDocument/2006/relationships/hyperlink" Target="https://downloads.khinsider.com/game-soundtracks/album/lost-ark-vol.2-in-game-track-2018/07.%2520Club%2520Avenue.mp3" TargetMode="External"/><Relationship Id="rId448" Type="http://schemas.openxmlformats.org/officeDocument/2006/relationships/hyperlink" Target="https://audio.jukehost.co.uk/YB4y7wUFp2kMTrUWcXageHqqsBUkJ9Q8" TargetMode="External"/><Relationship Id="rId449" Type="http://schemas.openxmlformats.org/officeDocument/2006/relationships/hyperlink" Target="https://downloads.khinsider.com/game-soundtracks/album/luigi-s-mansion-dark-moon/01.%2520Title.mp3" TargetMode="External"/><Relationship Id="rId450" Type="http://schemas.openxmlformats.org/officeDocument/2006/relationships/hyperlink" Target="https://audio.jukehost.co.uk/F2Pscjk8o5IWBUQ5tI6Wdh0rXJc0RZSc" TargetMode="External"/><Relationship Id="rId451" Type="http://schemas.openxmlformats.org/officeDocument/2006/relationships/hyperlink" Target="https://audio.jukehost.co.uk/I9lZW3VSyzMSNSon0qqH57pMEm4m2s9K" TargetMode="External"/><Relationship Id="rId452" Type="http://schemas.openxmlformats.org/officeDocument/2006/relationships/hyperlink" Target="https://lambda.vgmtreasurechest.com/soundtracks/mario-and-luigi-dream-team/lwbpxsxi/16%20Peach%27s%20Castle%20Theme.mp3" TargetMode="External"/><Relationship Id="rId453" Type="http://schemas.openxmlformats.org/officeDocument/2006/relationships/hyperlink" Target="https://lambda.vgmtreasurechest.com/soundtracks/mario-and-luigi-dream-team/yzbkvzkb/21%20Breezy%20Mushrise%20Park.mp3" TargetMode="External"/><Relationship Id="rId454" Type="http://schemas.openxmlformats.org/officeDocument/2006/relationships/hyperlink" Target="https://lambda.vgmtreasurechest.com/soundtracks/mario-and-luigi-dream-team/hdwwrwgs/01%20Your%20Dream%20Adventure%21.mp3" TargetMode="External"/><Relationship Id="rId455" Type="http://schemas.openxmlformats.org/officeDocument/2006/relationships/hyperlink" Target="https://nu.vgmtreasurechest.com/soundtracks/mario-luigi-partners-in-time-arrangement-ost-2018/mmxcsged/20.%20Thwomp%20Volcano.mp3" TargetMode="External"/><Relationship Id="rId456" Type="http://schemas.openxmlformats.org/officeDocument/2006/relationships/hyperlink" Target="https://audio.jukehost.co.uk/xD3qGjhnFIDTdMz5QH3rZ3itJ8SgGBIl" TargetMode="External"/><Relationship Id="rId457" Type="http://schemas.openxmlformats.org/officeDocument/2006/relationships/hyperlink" Target="https://audio.jukehost.co.uk/faGRubEtmcx4Q6Utv0aeVhRiuNJARN4W" TargetMode="External"/><Relationship Id="rId458" Type="http://schemas.openxmlformats.org/officeDocument/2006/relationships/hyperlink" Target="https://audio.jukehost.co.uk/bJLRxi1WuAdnFMw0L5E1jv7qhLQ0mrMN" TargetMode="External"/><Relationship Id="rId459" Type="http://schemas.openxmlformats.org/officeDocument/2006/relationships/hyperlink" Target="https://audio.jukehost.co.uk/PUP5r3g55LJbCav2FeBsdaPOT64IMSKY" TargetMode="External"/><Relationship Id="rId460" Type="http://schemas.openxmlformats.org/officeDocument/2006/relationships/hyperlink" Target="https://audio.jukehost.co.uk/5zxPWMcwklDx5JP5NrDRA54QctVpUpSq" TargetMode="External"/><Relationship Id="rId461" Type="http://schemas.openxmlformats.org/officeDocument/2006/relationships/hyperlink" Target="https://audio.jukehost.co.uk/NUTOFAH9S6fYXwlIxgWw0jlQ8obIcbPR" TargetMode="External"/><Relationship Id="rId462" Type="http://schemas.openxmlformats.org/officeDocument/2006/relationships/hyperlink" Target="https://audio.jukehost.co.uk/nVI3I5cdGc0j3yhFBiHmZeMGmr3KX2tI" TargetMode="External"/><Relationship Id="rId463" Type="http://schemas.openxmlformats.org/officeDocument/2006/relationships/hyperlink" Target="https://audio.jukehost.co.uk/NxL9JzvR7ozAhWAMCirIRyF1J3UiWLGM" TargetMode="External"/><Relationship Id="rId464" Type="http://schemas.openxmlformats.org/officeDocument/2006/relationships/hyperlink" Target="https://audio.jukehost.co.uk/MBg3DO40ZHJZ5wnMsUt0LsW2PDG6G8v6" TargetMode="External"/><Relationship Id="rId465" Type="http://schemas.openxmlformats.org/officeDocument/2006/relationships/hyperlink" Target="https://audio.jukehost.co.uk/lBoLTZZ5pM9tPu9HlKNHu3RYOkvB28in" TargetMode="External"/><Relationship Id="rId466" Type="http://schemas.openxmlformats.org/officeDocument/2006/relationships/hyperlink" Target="https://audio.jukehost.co.uk/BgcQRq2X2ulEeDz0u21frIgwfDyoLKT4" TargetMode="External"/><Relationship Id="rId467" Type="http://schemas.openxmlformats.org/officeDocument/2006/relationships/hyperlink" Target="https://audio.jukehost.co.uk/JN33heZKJN61RMKNWisMlm8Uvz8puVVB" TargetMode="External"/><Relationship Id="rId468" Type="http://schemas.openxmlformats.org/officeDocument/2006/relationships/hyperlink" Target="https://audio.jukehost.co.uk/sMtDZZG1CxhfbzDmykUeGhTFGwpHdON7" TargetMode="External"/><Relationship Id="rId469" Type="http://schemas.openxmlformats.org/officeDocument/2006/relationships/hyperlink" Target="https://audio.jukehost.co.uk/XKtelkJu13b5nKGh6aunb9tDSqFjDEnF" TargetMode="External"/><Relationship Id="rId470" Type="http://schemas.openxmlformats.org/officeDocument/2006/relationships/hyperlink" Target="https://audio.jukehost.co.uk/uWATsBoBskVQc3bQxCBwfCBVps0WAHE8" TargetMode="External"/><Relationship Id="rId471" Type="http://schemas.openxmlformats.org/officeDocument/2006/relationships/hyperlink" Target="https://audio.jukehost.co.uk/sG8nEGgfW6KRBXZYRykOKinQieuHixEn" TargetMode="External"/><Relationship Id="rId472" Type="http://schemas.openxmlformats.org/officeDocument/2006/relationships/hyperlink" Target="https://audio.jukehost.co.uk/nCjt77eFht1pUe5031UaeGa86jnKs8gf" TargetMode="External"/><Relationship Id="rId473" Type="http://schemas.openxmlformats.org/officeDocument/2006/relationships/hyperlink" Target="https://audio.jukehost.co.uk/yUDmSh9JUSQ0iMDwEalT6nnYrpohM50F" TargetMode="External"/><Relationship Id="rId474" Type="http://schemas.openxmlformats.org/officeDocument/2006/relationships/hyperlink" Target="https://audio.jukehost.co.uk/GvaSPY020XsIaJjcKdnCcj15IKHnoPTH" TargetMode="External"/><Relationship Id="rId475" Type="http://schemas.openxmlformats.org/officeDocument/2006/relationships/hyperlink" Target="https://audio.jukehost.co.uk/FkRy1wCokMG1YglllTtbewjgOWpziy6u" TargetMode="External"/><Relationship Id="rId476" Type="http://schemas.openxmlformats.org/officeDocument/2006/relationships/hyperlink" Target="https://audio.jukehost.co.uk/MWzbPvs4pjGy6PTdm7RpjByqSiPOUgtn" TargetMode="External"/><Relationship Id="rId477" Type="http://schemas.openxmlformats.org/officeDocument/2006/relationships/hyperlink" Target="https://audio.jukehost.co.uk/roqW7Ww6PsYYqTJamgrLOCEKX8MdxOID" TargetMode="External"/><Relationship Id="rId478" Type="http://schemas.openxmlformats.org/officeDocument/2006/relationships/hyperlink" Target="https://audio.jukehost.co.uk/czazP2cLB5CB26VIULxyOX97Fj0FwvwQ" TargetMode="External"/><Relationship Id="rId479" Type="http://schemas.openxmlformats.org/officeDocument/2006/relationships/hyperlink" Target="https://audio.jukehost.co.uk/mLaoWI4NNj0m8BNtmL5jKSBb2vT0oZxk" TargetMode="External"/><Relationship Id="rId480" Type="http://schemas.openxmlformats.org/officeDocument/2006/relationships/hyperlink" Target="https://audio.jukehost.co.uk/iQnnz3W7qJu1k8DxJ7MnpzUXYFsBMV6P" TargetMode="External"/><Relationship Id="rId481" Type="http://schemas.openxmlformats.org/officeDocument/2006/relationships/hyperlink" Target="https://audio.jukehost.co.uk/bRXH3mtTPI9aYJ0NYVSIBjN8oSgxVjmB" TargetMode="External"/><Relationship Id="rId482" Type="http://schemas.openxmlformats.org/officeDocument/2006/relationships/hyperlink" Target="https://audio.jukehost.co.uk/TYpuxYKIplvvG1TuqMGm1wypj3G4mABy" TargetMode="External"/><Relationship Id="rId483" Type="http://schemas.openxmlformats.org/officeDocument/2006/relationships/hyperlink" Target="https://vgmtreasurechest.com/soundtracks/minecraft-gamerip-2011/audugduwgc/1-11.%2013.mp3" TargetMode="External"/><Relationship Id="rId484" Type="http://schemas.openxmlformats.org/officeDocument/2006/relationships/hyperlink" Target="https://audio.jukehost.co.uk/HSYuARz9AwsuSfhW9MWrNh3QMbAHQwAg" TargetMode="External"/><Relationship Id="rId485" Type="http://schemas.openxmlformats.org/officeDocument/2006/relationships/hyperlink" Target="https://vgmtreasurechest.com/soundtracks/minecraft-gamerip-2011/jtvbvnekbz/1-08.%20Dry%20Hands.mp3" TargetMode="External"/><Relationship Id="rId486" Type="http://schemas.openxmlformats.org/officeDocument/2006/relationships/hyperlink" Target="https://vgmtreasurechest.com/soundtracks/minecraft-gamerip-2011/dosaqaaqzp/1-01.%20Key.mp3" TargetMode="External"/><Relationship Id="rId487" Type="http://schemas.openxmlformats.org/officeDocument/2006/relationships/hyperlink" Target="https://audio.jukehost.co.uk/gsLzRIBoJGpoEbyxvMmbU8iCldLdxj3K" TargetMode="External"/><Relationship Id="rId488" Type="http://schemas.openxmlformats.org/officeDocument/2006/relationships/hyperlink" Target="https://vgmtreasurechest.com/soundtracks/minecraft-gamerip-2011/xulrsqrqwj/1-02.%20Subwoofer%20Lullaby.mp3" TargetMode="External"/><Relationship Id="rId489" Type="http://schemas.openxmlformats.org/officeDocument/2006/relationships/hyperlink" Target="https://vgmtreasurechest.com/soundtracks/minecraft-gamerip-2011/czcabeqevb/1-12.%20Sweden.mp3" TargetMode="External"/><Relationship Id="rId490" Type="http://schemas.openxmlformats.org/officeDocument/2006/relationships/hyperlink" Target="https://vgmtreasurechest.com/soundtracks/sweden-caution-crisis-remix-2011/auoxnltndo/01.%20Sweden%20%28Caution%20%26%20Crisis%20Remix%29.mp3" TargetMode="External"/><Relationship Id="rId491" Type="http://schemas.openxmlformats.org/officeDocument/2006/relationships/hyperlink" Target="https://vgmtreasurechest.com/soundtracks/minecraft-gamerip-2011/tqsspcaowj/1-09.%20Wet%20Hands.mp3" TargetMode="External"/><Relationship Id="rId492" Type="http://schemas.openxmlformats.org/officeDocument/2006/relationships/hyperlink" Target="https://audio.jukehost.co.uk/nlsjVVV4UCV3idCozdCx7AmXyIfSVJ3Q" TargetMode="External"/><Relationship Id="rId493" Type="http://schemas.openxmlformats.org/officeDocument/2006/relationships/hyperlink" Target="https://audio.jukehost.co.uk/sOAz4Fx6IHHsjf6BpC88V2ECbwPmFgcD" TargetMode="External"/><Relationship Id="rId494" Type="http://schemas.openxmlformats.org/officeDocument/2006/relationships/hyperlink" Target="https://audio.jukehost.co.uk/8FPWW0H6YvxElQqmgMLgdjrbNhWutVgD" TargetMode="External"/><Relationship Id="rId495" Type="http://schemas.openxmlformats.org/officeDocument/2006/relationships/hyperlink" Target="https://audio.jukehost.co.uk/b4iPbTOz0HYtaTjyswlqgXKGVrDncQHs" TargetMode="External"/><Relationship Id="rId496" Type="http://schemas.openxmlformats.org/officeDocument/2006/relationships/hyperlink" Target="https://audio.jukehost.co.uk/WQoU57RGuYgHoFVn7qlvQXhpJGFl0Ibq" TargetMode="External"/><Relationship Id="rId497" Type="http://schemas.openxmlformats.org/officeDocument/2006/relationships/hyperlink" Target="https://audio.jukehost.co.uk/yMOaXZYhYa57YVM0S5Fj0MWKQyTryw5I" TargetMode="External"/><Relationship Id="rId498" Type="http://schemas.openxmlformats.org/officeDocument/2006/relationships/hyperlink" Target="https://audio.jukehost.co.uk/cBX20tmmFU8lEeMBbNR8dv8ZGuW7cBqP" TargetMode="External"/><Relationship Id="rId499" Type="http://schemas.openxmlformats.org/officeDocument/2006/relationships/hyperlink" Target="https://audio.jukehost.co.uk/yMOaXZYhYa57YVM0S5Fj0MWKQyTryw5I" TargetMode="External"/><Relationship Id="rId500" Type="http://schemas.openxmlformats.org/officeDocument/2006/relationships/hyperlink" Target="https://audio.jukehost.co.uk/AFpcVsDcBK9q6fD1JVycDX5oDtRH3p8H" TargetMode="External"/><Relationship Id="rId501" Type="http://schemas.openxmlformats.org/officeDocument/2006/relationships/hyperlink" Target="https://audio.jukehost.co.uk/DTYSvntoic3Qaur1dBZI2EdaRyR6uuND" TargetMode="External"/><Relationship Id="rId502" Type="http://schemas.openxmlformats.org/officeDocument/2006/relationships/hyperlink" Target="https://audio.jukehost.co.uk/f4w3qBt8MHAUAG9lWLKkABKqclYI0qcv" TargetMode="External"/><Relationship Id="rId503" Type="http://schemas.openxmlformats.org/officeDocument/2006/relationships/hyperlink" Target="https://audio.jukehost.co.uk/013xVvvD3yNKGBVTV1RgERwZ8NhExpo9" TargetMode="External"/><Relationship Id="rId504" Type="http://schemas.openxmlformats.org/officeDocument/2006/relationships/hyperlink" Target="https://audio.jukehost.co.uk/w6KnxMtkimivqeyC6BZxcj4AmdGuvcm3" TargetMode="External"/><Relationship Id="rId505" Type="http://schemas.openxmlformats.org/officeDocument/2006/relationships/hyperlink" Target="https://audio.jukehost.co.uk/oS4catO8OoPsWPYUEL5NNtpEtmfeSuZr" TargetMode="External"/><Relationship Id="rId506" Type="http://schemas.openxmlformats.org/officeDocument/2006/relationships/hyperlink" Target="https://audio.jukehost.co.uk/Fa0gLiFGrK4y6LCzPrO7Lhf9xCst3ve7" TargetMode="External"/><Relationship Id="rId507" Type="http://schemas.openxmlformats.org/officeDocument/2006/relationships/hyperlink" Target="https://audio.jukehost.co.uk/VArWsOal7EpBGj16bXxYk0gHYHh25dav" TargetMode="External"/><Relationship Id="rId508" Type="http://schemas.openxmlformats.org/officeDocument/2006/relationships/hyperlink" Target="https://audio.jukehost.co.uk/ANDa1lqrpJeft24lHqsUYTToTqSNg2q6" TargetMode="External"/><Relationship Id="rId509" Type="http://schemas.openxmlformats.org/officeDocument/2006/relationships/hyperlink" Target="https://audio.jukehost.co.uk/ctlycNBUowMpTylLe4C7Ov2NVYehTZnx" TargetMode="External"/><Relationship Id="rId510" Type="http://schemas.openxmlformats.org/officeDocument/2006/relationships/hyperlink" Target="https://audio.jukehost.co.uk/1Xy1zQd41CUQdfzbMcCdnQcGdHNRBTJf" TargetMode="External"/><Relationship Id="rId511" Type="http://schemas.openxmlformats.org/officeDocument/2006/relationships/hyperlink" Target="https://audio.jukehost.co.uk/FrUGvGin6ZHQ1qzn5hQm3WWUghVPylaN" TargetMode="External"/><Relationship Id="rId512" Type="http://schemas.openxmlformats.org/officeDocument/2006/relationships/hyperlink" Target="https://audio.jukehost.co.uk/esdrNhEAY9Quvv28jqvFS8QdlgidBSL7" TargetMode="External"/><Relationship Id="rId513" Type="http://schemas.openxmlformats.org/officeDocument/2006/relationships/hyperlink" Target="https://audio.jukehost.co.uk/3P0fxI3Sq385ez1gGtyyt5AaYA8jTXlh" TargetMode="External"/><Relationship Id="rId514" Type="http://schemas.openxmlformats.org/officeDocument/2006/relationships/hyperlink" Target="https://audio.jukehost.co.uk/1yG1DNgKumDIytg1L5tg2k4eHvDXGG8J" TargetMode="External"/><Relationship Id="rId515" Type="http://schemas.openxmlformats.org/officeDocument/2006/relationships/hyperlink" Target="https://audio.jukehost.co.uk/byXw7onDFagSdCNEDVw5RLzJ9LRVnxsU" TargetMode="External"/><Relationship Id="rId516" Type="http://schemas.openxmlformats.org/officeDocument/2006/relationships/hyperlink" Target="https://audio.jukehost.co.uk/Og4MpAmfxs7A09MICEHI12LozH6QGPQD" TargetMode="External"/><Relationship Id="rId517" Type="http://schemas.openxmlformats.org/officeDocument/2006/relationships/hyperlink" Target="https://audio.jukehost.co.uk/2ccJLFomgf5fgcGiR5Cq9Bov7tL7m5f4" TargetMode="External"/><Relationship Id="rId518" Type="http://schemas.openxmlformats.org/officeDocument/2006/relationships/hyperlink" Target="https://audio.jukehost.co.uk/VyPiiv8dSwSIPnENMalsSvJsNYxyFu8g" TargetMode="External"/><Relationship Id="rId519" Type="http://schemas.openxmlformats.org/officeDocument/2006/relationships/hyperlink" Target="https://audio.jukehost.co.uk/GSCV6rjGZMwzKjldKT120kD2L52lfwof" TargetMode="External"/><Relationship Id="rId520" Type="http://schemas.openxmlformats.org/officeDocument/2006/relationships/hyperlink" Target="https://audio.jukehost.co.uk/tg6V6j0c5LAdJqjELaCe9eRaBS9cVFwH" TargetMode="External"/><Relationship Id="rId521" Type="http://schemas.openxmlformats.org/officeDocument/2006/relationships/hyperlink" Target="https://audio.jukehost.co.uk/iNNKfR26dWufjUdEJ9kpA3RXOxHGWOQ2" TargetMode="External"/><Relationship Id="rId522" Type="http://schemas.openxmlformats.org/officeDocument/2006/relationships/hyperlink" Target="https://www.youtube.com/watch?v=_gIlIOasfG4" TargetMode="External"/><Relationship Id="rId523" Type="http://schemas.openxmlformats.org/officeDocument/2006/relationships/hyperlink" Target="https://audio.jukehost.co.uk/qzx4cOp7nVc0CO0t1efH04VJqibDu40u" TargetMode="External"/><Relationship Id="rId524" Type="http://schemas.openxmlformats.org/officeDocument/2006/relationships/hyperlink" Target="https://audio.jukehost.co.uk/YEIdQXRKI6YrY4yFyHfz4Un6EZK2G2kJ" TargetMode="External"/><Relationship Id="rId525" Type="http://schemas.openxmlformats.org/officeDocument/2006/relationships/hyperlink" Target="https://www.youtube.com/watch?v=wuA_ReL_YlU" TargetMode="External"/><Relationship Id="rId526" Type="http://schemas.openxmlformats.org/officeDocument/2006/relationships/hyperlink" Target="https://www.youtube.com/watch?v=S4LyHdlN9_o" TargetMode="External"/><Relationship Id="rId527" Type="http://schemas.openxmlformats.org/officeDocument/2006/relationships/hyperlink" Target="https://audio.jukehost.co.uk/mQ68hGz8xlF88I9dHvAsJXnMtUcFs8oH" TargetMode="External"/><Relationship Id="rId528" Type="http://schemas.openxmlformats.org/officeDocument/2006/relationships/hyperlink" Target="https://audio.jukehost.co.uk/RHjarceyKkNAKSrWjh1lGteon8x25L5I" TargetMode="External"/><Relationship Id="rId529" Type="http://schemas.openxmlformats.org/officeDocument/2006/relationships/hyperlink" Target="https://lambda.vgmtreasurechest.com/soundtracks/octopath-traveler-original-soundtrack-2018/efoeelpr/1-06%20Primrose%2C%20the%20Dancer.mp3" TargetMode="External"/><Relationship Id="rId530" Type="http://schemas.openxmlformats.org/officeDocument/2006/relationships/hyperlink" Target="https://audio.jukehost.co.uk/Jf6j5B32OytImzHjHGGtubA2F1UlJcqk" TargetMode="External"/><Relationship Id="rId531" Type="http://schemas.openxmlformats.org/officeDocument/2006/relationships/hyperlink" Target="https://audio.jukehost.co.uk/Wi3H2XB64wfgp6xxqO0jNAp70dtFRzg2" TargetMode="External"/><Relationship Id="rId532" Type="http://schemas.openxmlformats.org/officeDocument/2006/relationships/hyperlink" Target="https://audio.jukehost.co.uk/v3942Fxz5Gtg0J2gVao3FAkQVNKpCo3A" TargetMode="External"/><Relationship Id="rId533" Type="http://schemas.openxmlformats.org/officeDocument/2006/relationships/hyperlink" Target="https://audio.jukehost.co.uk/780Zji4uJFLpi29B9WwScBItdY8lodmy" TargetMode="External"/><Relationship Id="rId534" Type="http://schemas.openxmlformats.org/officeDocument/2006/relationships/hyperlink" Target="https://audio.jukehost.co.uk/3D5LrtDLFwL4ThUbiA1xzTSjiPpZ5mV4" TargetMode="External"/><Relationship Id="rId535" Type="http://schemas.openxmlformats.org/officeDocument/2006/relationships/hyperlink" Target="https://audio.jukehost.co.uk/Jxugvk8Eaqu3NecJHnvMur7itqTfdQ9P" TargetMode="External"/><Relationship Id="rId536" Type="http://schemas.openxmlformats.org/officeDocument/2006/relationships/hyperlink" Target="https://audio.jukehost.co.uk/NZJHk2aEvfJzPYZz2mJCLBydLHlsz6E5" TargetMode="External"/><Relationship Id="rId537" Type="http://schemas.openxmlformats.org/officeDocument/2006/relationships/hyperlink" Target="https://audio.jukehost.co.uk/JrlqUilWhziNjjD77fTyg1kMWOfVGAg4" TargetMode="External"/><Relationship Id="rId538" Type="http://schemas.openxmlformats.org/officeDocument/2006/relationships/hyperlink" Target="https://audio.jukehost.co.uk/57bw1zMXfCmhp171fDiRZglQ07VrlRf4" TargetMode="External"/><Relationship Id="rId539" Type="http://schemas.openxmlformats.org/officeDocument/2006/relationships/hyperlink" Target="https://audio.jukehost.co.uk/ISdgrUFgjU836t6qTWn2AbdBIeH8vJ1L" TargetMode="External"/><Relationship Id="rId540" Type="http://schemas.openxmlformats.org/officeDocument/2006/relationships/hyperlink" Target="https://audio.jukehost.co.uk/zCVCTmOuBxs4xw5ZLjUMyThboT8L8P8I" TargetMode="External"/><Relationship Id="rId541" Type="http://schemas.openxmlformats.org/officeDocument/2006/relationships/hyperlink" Target="https://audio.jukehost.co.uk/dcA30yiFoxM0RqnNZYYxOZvagDbNrCYO" TargetMode="External"/><Relationship Id="rId542" Type="http://schemas.openxmlformats.org/officeDocument/2006/relationships/hyperlink" Target="https://audio.jukehost.co.uk/iU6hTKUIEu0iSPDITUG3lRRS1Ir4TFOn" TargetMode="External"/><Relationship Id="rId543" Type="http://schemas.openxmlformats.org/officeDocument/2006/relationships/hyperlink" Target="https://audio.jukehost.co.uk/CsV4ZYlVa2xoUTQjMFntNxbUxegveIbj" TargetMode="External"/><Relationship Id="rId544" Type="http://schemas.openxmlformats.org/officeDocument/2006/relationships/hyperlink" Target="https://audio.jukehost.co.uk/pkWtURuUqjjjrKzSJdh8CRmxxQWnvBA2" TargetMode="External"/><Relationship Id="rId545" Type="http://schemas.openxmlformats.org/officeDocument/2006/relationships/hyperlink" Target="https://audio.jukehost.co.uk/VHVfUXppO610EfDh28HwNeXXviInaQZW" TargetMode="External"/><Relationship Id="rId546" Type="http://schemas.openxmlformats.org/officeDocument/2006/relationships/hyperlink" Target="https://audio.jukehost.co.uk/lYbZdihVgn4Zpvt8WLrTgNOVRMJvjQTq" TargetMode="External"/><Relationship Id="rId547" Type="http://schemas.openxmlformats.org/officeDocument/2006/relationships/hyperlink" Target="https://audio.jukehost.co.uk/t0wRIfa7UWjC0guV1SjhzxnM0geJ2fae" TargetMode="External"/><Relationship Id="rId548" Type="http://schemas.openxmlformats.org/officeDocument/2006/relationships/hyperlink" Target="https://audio.jukehost.co.uk/JIIG9Wdmway83faq523tdtcjxXNxoUJg" TargetMode="External"/><Relationship Id="rId549" Type="http://schemas.openxmlformats.org/officeDocument/2006/relationships/hyperlink" Target="https://audio.jukehost.co.uk/FZiP1HdWcnUTwEvdGsntzqBH4AEa64Oi" TargetMode="External"/><Relationship Id="rId550" Type="http://schemas.openxmlformats.org/officeDocument/2006/relationships/hyperlink" Target="https://audio.jukehost.co.uk/low7URjGbEoGWLJDjWD2a2z9ihruymP4" TargetMode="External"/><Relationship Id="rId551" Type="http://schemas.openxmlformats.org/officeDocument/2006/relationships/hyperlink" Target="https://audio.jukehost.co.uk/bdLdpohMJjMhyAp3guDkbGgudwBWiEgz" TargetMode="External"/><Relationship Id="rId552" Type="http://schemas.openxmlformats.org/officeDocument/2006/relationships/hyperlink" Target="https://audio.jukehost.co.uk/X8phW3HdSs0tSbl7ygsNZjQIadqgxhoi" TargetMode="External"/><Relationship Id="rId553" Type="http://schemas.openxmlformats.org/officeDocument/2006/relationships/hyperlink" Target="https://audio.jukehost.co.uk/4QzXc3MSach2wpBg4sWV8WejbSZEor01" TargetMode="External"/><Relationship Id="rId554" Type="http://schemas.openxmlformats.org/officeDocument/2006/relationships/hyperlink" Target="https://audio.jukehost.co.uk/mteNTqRWU9upbVyYQFw91jalPEsYCmqS" TargetMode="External"/><Relationship Id="rId555" Type="http://schemas.openxmlformats.org/officeDocument/2006/relationships/hyperlink" Target="https://audio.jukehost.co.uk/5ppeC2DWQcsKzT9zkKRSUeeoTx2Vz4nJ" TargetMode="External"/><Relationship Id="rId556" Type="http://schemas.openxmlformats.org/officeDocument/2006/relationships/hyperlink" Target="https://audio.jukehost.co.uk/oGa1tpcpmY7FGMeIDcwOqcAT7PfEMkFo" TargetMode="External"/><Relationship Id="rId557" Type="http://schemas.openxmlformats.org/officeDocument/2006/relationships/hyperlink" Target="https://audio.jukehost.co.uk/rKi0hxmUTftTGM2fjq18V8M9XpPGydkD" TargetMode="External"/><Relationship Id="rId558" Type="http://schemas.openxmlformats.org/officeDocument/2006/relationships/hyperlink" Target="https://audio.jukehost.co.uk/UtllOMckjrs6vtM4ew70n342oKKKTAG9" TargetMode="External"/><Relationship Id="rId559" Type="http://schemas.openxmlformats.org/officeDocument/2006/relationships/hyperlink" Target="https://audio.jukehost.co.uk/utjYuVC0yLVpaGT4eHXkugcucU6oNUrA" TargetMode="External"/><Relationship Id="rId560" Type="http://schemas.openxmlformats.org/officeDocument/2006/relationships/hyperlink" Target="https://lambda.vgmtreasurechest.com/soundtracks/outer-wilds-original-soundtrack/ixnvojdq/10.%20End%20Times.mp3" TargetMode="External"/><Relationship Id="rId561" Type="http://schemas.openxmlformats.org/officeDocument/2006/relationships/hyperlink" Target="https://lambda.vgmtreasurechest.com/soundtracks/outer-wilds-original-soundtrack/pjaaacjo/02.%20Outer%20Wilds.mp3" TargetMode="External"/><Relationship Id="rId562" Type="http://schemas.openxmlformats.org/officeDocument/2006/relationships/hyperlink" Target="https://lambda.vgmtreasurechest.com/soundtracks/outer-wilds-original-soundtrack/nrvbvzmk/20.%20Travelers.mp3" TargetMode="External"/><Relationship Id="rId563" Type="http://schemas.openxmlformats.org/officeDocument/2006/relationships/hyperlink" Target="https://audio.jukehost.co.uk/pF7HrZK4E2y7uWcdxnSK44lTTbMfP03D" TargetMode="External"/><Relationship Id="rId564" Type="http://schemas.openxmlformats.org/officeDocument/2006/relationships/hyperlink" Target="https://jetta.vgmtreasurechest.com/soundtracks/outer-wilds-echoes-of-the-eye-the-lost-reels-deluxe-original-game-soundtrack-2022/ezirkbaz/02.%20The%20River.mp3" TargetMode="External"/><Relationship Id="rId565" Type="http://schemas.openxmlformats.org/officeDocument/2006/relationships/hyperlink" Target="https://jetta.vgmtreasurechest.com/soundtracks/outer-wilds-echoes-of-the-eye-the-lost-reels-deluxe-original-game-soundtrack-2022/juwzipze/21.%20Travelers%27%20encore.mp3" TargetMode="External"/><Relationship Id="rId566" Type="http://schemas.openxmlformats.org/officeDocument/2006/relationships/hyperlink" Target="https://audio.jukehost.co.uk/6bt3rhW0MhlBP0DVqQra8HmaN5zcWISy" TargetMode="External"/><Relationship Id="rId567" Type="http://schemas.openxmlformats.org/officeDocument/2006/relationships/hyperlink" Target="https://audio.jukehost.co.uk/k2jHOUFZVPeW7TArfoyMFk20263j2H9e" TargetMode="External"/><Relationship Id="rId568" Type="http://schemas.openxmlformats.org/officeDocument/2006/relationships/hyperlink" Target="https://vgmtreasurechest.com/soundtracks/palworld-2024/pylunpmrds/01.%20The%20Beginning.mp3" TargetMode="External"/><Relationship Id="rId569" Type="http://schemas.openxmlformats.org/officeDocument/2006/relationships/hyperlink" Target="https://audio.jukehost.co.uk/x05I4NyhIZB0ntOYsYA2fyvYoXXaNg9P" TargetMode="External"/><Relationship Id="rId570" Type="http://schemas.openxmlformats.org/officeDocument/2006/relationships/hyperlink" Target="https://audio.jukehost.co.uk/FMl0acrA8wRmHl0Cu4lbbfx9ZMp1Qkwc" TargetMode="External"/><Relationship Id="rId571" Type="http://schemas.openxmlformats.org/officeDocument/2006/relationships/hyperlink" Target="https://audio.jukehost.co.uk/hJRxmApNbKQCkaORsjWhYeOUjZJcZvEe" TargetMode="External"/><Relationship Id="rId572" Type="http://schemas.openxmlformats.org/officeDocument/2006/relationships/hyperlink" Target="https://downloads.khinsider.com/game-soundtracks/album/persona-1-the-complete-soundtrack/3-009.%2520A%2520Lone%2520Prayer.mp3" TargetMode="External"/><Relationship Id="rId573" Type="http://schemas.openxmlformats.org/officeDocument/2006/relationships/hyperlink" Target="https://nu.vgmtreasurechest.com/soundtracks/persona-1-the-complete-soundtrack/ujioufui/3-009.%20A%20Lone%20Prayer.mp3" TargetMode="External"/><Relationship Id="rId574" Type="http://schemas.openxmlformats.org/officeDocument/2006/relationships/hyperlink" Target="https://audio.jukehost.co.uk/hLhTLkAvS1UiMoxtWeLpbaTlOFl5zhEJ" TargetMode="External"/><Relationship Id="rId575" Type="http://schemas.openxmlformats.org/officeDocument/2006/relationships/hyperlink" Target="https://audio.jukehost.co.uk/6jyB11ZKLsw3oqTYcT5cvldA2h3bPFzV" TargetMode="External"/><Relationship Id="rId576" Type="http://schemas.openxmlformats.org/officeDocument/2006/relationships/hyperlink" Target="https://audio.jukehost.co.uk/x4IoLmfmyQJFXqyCZQAYCDA2a2Dr9eoP" TargetMode="External"/><Relationship Id="rId577" Type="http://schemas.openxmlformats.org/officeDocument/2006/relationships/hyperlink" Target="https://audio.jukehost.co.uk/6GGCKL9A6vJbJhvjpj4su1iIy29hTET7" TargetMode="External"/><Relationship Id="rId578" Type="http://schemas.openxmlformats.org/officeDocument/2006/relationships/hyperlink" Target="https://audio.jukehost.co.uk/RBHRrIy90owxx1KapBTKKlH4P1rJQ5Vd" TargetMode="External"/><Relationship Id="rId579" Type="http://schemas.openxmlformats.org/officeDocument/2006/relationships/hyperlink" Target="https://audio.jukehost.co.uk/JyEKioNKEOgikaEhXQRaRjp2CLPKVmNr" TargetMode="External"/><Relationship Id="rId580" Type="http://schemas.openxmlformats.org/officeDocument/2006/relationships/hyperlink" Target="https://audio.jukehost.co.uk/nX5iDsb9Cs3lgpa3fg7ZUWO8whcaeCCd" TargetMode="External"/><Relationship Id="rId581" Type="http://schemas.openxmlformats.org/officeDocument/2006/relationships/hyperlink" Target="https://nu.vgmtreasurechest.com/soundtracks/persona-3-reload-ps4-ps5-windows-xbox-one-xbox-series-xs-gamerip-2024/konycrck/44.%20tartarus_0d01.mp3" TargetMode="External"/><Relationship Id="rId582" Type="http://schemas.openxmlformats.org/officeDocument/2006/relationships/hyperlink" Target="https://audio.jukehost.co.uk/E83POmbHEHauyIxk0OvNME6xXfO4qAzf" TargetMode="External"/><Relationship Id="rId583" Type="http://schemas.openxmlformats.org/officeDocument/2006/relationships/hyperlink" Target="https://audio.jukehost.co.uk/jR7WxbnMSan6KP6CGj0Y44bmOQXt8ZAc" TargetMode="External"/><Relationship Id="rId584" Type="http://schemas.openxmlformats.org/officeDocument/2006/relationships/hyperlink" Target="https://audio.jukehost.co.uk/vksrycqVcFyVOJqgF7DH6crwLUjRM4Rv" TargetMode="External"/><Relationship Id="rId585" Type="http://schemas.openxmlformats.org/officeDocument/2006/relationships/hyperlink" Target="https://audio.jukehost.co.uk/Djozqqs3cZwPKpckhGt7iy8F2WSSG23B" TargetMode="External"/><Relationship Id="rId586" Type="http://schemas.openxmlformats.org/officeDocument/2006/relationships/hyperlink" Target="https://audio.jukehost.co.uk/7zHiY3yN9RNNdQ9xLquXnJi6EmDTHQXz" TargetMode="External"/><Relationship Id="rId587" Type="http://schemas.openxmlformats.org/officeDocument/2006/relationships/hyperlink" Target="https://audio.jukehost.co.uk/lx15NBmR4jaJDzU6dCo83Na48922avVo" TargetMode="External"/><Relationship Id="rId588" Type="http://schemas.openxmlformats.org/officeDocument/2006/relationships/hyperlink" Target="https://downloads.khinsider.com/game-soundtracks/album/persona-4-dancing-all-night-the-complete-soundtrack/01.%2520Dance%2521.mp3" TargetMode="External"/><Relationship Id="rId589" Type="http://schemas.openxmlformats.org/officeDocument/2006/relationships/hyperlink" Target="https://jetta.vgmtreasurechest.com/soundtracks/persona-4-dancing-all-night-the-complete-soundtrack/nknkkuse/01.%20Dance%21.mp3" TargetMode="External"/><Relationship Id="rId590" Type="http://schemas.openxmlformats.org/officeDocument/2006/relationships/hyperlink" Target="https://downloads.khinsider.com/game-soundtracks/album/persona-4-dancing-all-night-the-complete-soundtrack/25.%2520Specialist%2520%2528Never%2520More%2520P4D-EDIT%2520ver.%2529.mp3" TargetMode="External"/><Relationship Id="rId591" Type="http://schemas.openxmlformats.org/officeDocument/2006/relationships/hyperlink" Target="https://jetta.vgmtreasurechest.com/soundtracks/persona-4-dancing-all-night-the-complete-soundtrack/wdbvxeaq/25.%20Specialist%20%28Never%20More%20P4D-EDIT%20ver.%29.mp3" TargetMode="External"/><Relationship Id="rId592" Type="http://schemas.openxmlformats.org/officeDocument/2006/relationships/hyperlink" Target="https://downloads.khinsider.com/game-soundtracks/album/persona-4-golden-the-complete-soundtrack/2-01.%2520Shadow%2520World.mp3" TargetMode="External"/><Relationship Id="rId593" Type="http://schemas.openxmlformats.org/officeDocument/2006/relationships/hyperlink" Target="https://audio.jukehost.co.uk/z8KOQTtMH2LwiKnVXNOiu0hDHvBGVeH8" TargetMode="External"/><Relationship Id="rId594" Type="http://schemas.openxmlformats.org/officeDocument/2006/relationships/hyperlink" Target="https://downloads.khinsider.com/game-soundtracks/album/persona-5-royal-the-complete-soundtrack/1-08.%2520Aria%2520of%2520the%2520Soul.mp3" TargetMode="External"/><Relationship Id="rId595" Type="http://schemas.openxmlformats.org/officeDocument/2006/relationships/hyperlink" Target="https://lambda.vgmtreasurechest.com/soundtracks/persona-5-royal-the-complete-soundtrack/aaacksim/1-08.%20Aria%20of%20the%20Soul.mp3" TargetMode="External"/><Relationship Id="rId596" Type="http://schemas.openxmlformats.org/officeDocument/2006/relationships/hyperlink" Target="https://downloads.khinsider.com/game-soundtracks/album/persona-5-royal-the-complete-soundtrack/1-29.%2520Beneath%2520the%2520Mask.mp3" TargetMode="External"/><Relationship Id="rId597" Type="http://schemas.openxmlformats.org/officeDocument/2006/relationships/hyperlink" Target="https://lambda.vgmtreasurechest.com/soundtracks/persona-5-royal-the-complete-soundtrack/meknlooc/1-29.%20Beneath%20the%20Mask.mp3" TargetMode="External"/><Relationship Id="rId598" Type="http://schemas.openxmlformats.org/officeDocument/2006/relationships/hyperlink" Target="https://downloads.khinsider.com/game-soundtracks/album/persona-5-royal-the-complete-soundtrack/1-17.%2520Last%2520Surprise.mp3" TargetMode="External"/><Relationship Id="rId599" Type="http://schemas.openxmlformats.org/officeDocument/2006/relationships/hyperlink" Target="https://lambda.vgmtreasurechest.com/soundtracks/persona-5-royal-the-complete-soundtrack/lznrveie/1-17.%20Last%20Surprise.mp3" TargetMode="External"/><Relationship Id="rId600" Type="http://schemas.openxmlformats.org/officeDocument/2006/relationships/hyperlink" Target="https://downloads.khinsider.com/game-soundtracks/album/persona-5-royal-the-complete-soundtrack/2-16.%2520Price.mp3" TargetMode="External"/><Relationship Id="rId601" Type="http://schemas.openxmlformats.org/officeDocument/2006/relationships/hyperlink" Target="https://lambda.vgmtreasurechest.com/soundtracks/persona-5-royal-the-complete-soundtrack/nohtvzka/2-16.%20Price.mp3" TargetMode="External"/><Relationship Id="rId602" Type="http://schemas.openxmlformats.org/officeDocument/2006/relationships/hyperlink" Target="https://downloads.khinsider.com/game-soundtracks/album/persona-5-royal-the-complete-soundtrack/3-22.%2520Rivers%2520in%2520the%2520Desert.mp3" TargetMode="External"/><Relationship Id="rId603" Type="http://schemas.openxmlformats.org/officeDocument/2006/relationships/hyperlink" Target="https://lambda.vgmtreasurechest.com/soundtracks/persona-5-royal-the-complete-soundtrack/xagixnvo/3-22.%20Rivers%20in%20the%20Desert.mp3" TargetMode="External"/><Relationship Id="rId604" Type="http://schemas.openxmlformats.org/officeDocument/2006/relationships/hyperlink" Target="https://downloads.khinsider.com/game-soundtracks/album/persona-5-royal-the-complete-soundtrack/3-10.%2520The%2520Whims%2520of%2520Fate.mp3" TargetMode="External"/><Relationship Id="rId605" Type="http://schemas.openxmlformats.org/officeDocument/2006/relationships/hyperlink" Target="https://audio.jukehost.co.uk/pPbefGC8MPNHP4Ce0M5O7b7VHkdfHYBa" TargetMode="External"/><Relationship Id="rId606" Type="http://schemas.openxmlformats.org/officeDocument/2006/relationships/hyperlink" Target="https://downloads.khinsider.com/game-soundtracks/album/persona-5-royal-the-complete-soundtrack/1-01.%2520Wake%2520Up%252C%2520Get%2520Up%252C%2520Get%2520Out%2520There.mp3" TargetMode="External"/><Relationship Id="rId607" Type="http://schemas.openxmlformats.org/officeDocument/2006/relationships/hyperlink" Target="https://audio.jukehost.co.uk/OoTbHpXrTO3S8XwtPVcFO96HBbFvaskZ" TargetMode="External"/><Relationship Id="rId608" Type="http://schemas.openxmlformats.org/officeDocument/2006/relationships/hyperlink" Target="https://audio.jukehost.co.uk/0W7x46iJvfr1Jcea8p8XeoE1gmuH1lhi" TargetMode="External"/><Relationship Id="rId609" Type="http://schemas.openxmlformats.org/officeDocument/2006/relationships/hyperlink" Target="https://downloads.khinsider.com/game-soundtracks/album/persona-5-royal-the-complete-soundtrack/5-04.%2520Another%2520Ideology.mp3" TargetMode="External"/><Relationship Id="rId610" Type="http://schemas.openxmlformats.org/officeDocument/2006/relationships/hyperlink" Target="https://lambda.vgmtreasurechest.com/soundtracks/persona-5-royal-the-complete-soundtrack/vltikbcf/5-04.%20Another%20Ideology.mp3" TargetMode="External"/><Relationship Id="rId611" Type="http://schemas.openxmlformats.org/officeDocument/2006/relationships/hyperlink" Target="https://downloads.khinsider.com/game-soundtracks/album/persona-5-royal-the-complete-soundtrack/5-03.%2520Gentle%2520Madman.mp3" TargetMode="External"/><Relationship Id="rId612" Type="http://schemas.openxmlformats.org/officeDocument/2006/relationships/hyperlink" Target="https://lambda.vgmtreasurechest.com/soundtracks/persona-5-royal-the-complete-soundtrack/kqzacmdg/5-03.%20Gentle%20Madman.mp3" TargetMode="External"/><Relationship Id="rId613" Type="http://schemas.openxmlformats.org/officeDocument/2006/relationships/hyperlink" Target="https://downloads.khinsider.com/game-soundtracks/album/persona-5-royal-the-complete-soundtrack/5-08.%2520I%2520believe.mp3" TargetMode="External"/><Relationship Id="rId614" Type="http://schemas.openxmlformats.org/officeDocument/2006/relationships/hyperlink" Target="https://audio.jukehost.co.uk/PzRwjxxII8mucMATKZprh26MidYBqWYm" TargetMode="External"/><Relationship Id="rId615" Type="http://schemas.openxmlformats.org/officeDocument/2006/relationships/hyperlink" Target="https://downloads.khinsider.com/game-soundtracks/album/persona-5-royal-the-complete-soundtrack/4-03.%2520Take%2520Over.mp3" TargetMode="External"/><Relationship Id="rId616" Type="http://schemas.openxmlformats.org/officeDocument/2006/relationships/hyperlink" Target="https://lambda.vgmtreasurechest.com/soundtracks/persona-5-royal-the-complete-soundtrack/jslaxiys/4-03.%20Take%20Over.mp3" TargetMode="External"/><Relationship Id="rId617" Type="http://schemas.openxmlformats.org/officeDocument/2006/relationships/hyperlink" Target="https://audio.jukehost.co.uk/1NUvY9wCztH541AfqILpxLA365FmxtEU" TargetMode="External"/><Relationship Id="rId618" Type="http://schemas.openxmlformats.org/officeDocument/2006/relationships/hyperlink" Target="https://audio.jukehost.co.uk/UfW4naw5PZYDweqfh6DNN8fs2j7spLl0" TargetMode="External"/><Relationship Id="rId619" Type="http://schemas.openxmlformats.org/officeDocument/2006/relationships/hyperlink" Target="https://audio.jukehost.co.uk/r8zrvh6xTLhXYa61mYEbvTNahzmrFOqt" TargetMode="External"/><Relationship Id="rId620" Type="http://schemas.openxmlformats.org/officeDocument/2006/relationships/hyperlink" Target="https://audio.jukehost.co.uk/avNKmwRyb75lekzHuFKNSOkSnUH9bu9n" TargetMode="External"/><Relationship Id="rId621" Type="http://schemas.openxmlformats.org/officeDocument/2006/relationships/hyperlink" Target="https://audio.jukehost.co.uk/aaDpWbGwXYvnzHps14ioTxE6jKOrbN9t" TargetMode="External"/><Relationship Id="rId622" Type="http://schemas.openxmlformats.org/officeDocument/2006/relationships/hyperlink" Target="https://audio.jukehost.co.uk/5zG6fvWAJDif1tivZoXs8ahSHXQoYPq2" TargetMode="External"/><Relationship Id="rId623" Type="http://schemas.openxmlformats.org/officeDocument/2006/relationships/hyperlink" Target="https://audio.jukehost.co.uk/lgTzIqySH6dto46P6kSTvGNEeRREvu59" TargetMode="External"/><Relationship Id="rId624" Type="http://schemas.openxmlformats.org/officeDocument/2006/relationships/hyperlink" Target="https://audio.jukehost.co.uk/bQtPhcFFoMdieJLe7CTsbwTb8mq9TB0S" TargetMode="External"/><Relationship Id="rId625" Type="http://schemas.openxmlformats.org/officeDocument/2006/relationships/hyperlink" Target="https://audio.jukehost.co.uk/bZT1fNnUgY2UkUPOtuaualqaqIsUM6z5" TargetMode="External"/><Relationship Id="rId626" Type="http://schemas.openxmlformats.org/officeDocument/2006/relationships/hyperlink" Target="https://downloads.khinsider.com/game-soundtracks/album/pokemon-red-green-blue-yellow/01.%2520Opening%2520Movie%2520%2528Red%252C%2520Green%2520%2526%2520Blue%2520Version%2529.mp3" TargetMode="External"/><Relationship Id="rId627" Type="http://schemas.openxmlformats.org/officeDocument/2006/relationships/hyperlink" Target="https://downloads.khinsider.com/game-soundtracks/album/pokemon-red-green-blue-yellow/03%2520Title%2520Screen.mp3" TargetMode="External"/><Relationship Id="rId628" Type="http://schemas.openxmlformats.org/officeDocument/2006/relationships/hyperlink" Target="https://downloads.khinsider.com/game-soundtracks/album/pokemon-red-green-blue-yellow/04%2520Pallet%2520Town.mp3" TargetMode="External"/><Relationship Id="rId629" Type="http://schemas.openxmlformats.org/officeDocument/2006/relationships/hyperlink" Target="https://downloads.khinsider.com/game-soundtracks/album/pokemon-red-green-blue-yellow/06.%2520Hurry%2520Along.mp3" TargetMode="External"/><Relationship Id="rId630" Type="http://schemas.openxmlformats.org/officeDocument/2006/relationships/hyperlink" Target="https://downloads.khinsider.com/game-soundtracks/album/pokemon-red-green-blue-yellow/07.%2520Pok%25C3%25A9mon%2520Lab.mp3" TargetMode="External"/><Relationship Id="rId631" Type="http://schemas.openxmlformats.org/officeDocument/2006/relationships/hyperlink" Target="https://downloads.khinsider.com/game-soundtracks/album/pokemon-red-green-blue-yellow/09.%2520Rival%2520Appears%2521.mp3" TargetMode="External"/><Relationship Id="rId632" Type="http://schemas.openxmlformats.org/officeDocument/2006/relationships/hyperlink" Target="https://downloads.khinsider.com/game-soundtracks/album/pokemon-red-green-blue-yellow/12.%2520Victory%2521%2520%2528Trainer%2520Battle%2529.mp3" TargetMode="External"/><Relationship Id="rId633" Type="http://schemas.openxmlformats.org/officeDocument/2006/relationships/hyperlink" Target="https://downloads.khinsider.com/game-soundtracks/album/pokemon-red-green-blue-yellow/17%2520Viridian%2520City.mp3" TargetMode="External"/><Relationship Id="rId634" Type="http://schemas.openxmlformats.org/officeDocument/2006/relationships/hyperlink" Target="https://downloads.khinsider.com/game-soundtracks/album/pokemon-red-green-blue-yellow/18%2520Pok%25C3%25A9mon%2520Center.mp3" TargetMode="External"/><Relationship Id="rId635" Type="http://schemas.openxmlformats.org/officeDocument/2006/relationships/hyperlink" Target="https://downloads.khinsider.com/game-soundtracks/album/pokemon-red-green-blue-yellow/22%2520Viridian%2520Forest.mp3" TargetMode="External"/><Relationship Id="rId636" Type="http://schemas.openxmlformats.org/officeDocument/2006/relationships/hyperlink" Target="https://downloads.khinsider.com/game-soundtracks/album/pokemon-red-green-blue-yellow/23.%2520A%2520Trainer%2520Appears%2520%2528Boy%2520Version%2529.mp3" TargetMode="External"/><Relationship Id="rId637" Type="http://schemas.openxmlformats.org/officeDocument/2006/relationships/hyperlink" Target="https://downloads.khinsider.com/game-soundtracks/album/pokemon-red-green-blue-yellow/38.%2520Bicycle.mp3" TargetMode="External"/><Relationship Id="rId638" Type="http://schemas.openxmlformats.org/officeDocument/2006/relationships/hyperlink" Target="https://downloads.khinsider.com/game-soundtracks/album/pokemon-red-green-blue-yellow/41%2520Celadon%2520City.mp3" TargetMode="External"/><Relationship Id="rId639" Type="http://schemas.openxmlformats.org/officeDocument/2006/relationships/hyperlink" Target="https://downloads.khinsider.com/game-soundtracks/album/pokemon-red-green-blue-yellow/45%2520Pok%25C3%25A9mon%2520Tower.mp3" TargetMode="External"/><Relationship Id="rId640" Type="http://schemas.openxmlformats.org/officeDocument/2006/relationships/hyperlink" Target="https://downloads.khinsider.com/game-soundtracks/album/pokemon-red-green-blue-yellow/50%2520Victory%2520Road.mp3" TargetMode="External"/><Relationship Id="rId641" Type="http://schemas.openxmlformats.org/officeDocument/2006/relationships/hyperlink" Target="https://downloads.khinsider.com/game-soundtracks/album/pokemon-red-green-blue-yellow/27%2520Pok%25C3%25A9mon%2520Gym.mp3" TargetMode="External"/><Relationship Id="rId642" Type="http://schemas.openxmlformats.org/officeDocument/2006/relationships/hyperlink" Target="https://downloads.khinsider.com/game-soundtracks/album/pokemon-red-green-blue-yellow/28.%2520Battle%2521%2520%2528Gym%2520Leader%2529.mp3" TargetMode="External"/><Relationship Id="rId643" Type="http://schemas.openxmlformats.org/officeDocument/2006/relationships/hyperlink" Target="https://downloads.khinsider.com/game-soundtracks/album/pokemon-red-green-blue-yellow/30%2520Route%25203.mp3" TargetMode="External"/><Relationship Id="rId644" Type="http://schemas.openxmlformats.org/officeDocument/2006/relationships/hyperlink" Target="https://downloads.khinsider.com/game-soundtracks/album/pokemon-red-green-blue-yellow/32%2520Mt.%2520Moon.mp3" TargetMode="External"/><Relationship Id="rId645" Type="http://schemas.openxmlformats.org/officeDocument/2006/relationships/hyperlink" Target="https://downloads.khinsider.com/game-soundtracks/album/pokemon-red-green-blue-yellow/33.%2520A%2520Trainer%2520Appears%2520%2528Bad%2520Guy%2520Version%2529.mp3" TargetMode="External"/><Relationship Id="rId646" Type="http://schemas.openxmlformats.org/officeDocument/2006/relationships/hyperlink" Target="https://downloads.khinsider.com/game-soundtracks/album/pokemon-red-green-blue-yellow/34%2520Cerulean%2520City.mp3" TargetMode="External"/><Relationship Id="rId647" Type="http://schemas.openxmlformats.org/officeDocument/2006/relationships/hyperlink" Target="https://audio.jukehost.co.uk/3fscAMvpTRV4Yy7jOI344TKsyN0vcM4O" TargetMode="External"/><Relationship Id="rId648" Type="http://schemas.openxmlformats.org/officeDocument/2006/relationships/hyperlink" Target="https://audio.jukehost.co.uk/kHFUUUOgtQozg8JKKMCxX5bChqEQoGbp" TargetMode="External"/><Relationship Id="rId649" Type="http://schemas.openxmlformats.org/officeDocument/2006/relationships/hyperlink" Target="https://audio.jukehost.co.uk/tdayZolqZ9VA8kbSkolFP7cFR5Kp3nIh" TargetMode="External"/><Relationship Id="rId650" Type="http://schemas.openxmlformats.org/officeDocument/2006/relationships/hyperlink" Target="https://audio.jukehost.co.uk/iUsOjrJ9IPrv8VK7fpAHuutctZBMeiLp" TargetMode="External"/><Relationship Id="rId651" Type="http://schemas.openxmlformats.org/officeDocument/2006/relationships/hyperlink" Target="https://audio.jukehost.co.uk/Du0AyyL3EGhOnL9jKF8nJdq8S3VhZbgn" TargetMode="External"/><Relationship Id="rId652" Type="http://schemas.openxmlformats.org/officeDocument/2006/relationships/hyperlink" Target="https://audio.jukehost.co.uk/Ap1h0i9AOsS5LdHyRr4iz78F8bsL7tG4" TargetMode="External"/><Relationship Id="rId653" Type="http://schemas.openxmlformats.org/officeDocument/2006/relationships/hyperlink" Target="https://audio.jukehost.co.uk/FQ568qYG5qZJC7LkQUGwifYNSEgOWplT" TargetMode="External"/><Relationship Id="rId654" Type="http://schemas.openxmlformats.org/officeDocument/2006/relationships/hyperlink" Target="https://audio.jukehost.co.uk/Y2p0kMyOIeRADX4o1X8bq2AOFoYcsMnT" TargetMode="External"/><Relationship Id="rId655" Type="http://schemas.openxmlformats.org/officeDocument/2006/relationships/hyperlink" Target="https://audio.jukehost.co.uk/g1DPFrmfSAtykVEDf6pGtmH5FPMPyzhd" TargetMode="External"/><Relationship Id="rId656" Type="http://schemas.openxmlformats.org/officeDocument/2006/relationships/hyperlink" Target="https://audio.jukehost.co.uk/tZGnya2JfTGHehqZA9yU8iI0poPiH3jY" TargetMode="External"/><Relationship Id="rId657" Type="http://schemas.openxmlformats.org/officeDocument/2006/relationships/hyperlink" Target="https://audio.jukehost.co.uk/YOH7qTmb8LDwIk1WJdhVmtvHaMB0dzyN" TargetMode="External"/><Relationship Id="rId658" Type="http://schemas.openxmlformats.org/officeDocument/2006/relationships/hyperlink" Target="https://audio.jukehost.co.uk/MsvZLpZjBkHGkGrkC9kDL74zHdLYirrg" TargetMode="External"/><Relationship Id="rId659" Type="http://schemas.openxmlformats.org/officeDocument/2006/relationships/hyperlink" Target="https://audio.jukehost.co.uk/ZGnUR96jDdlPWVO55wYRtQ0rR9qRia3G" TargetMode="External"/><Relationship Id="rId660" Type="http://schemas.openxmlformats.org/officeDocument/2006/relationships/hyperlink" Target="https://audio.jukehost.co.uk/pd272B3IINvcxRRdH65AbcZgdzB8nPir" TargetMode="External"/><Relationship Id="rId661" Type="http://schemas.openxmlformats.org/officeDocument/2006/relationships/hyperlink" Target="https://audio.jukehost.co.uk/wTF7nkhQZwHygyN63BN0LxxYvLYzjRWq" TargetMode="External"/><Relationship Id="rId662" Type="http://schemas.openxmlformats.org/officeDocument/2006/relationships/hyperlink" Target="https://audio.jukehost.co.uk/wFDoIacmCgBUZAjeEiD7jVtxBQy3fRAx" TargetMode="External"/><Relationship Id="rId663" Type="http://schemas.openxmlformats.org/officeDocument/2006/relationships/hyperlink" Target="https://audio.jukehost.co.uk/FHfQalrgk53ST6U1Sk4MrHwYySotT9Ne" TargetMode="External"/><Relationship Id="rId664" Type="http://schemas.openxmlformats.org/officeDocument/2006/relationships/hyperlink" Target="https://audio.jukehost.co.uk/IWm2VAvStcbJcXfafDpERlr8PG9x004N" TargetMode="External"/><Relationship Id="rId665" Type="http://schemas.openxmlformats.org/officeDocument/2006/relationships/hyperlink" Target="https://audio.jukehost.co.uk/kcywNAN4U0uvD88AfYwDzHHey9cJcCF6" TargetMode="External"/><Relationship Id="rId666" Type="http://schemas.openxmlformats.org/officeDocument/2006/relationships/hyperlink" Target="https://audio.jukehost.co.uk/y2OcSqy5FuC8QocpOhmuiH5wguaEZoud" TargetMode="External"/><Relationship Id="rId667" Type="http://schemas.openxmlformats.org/officeDocument/2006/relationships/hyperlink" Target="https://audio.jukehost.co.uk/Lx2mA69w9jFMFGkh5T5tXZFkhdvJYqxf" TargetMode="External"/><Relationship Id="rId668" Type="http://schemas.openxmlformats.org/officeDocument/2006/relationships/hyperlink" Target="https://audio.jukehost.co.uk/vOyt7yQMaimM0u6qLvxOJLI1BgG7bt6u" TargetMode="External"/><Relationship Id="rId669" Type="http://schemas.openxmlformats.org/officeDocument/2006/relationships/hyperlink" Target="https://audio.jukehost.co.uk/VKo3a3gQDP7RFJ2zxS5qu9Gnjpa3TXFx" TargetMode="External"/><Relationship Id="rId670" Type="http://schemas.openxmlformats.org/officeDocument/2006/relationships/hyperlink" Target="https://audio.jukehost.co.uk/T9oPVlGBDKHJ9Myct1RvhepJt5enwIJW" TargetMode="External"/><Relationship Id="rId671" Type="http://schemas.openxmlformats.org/officeDocument/2006/relationships/hyperlink" Target="https://audio.jukehost.co.uk/uCZF3pHIfIDxpxelxgBne3zXFWFhIxuP" TargetMode="External"/><Relationship Id="rId672" Type="http://schemas.openxmlformats.org/officeDocument/2006/relationships/hyperlink" Target="https://audio.jukehost.co.uk/PyWgaT3ITqd5lWq7PnktSeNafzpQZlku" TargetMode="External"/><Relationship Id="rId673" Type="http://schemas.openxmlformats.org/officeDocument/2006/relationships/hyperlink" Target="https://audio.jukehost.co.uk/txLXQK9MCsZdrcOy9Zu7WEcYnU8LUj8z" TargetMode="External"/><Relationship Id="rId674" Type="http://schemas.openxmlformats.org/officeDocument/2006/relationships/hyperlink" Target="https://audio.jukehost.co.uk/W6Re3bHeitJW4WpUg1TtOW1PGmbY3paX" TargetMode="External"/><Relationship Id="rId675" Type="http://schemas.openxmlformats.org/officeDocument/2006/relationships/hyperlink" Target="https://audio.jukehost.co.uk/JEXO7lwfWnmKpjH1d6a7eOj3Qmfz1KF3" TargetMode="External"/><Relationship Id="rId676" Type="http://schemas.openxmlformats.org/officeDocument/2006/relationships/hyperlink" Target="https://audio.jukehost.co.uk/yiZAMHQEDfMyuehUPhl47mmwsfZwjzvD" TargetMode="External"/><Relationship Id="rId677" Type="http://schemas.openxmlformats.org/officeDocument/2006/relationships/hyperlink" Target="https://audio.jukehost.co.uk/SZaUgFtrHvmcjNuUOQxg0W6AEtWIlEt1" TargetMode="External"/><Relationship Id="rId678" Type="http://schemas.openxmlformats.org/officeDocument/2006/relationships/hyperlink" Target="https://audio.jukehost.co.uk/dxJmELONrsL9XbEGt02XQdV1NbJbcPrE" TargetMode="External"/><Relationship Id="rId679" Type="http://schemas.openxmlformats.org/officeDocument/2006/relationships/hyperlink" Target="https://audio.jukehost.co.uk/DyT81fbbmqYVXfZZAE0mGNKTCM9uUSKE" TargetMode="External"/><Relationship Id="rId680" Type="http://schemas.openxmlformats.org/officeDocument/2006/relationships/hyperlink" Target="https://audio.jukehost.co.uk/rfByAbzwNVGa1LYg0NEiN4cwpthaRaLj" TargetMode="External"/><Relationship Id="rId681" Type="http://schemas.openxmlformats.org/officeDocument/2006/relationships/hyperlink" Target="https://audio.jukehost.co.uk/hKmMAYoRX2JrE6E7gqBksTpa2z2I7Jz6" TargetMode="External"/><Relationship Id="rId682" Type="http://schemas.openxmlformats.org/officeDocument/2006/relationships/hyperlink" Target="https://audio.jukehost.co.uk/PSG93xm4PakvIHbpdSsbTuVR4sOV0q1f" TargetMode="External"/><Relationship Id="rId683" Type="http://schemas.openxmlformats.org/officeDocument/2006/relationships/hyperlink" Target="https://audio.jukehost.co.uk/L204gxRVvIUr5Mrs58DWmAsdCQ1beClT" TargetMode="External"/><Relationship Id="rId684" Type="http://schemas.openxmlformats.org/officeDocument/2006/relationships/hyperlink" Target="https://audio.jukehost.co.uk/mCL2tMF1NKezApz2GisHjOLQ1rNcizdY" TargetMode="External"/><Relationship Id="rId685" Type="http://schemas.openxmlformats.org/officeDocument/2006/relationships/hyperlink" Target="https://audio.jukehost.co.uk/DtThTSzvm0wbk44IwEJR7T9lEdFYgAbo" TargetMode="External"/><Relationship Id="rId686" Type="http://schemas.openxmlformats.org/officeDocument/2006/relationships/hyperlink" Target="https://downloads.khinsider.com/game-soundtracks/album/pok-mon-shuffle-3ds-gamerip-2015/08.%2520Galerie%2520Rouge.mp3" TargetMode="External"/><Relationship Id="rId687" Type="http://schemas.openxmlformats.org/officeDocument/2006/relationships/hyperlink" Target="https://downloads.khinsider.com/game-soundtracks/album/pok-mon-shuffle-3ds-gamerip-2015/06.%2520Isla%2520Asul.mp3" TargetMode="External"/><Relationship Id="rId688" Type="http://schemas.openxmlformats.org/officeDocument/2006/relationships/hyperlink" Target="https://downloads.khinsider.com/game-soundtracks/album/pok-mon-shuffle-3ds-gamerip-2015/07.%2520Rainbow%2520Park.mp3" TargetMode="External"/><Relationship Id="rId689" Type="http://schemas.openxmlformats.org/officeDocument/2006/relationships/hyperlink" Target="https://downloads.khinsider.com/game-soundtracks/album/pok-mon-shuffle-3ds-gamerip-2015/10.%2520Silbern%2520Museum.mp3" TargetMode="External"/><Relationship Id="rId690" Type="http://schemas.openxmlformats.org/officeDocument/2006/relationships/hyperlink" Target="https://downloads.khinsider.com/game-soundtracks/album/pok-mon-shuffle-3ds-gamerip-2015/09.%2520Sweet%2520Strasse.mp3" TargetMode="External"/><Relationship Id="rId691" Type="http://schemas.openxmlformats.org/officeDocument/2006/relationships/hyperlink" Target="https://downloads.khinsider.com/game-soundtracks/album/pok-mon-shuffle-3ds-gamerip-2015/02.%2520Title%2520Screen.mp3" TargetMode="External"/><Relationship Id="rId692" Type="http://schemas.openxmlformats.org/officeDocument/2006/relationships/hyperlink" Target="https://downloads.khinsider.com/game-soundtracks/album/pokemon-mystery-dungeon-explorers-of-sky/68.%2520Dialga%2527s%2520Fight%2520to%2520the%2520Finish%2521.mp3" TargetMode="External"/><Relationship Id="rId693" Type="http://schemas.openxmlformats.org/officeDocument/2006/relationships/hyperlink" Target="https://downloads.khinsider.com/game-soundtracks/album/pokemon-mystery-dungeon-explorers-of-sky/70.%2520Don%2527t%2520Ever%2520Forget....mp3" TargetMode="External"/><Relationship Id="rId694" Type="http://schemas.openxmlformats.org/officeDocument/2006/relationships/hyperlink" Target="https://downloads.khinsider.com/game-soundtracks/album/pokemon-mystery-dungeon-explorers-of-sky/64.%2520Temporal%2520Tower.mp3" TargetMode="External"/><Relationship Id="rId695" Type="http://schemas.openxmlformats.org/officeDocument/2006/relationships/hyperlink" Target="https://audio.jukehost.co.uk/xVhYtLVwjA21bY9F5e89Sl8ZVluJ4kop" TargetMode="External"/><Relationship Id="rId696" Type="http://schemas.openxmlformats.org/officeDocument/2006/relationships/hyperlink" Target="https://downloads.khinsider.com/game-soundtracks/album/pokemon-mystery-dungeon-blue-rescue-team/01.%2520Opening.mp3" TargetMode="External"/><Relationship Id="rId697" Type="http://schemas.openxmlformats.org/officeDocument/2006/relationships/hyperlink" Target="https://downloads.khinsider.com/game-soundtracks/album/pokemon-mystery-dungeon-blue-rescue-team/13.%2520Pokemon%2520Square.mp3" TargetMode="External"/><Relationship Id="rId698" Type="http://schemas.openxmlformats.org/officeDocument/2006/relationships/hyperlink" Target="https://downloads.khinsider.com/game-soundtracks/album/pokemon-mystery-dungeon-blue-rescue-team/10.%2520Rescue%2520Base.mp3" TargetMode="External"/><Relationship Id="rId699" Type="http://schemas.openxmlformats.org/officeDocument/2006/relationships/hyperlink" Target="https://downloads.khinsider.com/game-soundtracks/album/pokemon-mystery-dungeon-blue-rescue-team/03.%2520Top%2520Menu.mp3" TargetMode="External"/><Relationship Id="rId700" Type="http://schemas.openxmlformats.org/officeDocument/2006/relationships/hyperlink" Target="https://downloads.khinsider.com/game-soundtracks/album/pokemon-mystery-dungeon-blue-rescue-team/04.%2520Welcome%2521%2520To%2520the%2520World%2520of%2520Pokemon%2521.mp3" TargetMode="External"/><Relationship Id="rId701" Type="http://schemas.openxmlformats.org/officeDocument/2006/relationships/hyperlink" Target="https://audio.jukehost.co.uk/upWKz8NL7VWKieX8imsbxr37OZDHbSAY" TargetMode="External"/><Relationship Id="rId702" Type="http://schemas.openxmlformats.org/officeDocument/2006/relationships/hyperlink" Target="https://jetta.vgmtreasurechest.com/soundtracks/portal-2-soundtrack-songs-to-test-by-collectors-edition/bwgodxcu/3-04%20-%20Machiavellian%20Bach.mp3" TargetMode="External"/><Relationship Id="rId703" Type="http://schemas.openxmlformats.org/officeDocument/2006/relationships/hyperlink" Target="https://audio.jukehost.co.uk/a37kA1BSebVHcxKhOyqQndc2XoxdaJxA" TargetMode="External"/><Relationship Id="rId704" Type="http://schemas.openxmlformats.org/officeDocument/2006/relationships/hyperlink" Target="https://jetta.vgmtreasurechest.com/soundtracks/portal-2-soundtrack-songs-to-test-by-collectors-edition/dohvemyd/3-24%20-%20Robots%20FTW.mp3" TargetMode="External"/><Relationship Id="rId705" Type="http://schemas.openxmlformats.org/officeDocument/2006/relationships/hyperlink" Target="https://audio.jukehost.co.uk/Kbv89qV96PacGdkDoFcWRzLhUbzhfQzU" TargetMode="External"/><Relationship Id="rId706" Type="http://schemas.openxmlformats.org/officeDocument/2006/relationships/hyperlink" Target="https://audio.jukehost.co.uk/GgVHZ43CnEbNbGG7IUo7hIdGSnZybC4U" TargetMode="External"/><Relationship Id="rId707" Type="http://schemas.openxmlformats.org/officeDocument/2006/relationships/hyperlink" Target="https://audio.jukehost.co.uk/sefke4cpFVXAad42QhdWhVdIIPYv05QC" TargetMode="External"/><Relationship Id="rId708" Type="http://schemas.openxmlformats.org/officeDocument/2006/relationships/hyperlink" Target="https://audio.jukehost.co.uk/aFggaivHvdF2Wxcyo5HNbTV8lShUXetd" TargetMode="External"/><Relationship Id="rId709" Type="http://schemas.openxmlformats.org/officeDocument/2006/relationships/hyperlink" Target="https://audio.jukehost.co.uk/Z74BnrG9bTslBt9lQDzxQdXA3eFQwRW1" TargetMode="External"/><Relationship Id="rId710" Type="http://schemas.openxmlformats.org/officeDocument/2006/relationships/hyperlink" Target="https://vgmtreasurechest.com/soundtracks/professor-layton-and-the-curious-village/waxhdylvtw/05.%20Puzzles.mp3" TargetMode="External"/><Relationship Id="rId711" Type="http://schemas.openxmlformats.org/officeDocument/2006/relationships/hyperlink" Target="https://audio.jukehost.co.uk/es8jFRxkAnYQF9EhVvyYNl3ppjT5G2mL" TargetMode="External"/><Relationship Id="rId712" Type="http://schemas.openxmlformats.org/officeDocument/2006/relationships/hyperlink" Target="https://nu.vgmtreasurechest.com/soundtracks/professor-layton-and-the-unwound-future-hd-android-ios-mobile-gamerip-2020/gkjoswfk/01.%20Theme%20of%20the%20Last%20Time%20Travel.mp3" TargetMode="External"/><Relationship Id="rId713" Type="http://schemas.openxmlformats.org/officeDocument/2006/relationships/hyperlink" Target="https://audio.jukehost.co.uk/m0KvgHSKHqMlczeCFo58ItQNE4y6yFdB" TargetMode="External"/><Relationship Id="rId714" Type="http://schemas.openxmlformats.org/officeDocument/2006/relationships/hyperlink" Target="https://audio.jukehost.co.uk/yD5kIqHZ05BS86FdIldvWNyw2DxKYng9" TargetMode="External"/><Relationship Id="rId715" Type="http://schemas.openxmlformats.org/officeDocument/2006/relationships/hyperlink" Target="https://audio.jukehost.co.uk/AtBrZPsxuWWay2EBxIbmPlRcKiBUSgN1" TargetMode="External"/><Relationship Id="rId716" Type="http://schemas.openxmlformats.org/officeDocument/2006/relationships/hyperlink" Target="https://audio.jukehost.co.uk/V3gjcpVF64H0iSNzeuQsp2ZpdvnclBEm" TargetMode="External"/><Relationship Id="rId717" Type="http://schemas.openxmlformats.org/officeDocument/2006/relationships/hyperlink" Target="https://audio.jukehost.co.uk/4UdzdmG6WrqyK55l265wVDV1q8NKmkJz" TargetMode="External"/><Relationship Id="rId718" Type="http://schemas.openxmlformats.org/officeDocument/2006/relationships/hyperlink" Target="https://audio.jukehost.co.uk/X9JfAqfz3s4AqtleElsuk4G7ili8QIuI" TargetMode="External"/><Relationship Id="rId719" Type="http://schemas.openxmlformats.org/officeDocument/2006/relationships/hyperlink" Target="https://audio.jukehost.co.uk/djOiGXOwh9tbV9KSDdO06x3H9rqpiRKI" TargetMode="External"/><Relationship Id="rId720" Type="http://schemas.openxmlformats.org/officeDocument/2006/relationships/hyperlink" Target="https://audio.jukehost.co.uk/Bqp32H9oNse0wVpSFnnbg2vNnUWkfZFZ" TargetMode="External"/><Relationship Id="rId721" Type="http://schemas.openxmlformats.org/officeDocument/2006/relationships/hyperlink" Target="https://www.youtube.com/watch?v=tl5jje78Ya4" TargetMode="External"/><Relationship Id="rId722" Type="http://schemas.openxmlformats.org/officeDocument/2006/relationships/hyperlink" Target="https://audio.jukehost.co.uk/a1YPGEu5xXaw1Mh4PpoMOQNBr9vnhtyx" TargetMode="External"/><Relationship Id="rId723" Type="http://schemas.openxmlformats.org/officeDocument/2006/relationships/hyperlink" Target="https://audio.jukehost.co.uk/P5Cls83KL9m1TgkCZACqzjQd4O11bgNS" TargetMode="External"/><Relationship Id="rId724" Type="http://schemas.openxmlformats.org/officeDocument/2006/relationships/hyperlink" Target="https://audio.jukehost.co.uk/Xp0CGnyYf4zC0n6PtOnfhq11MkntQCy1" TargetMode="External"/><Relationship Id="rId725" Type="http://schemas.openxmlformats.org/officeDocument/2006/relationships/hyperlink" Target="https://audio.jukehost.co.uk/0myT3cCKf0BFPhstMYjjiYH3zwlEqQv0" TargetMode="External"/><Relationship Id="rId726" Type="http://schemas.openxmlformats.org/officeDocument/2006/relationships/hyperlink" Target="https://audio.jukehost.co.uk/BY6eS65Kid4di3ZQ9uXpvkAZLre7fABA" TargetMode="External"/><Relationship Id="rId727" Type="http://schemas.openxmlformats.org/officeDocument/2006/relationships/hyperlink" Target="https://audio.jukehost.co.uk/aGOT7CrUtdxxESIJ0Veo9xov9hjWm5Y4" TargetMode="External"/><Relationship Id="rId728" Type="http://schemas.openxmlformats.org/officeDocument/2006/relationships/hyperlink" Target="https://audio.jukehost.co.uk/EobXVmTpRhtFmXBPGgg58bUWpDW1rBXY" TargetMode="External"/><Relationship Id="rId729" Type="http://schemas.openxmlformats.org/officeDocument/2006/relationships/hyperlink" Target="https://audio.jukehost.co.uk/BHRClplwSFTuWhwugcOiRJEMrNtMNARo" TargetMode="External"/><Relationship Id="rId730" Type="http://schemas.openxmlformats.org/officeDocument/2006/relationships/hyperlink" Target="https://audio.jukehost.co.uk/7YBdw86Ue8kY1oPnu8TP5p0NesJtU2DT" TargetMode="External"/><Relationship Id="rId731" Type="http://schemas.openxmlformats.org/officeDocument/2006/relationships/hyperlink" Target="https://audio.jukehost.co.uk/Jbi6qjnDR4XYF2gTmZ7R9if9tjkMq5vB" TargetMode="External"/><Relationship Id="rId732" Type="http://schemas.openxmlformats.org/officeDocument/2006/relationships/hyperlink" Target="https://audio.jukehost.co.uk/V3Pd2m6siYYZqnWbHpVfZqNg5rM7EySA" TargetMode="External"/><Relationship Id="rId733" Type="http://schemas.openxmlformats.org/officeDocument/2006/relationships/hyperlink" Target="https://audio.jukehost.co.uk/oauLLk3lMhfjOIFJrN53m5fHshPoFxrJ" TargetMode="External"/><Relationship Id="rId734" Type="http://schemas.openxmlformats.org/officeDocument/2006/relationships/hyperlink" Target="https://audio.jukehost.co.uk/lWwfCuiocEUzC006QS1zUOVxmAbjIEqZ" TargetMode="External"/><Relationship Id="rId735" Type="http://schemas.openxmlformats.org/officeDocument/2006/relationships/hyperlink" Target="https://audio.jukehost.co.uk/2ExXMJ3t34bls8FfPR0b8GRudrtg88T2" TargetMode="External"/><Relationship Id="rId736" Type="http://schemas.openxmlformats.org/officeDocument/2006/relationships/hyperlink" Target="https://audio.jukehost.co.uk/nUSUF1OcbvKUD2yin4NZrZNCkhV7kDNm" TargetMode="External"/><Relationship Id="rId737" Type="http://schemas.openxmlformats.org/officeDocument/2006/relationships/hyperlink" Target="https://audio.jukehost.co.uk/DjyCAKD2tJIroUoIcLt9mq0oK9wOnzqz" TargetMode="External"/><Relationship Id="rId738" Type="http://schemas.openxmlformats.org/officeDocument/2006/relationships/hyperlink" Target="https://audio.jukehost.co.uk/JKRqwCqIVWe975vqlZJtcfdxiM5s8Zz4" TargetMode="External"/><Relationship Id="rId739" Type="http://schemas.openxmlformats.org/officeDocument/2006/relationships/hyperlink" Target="https://audio.jukehost.co.uk/IM5r1NMm7zuPHIIY8ydFzQknsHU9kPId" TargetMode="External"/><Relationship Id="rId740" Type="http://schemas.openxmlformats.org/officeDocument/2006/relationships/hyperlink" Target="https://audio.jukehost.co.uk/0zrGOuUv73k23TLbduZzabDDZ6jT3BKC" TargetMode="External"/><Relationship Id="rId741" Type="http://schemas.openxmlformats.org/officeDocument/2006/relationships/hyperlink" Target="https://audio.jukehost.co.uk/SrdGoSNEbXDlcOsIvjKDsOcN54ieVpyY" TargetMode="External"/><Relationship Id="rId742" Type="http://schemas.openxmlformats.org/officeDocument/2006/relationships/hyperlink" Target="https://audio.jukehost.co.uk/cYZGuIsyaIfV6vQyN8gh1FBa6Zdtsge1" TargetMode="External"/><Relationship Id="rId743" Type="http://schemas.openxmlformats.org/officeDocument/2006/relationships/hyperlink" Target="https://nu.vgmtreasurechest.com/soundtracks/rv-there-yet-soundtrack-2025/iwhuuekvnh/01.%20Jesus%20Take%20The%20Wheel.mp3" TargetMode="External"/><Relationship Id="rId744" Type="http://schemas.openxmlformats.org/officeDocument/2006/relationships/hyperlink" Target="https://nu.vgmtreasurechest.com/soundtracks/rv-there-yet-soundtrack-2025/vpbfieawio/02.%20Relax%20Embrace.mp3" TargetMode="External"/><Relationship Id="rId745" Type="http://schemas.openxmlformats.org/officeDocument/2006/relationships/hyperlink" Target="https://audio.jukehost.co.uk/wIHtt1HacDIrTNz48tf5nvW7WybW9GUg" TargetMode="External"/><Relationship Id="rId746" Type="http://schemas.openxmlformats.org/officeDocument/2006/relationships/hyperlink" Target="https://audio.jukehost.co.uk/1y9mQUjUmMfdxn3WgtgcjVBQe6HXLhNP" TargetMode="External"/><Relationship Id="rId747" Type="http://schemas.openxmlformats.org/officeDocument/2006/relationships/hyperlink" Target="https://audio.jukehost.co.uk/35OTDnDF0OfQmEqsWIutTw3hwZcFk2CI" TargetMode="External"/><Relationship Id="rId748" Type="http://schemas.openxmlformats.org/officeDocument/2006/relationships/hyperlink" Target="https://downloads.khinsider.com/game-soundtracks/album/sea-of-stars-original-soundtrack-2023/1-10.%2520Dance%2520Of%25201%252C000%2520Suns.mp3" TargetMode="External"/><Relationship Id="rId749" Type="http://schemas.openxmlformats.org/officeDocument/2006/relationships/hyperlink" Target="https://jetta.vgmtreasurechest.com/soundtracks/sea-of-stars-original-soundtrack-2023/vapzzafa/1-10.%20Dance%20Of%201%2C000%20Suns.mp3" TargetMode="External"/><Relationship Id="rId750" Type="http://schemas.openxmlformats.org/officeDocument/2006/relationships/hyperlink" Target="https://jetta.vgmtreasurechest.com/soundtracks/sea-of-stars-original-soundtrack-2023/lkpxpjci/1-43.%20Encounter%20Elite%21.mp3" TargetMode="External"/><Relationship Id="rId751" Type="http://schemas.openxmlformats.org/officeDocument/2006/relationships/hyperlink" Target="https://downloads.khinsider.com/game-soundtracks/album/sea-of-stars-original-soundtrack-2023/2-34.%2520Guardian%2520Gods%2520-%2520Horizons%2520Unbound.mp3" TargetMode="External"/><Relationship Id="rId752" Type="http://schemas.openxmlformats.org/officeDocument/2006/relationships/hyperlink" Target="https://vgmtreasurechest.com/soundtracks/sea-of-stars-original-soundtrack-2023/jggnvqqf/2-34.%20Guardian%20Gods%20-%20Horizons%20Unbound.mp3" TargetMode="External"/><Relationship Id="rId753" Type="http://schemas.openxmlformats.org/officeDocument/2006/relationships/hyperlink" Target="https://downloads.khinsider.com/game-soundtracks/album/sea-of-stars-original-soundtrack-2023/2-31.%2520Overture%2520Of%2520Legend%2520-%2520The%2520Beast%2520Awakens.mp3" TargetMode="External"/><Relationship Id="rId754" Type="http://schemas.openxmlformats.org/officeDocument/2006/relationships/hyperlink" Target="https://vgmtreasurechest.com/soundtracks/sea-of-stars-original-soundtrack-2023/gnulvvqr/2-31.%20Overture%20Of%20Legend%20-%20The%20Beast%20Awakens.mp3" TargetMode="External"/><Relationship Id="rId755" Type="http://schemas.openxmlformats.org/officeDocument/2006/relationships/hyperlink" Target="https://downloads.khinsider.com/game-soundtracks/album/sea-of-stars-original-soundtrack-physical-release-2023/2-14.%2520Sky%2520Base.mp3" TargetMode="External"/><Relationship Id="rId756" Type="http://schemas.openxmlformats.org/officeDocument/2006/relationships/hyperlink" Target="https://nu.vgmtreasurechest.com/soundtracks/sea-of-stars-original-soundtrack-physical-release-2023/pywphqho/2-14.%20Sky%20Base.mp3" TargetMode="External"/><Relationship Id="rId757" Type="http://schemas.openxmlformats.org/officeDocument/2006/relationships/hyperlink" Target="https://audio.jukehost.co.uk/5in4l8ucocsbFDAkmftCMbnxAIqge75d" TargetMode="External"/><Relationship Id="rId758" Type="http://schemas.openxmlformats.org/officeDocument/2006/relationships/hyperlink" Target="https://audio.jukehost.co.uk/sLu7kQMxI19ov56FyHwrbTXQ5Bjnf83t" TargetMode="External"/><Relationship Id="rId759" Type="http://schemas.openxmlformats.org/officeDocument/2006/relationships/hyperlink" Target="https://audio.jukehost.co.uk/xiR8pajJNp7schlYOwNugTxaLIr8yegI" TargetMode="External"/><Relationship Id="rId760" Type="http://schemas.openxmlformats.org/officeDocument/2006/relationships/hyperlink" Target="https://audio.jukehost.co.uk/QSWTHHhIWT7WQ5ESew9bYdJ5EPfcwMJr" TargetMode="External"/><Relationship Id="rId761" Type="http://schemas.openxmlformats.org/officeDocument/2006/relationships/hyperlink" Target="https://audio.jukehost.co.uk/xjeavdbubB2x6u29ocuJTpb1duHQSxFv" TargetMode="External"/><Relationship Id="rId762" Type="http://schemas.openxmlformats.org/officeDocument/2006/relationships/hyperlink" Target="https://audio.jukehost.co.uk/f88p1DvEEFZ8al7KS6qp2DXCIkMh4Dw2" TargetMode="External"/><Relationship Id="rId763" Type="http://schemas.openxmlformats.org/officeDocument/2006/relationships/hyperlink" Target="https://audio.jukehost.co.uk/6qIYSRVZD8fUoMn1lDWtWWPiiiVUlvu4" TargetMode="External"/><Relationship Id="rId764" Type="http://schemas.openxmlformats.org/officeDocument/2006/relationships/hyperlink" Target="https://audio.jukehost.co.uk/HIIw4SiMtwCErlYo8nqvdYerRPq4Ia8d" TargetMode="External"/><Relationship Id="rId765" Type="http://schemas.openxmlformats.org/officeDocument/2006/relationships/hyperlink" Target="https://audio.jukehost.co.uk/zuwYGRthl1dttXhbaeOpejUsu1AyhaYW" TargetMode="External"/><Relationship Id="rId766" Type="http://schemas.openxmlformats.org/officeDocument/2006/relationships/hyperlink" Target="https://audio.jukehost.co.uk/EJrCPM2lBE8dULGtGlNBZTiqtb9vABZG" TargetMode="External"/><Relationship Id="rId767" Type="http://schemas.openxmlformats.org/officeDocument/2006/relationships/hyperlink" Target="https://audio.jukehost.co.uk/Mc6yvhcXUawpg4n91OwVvpIOpzETLYWV" TargetMode="External"/><Relationship Id="rId768" Type="http://schemas.openxmlformats.org/officeDocument/2006/relationships/hyperlink" Target="https://audio.jukehost.co.uk/UwXyAKjfIBdryr0nXraLZVGvi4i27kME" TargetMode="External"/><Relationship Id="rId769" Type="http://schemas.openxmlformats.org/officeDocument/2006/relationships/hyperlink" Target="https://audio.jukehost.co.uk/DJYCxiwOIe0fA995j1KsIl1D6pOw9TmT" TargetMode="External"/><Relationship Id="rId770" Type="http://schemas.openxmlformats.org/officeDocument/2006/relationships/hyperlink" Target="https://audio.jukehost.co.uk/ezSd27Lic00Biysc3qNJC9f9j68Nmwvj" TargetMode="External"/><Relationship Id="rId771" Type="http://schemas.openxmlformats.org/officeDocument/2006/relationships/hyperlink" Target="https://www.youtube.com/watch?v=10z1Y5GW-GQ" TargetMode="External"/><Relationship Id="rId772" Type="http://schemas.openxmlformats.org/officeDocument/2006/relationships/hyperlink" Target="https://downloads.khinsider.com/game-soundtracks/album/silent-hill-2-original-video-game-soundtrack-vinyl/06.%2520Promise%2520%2528Reprise%2529.mp3" TargetMode="External"/><Relationship Id="rId773" Type="http://schemas.openxmlformats.org/officeDocument/2006/relationships/hyperlink" Target="https://nu.vgmtreasurechest.com/soundtracks/silent-hill-2-original-video-game-soundtrack-vinyl/cykgahjy/06.%20Promise%20%28Reprise%29.mp3" TargetMode="External"/><Relationship Id="rId774" Type="http://schemas.openxmlformats.org/officeDocument/2006/relationships/hyperlink" Target="https://audio.jukehost.co.uk/IbLtbQX7xpekKAtRFRQsRb9na8Q7jkVO" TargetMode="External"/><Relationship Id="rId775" Type="http://schemas.openxmlformats.org/officeDocument/2006/relationships/hyperlink" Target="https://audio.jukehost.co.uk/4VsiUEUxPeZzNBwClhZV41ksT15iexa1" TargetMode="External"/><Relationship Id="rId776" Type="http://schemas.openxmlformats.org/officeDocument/2006/relationships/hyperlink" Target="https://audio.jukehost.co.uk/bC9kKMuGHaILPKFHVXqSWTNvl5y2KMGJ" TargetMode="External"/><Relationship Id="rId777" Type="http://schemas.openxmlformats.org/officeDocument/2006/relationships/hyperlink" Target="https://audio.jukehost.co.uk/4nxDZCgNRNIGGva3C8G5PSKcyUbsKV4k" TargetMode="External"/><Relationship Id="rId778" Type="http://schemas.openxmlformats.org/officeDocument/2006/relationships/hyperlink" Target="https://audio.jukehost.co.uk/YyFRpKyFcxotuC5QGoLByOpFRvjWmb0V" TargetMode="External"/><Relationship Id="rId779" Type="http://schemas.openxmlformats.org/officeDocument/2006/relationships/hyperlink" Target="https://audio.jukehost.co.uk/oFZ9wSe02Cl2yGuXNpiKLvx2x4SJIPHu" TargetMode="External"/><Relationship Id="rId780" Type="http://schemas.openxmlformats.org/officeDocument/2006/relationships/hyperlink" Target="https://audio.jukehost.co.uk/6ARV8MPcDSdahXcq05DiRUp5GRK9FH2E" TargetMode="External"/><Relationship Id="rId781" Type="http://schemas.openxmlformats.org/officeDocument/2006/relationships/hyperlink" Target="https://audio.jukehost.co.uk/HT1sAYvWiZ9v3KypG0gXgL6dthyIpHrX" TargetMode="External"/><Relationship Id="rId782" Type="http://schemas.openxmlformats.org/officeDocument/2006/relationships/hyperlink" Target="https://audio.jukehost.co.uk/Agqpwr2aG2wFcvMnijnD3USenWPAFFcZ" TargetMode="External"/><Relationship Id="rId783" Type="http://schemas.openxmlformats.org/officeDocument/2006/relationships/hyperlink" Target="https://audio.jukehost.co.uk/G1oi1FexgsGztxCvRJFKu6sQ3ONxbye0" TargetMode="External"/><Relationship Id="rId784" Type="http://schemas.openxmlformats.org/officeDocument/2006/relationships/hyperlink" Target="https://audio.jukehost.co.uk/QayRjmklJKJswGmnFd4dW9VmxgbO7uPe" TargetMode="External"/><Relationship Id="rId785" Type="http://schemas.openxmlformats.org/officeDocument/2006/relationships/hyperlink" Target="https://audio.jukehost.co.uk/bxWPUbJgQhaNIqs3vuHF16sHEURVLBQI" TargetMode="External"/><Relationship Id="rId786" Type="http://schemas.openxmlformats.org/officeDocument/2006/relationships/hyperlink" Target="https://audio.jukehost.co.uk/vs641HKNvoAykl8g0sBjjVBhl5AcaiOs" TargetMode="External"/><Relationship Id="rId787" Type="http://schemas.openxmlformats.org/officeDocument/2006/relationships/hyperlink" Target="https://audio.jukehost.co.uk/MVw8IKy1lNM1pZ8fmYgta0xZXNkrSrbt" TargetMode="External"/><Relationship Id="rId788" Type="http://schemas.openxmlformats.org/officeDocument/2006/relationships/hyperlink" Target="https://audio.jukehost.co.uk/Xv5V7w2sT2fqiqoLacoYLEBozqZXwMJG" TargetMode="External"/><Relationship Id="rId789" Type="http://schemas.openxmlformats.org/officeDocument/2006/relationships/hyperlink" Target="https://audio.jukehost.co.uk/6Dm9sB1jlHLzeAJtaGtJX0KyaGHErz7N" TargetMode="External"/><Relationship Id="rId790" Type="http://schemas.openxmlformats.org/officeDocument/2006/relationships/hyperlink" Target="https://audio.jukehost.co.uk/Phgc42R5wcvvsp8phM70rQVb0rHgp5aV" TargetMode="External"/><Relationship Id="rId791" Type="http://schemas.openxmlformats.org/officeDocument/2006/relationships/hyperlink" Target="https://audio.jukehost.co.uk/je19Of4kQeKw5X2fPXCRLblu9xSEDDxR" TargetMode="External"/><Relationship Id="rId792" Type="http://schemas.openxmlformats.org/officeDocument/2006/relationships/hyperlink" Target="https://audio.jukehost.co.uk/wCzYqVgShzUg32xO8A5CpfAp1vaEqC5Q" TargetMode="External"/><Relationship Id="rId793" Type="http://schemas.openxmlformats.org/officeDocument/2006/relationships/hyperlink" Target="https://audio.jukehost.co.uk/zi37xTz52bCjAMrsAUGGyrXQ18WR7V1S" TargetMode="External"/><Relationship Id="rId794" Type="http://schemas.openxmlformats.org/officeDocument/2006/relationships/hyperlink" Target="https://audio.jukehost.co.uk/ptZj67nebPU12brtgxfNWQh8KRlamua6" TargetMode="External"/><Relationship Id="rId795" Type="http://schemas.openxmlformats.org/officeDocument/2006/relationships/hyperlink" Target="https://vgmtreasurechest.com/soundtracks/sonic-the-hedgehog-2-anniversary-edition-genesis-shc2020-gamerip/gxpyagjwmb/19.%20Chemical%20Plant%20Zone%20-%20Act%201.mp3" TargetMode="External"/><Relationship Id="rId796" Type="http://schemas.openxmlformats.org/officeDocument/2006/relationships/hyperlink" Target="https://audio.jukehost.co.uk/6Wcuwn8ohCFKmk2Ltzy0VwufZYnpBfMK" TargetMode="External"/><Relationship Id="rId797" Type="http://schemas.openxmlformats.org/officeDocument/2006/relationships/hyperlink" Target="https://audio.jukehost.co.uk/40IaugjZXxtD5ttPxR6ZaSu4EUa91f5n" TargetMode="External"/><Relationship Id="rId798" Type="http://schemas.openxmlformats.org/officeDocument/2006/relationships/hyperlink" Target="https://audio.jukehost.co.uk/WD4aqkOePydRd9n7gROdUDvtH7lGe39Q" TargetMode="External"/><Relationship Id="rId799" Type="http://schemas.openxmlformats.org/officeDocument/2006/relationships/hyperlink" Target="https://audio.jukehost.co.uk/zWfVFkzPtY6sKI0NVdYZLoPDVzwT8ofp" TargetMode="External"/><Relationship Id="rId800" Type="http://schemas.openxmlformats.org/officeDocument/2006/relationships/hyperlink" Target="https://audio.jukehost.co.uk/FlR1Lq1MXTcKKrqMdo6kKSiatVLw8P2Q" TargetMode="External"/><Relationship Id="rId801" Type="http://schemas.openxmlformats.org/officeDocument/2006/relationships/hyperlink" Target="https://lambda.vgmtreasurechest.com/soundtracks/spiritfarer-farewell-edition-2022/gnqfmoubxd/41.%20Meteoroids.mp3" TargetMode="External"/><Relationship Id="rId802" Type="http://schemas.openxmlformats.org/officeDocument/2006/relationships/hyperlink" Target="https://lambda.vgmtreasurechest.com/soundtracks/spiritfarer-farewell-edition-2022/xaralxctln/47.%20What%20Will%20You%20Leave%20Behind%20%28End%20Titles%29%20%5Bfeat.%20Maude%20Plante-Husaruk%5D.mp3" TargetMode="External"/><Relationship Id="rId803" Type="http://schemas.openxmlformats.org/officeDocument/2006/relationships/hyperlink" Target="https://www.youtube.com/watch?v=5qApHtzyRq0&amp;list=PLGz_pJSqYLg9jF-5lxWUxWVxCmnloNkGH&amp;index=6" TargetMode="External"/><Relationship Id="rId804" Type="http://schemas.openxmlformats.org/officeDocument/2006/relationships/hyperlink" Target="https://www.youtube.com/watch?v=2XW0wAbDJpE" TargetMode="External"/><Relationship Id="rId805" Type="http://schemas.openxmlformats.org/officeDocument/2006/relationships/hyperlink" Target="https://audio.jukehost.co.uk/l3ZDIiTaciuy4SFSsNSvnMzQk1MABNgh" TargetMode="External"/><Relationship Id="rId806" Type="http://schemas.openxmlformats.org/officeDocument/2006/relationships/hyperlink" Target="https://audio.jukehost.co.uk/56UDqhhi4YDBdVYN0t9tPYPtidWILUIO" TargetMode="External"/><Relationship Id="rId807" Type="http://schemas.openxmlformats.org/officeDocument/2006/relationships/hyperlink" Target="https://audio.jukehost.co.uk/FZ25Jn1FgzIXS3aSuyPLvgnRqyRuT7bG" TargetMode="External"/><Relationship Id="rId808" Type="http://schemas.openxmlformats.org/officeDocument/2006/relationships/hyperlink" Target="https://audio.jukehost.co.uk/cK9bOeeNCt4aIRDSSPRc57vyXqte7AQf" TargetMode="External"/><Relationship Id="rId809" Type="http://schemas.openxmlformats.org/officeDocument/2006/relationships/hyperlink" Target="https://audio.jukehost.co.uk/Q2hrnFh6XLTvNx5iKvfoRDg1ACqYPCdt" TargetMode="External"/><Relationship Id="rId810" Type="http://schemas.openxmlformats.org/officeDocument/2006/relationships/hyperlink" Target="https://downloads.khinsider.com/game-soundtracks/album/steinsgate-0-selected-sound-works-2016/01.%2520Messenger%2520-%2520Main%2520Theme.mp3" TargetMode="External"/><Relationship Id="rId811" Type="http://schemas.openxmlformats.org/officeDocument/2006/relationships/hyperlink" Target="https://nu.vgmtreasurechest.com/soundtracks/steinsgate-0-selected-sound-works-2016/hqyxxqtbtn/01.%20Messenger%20-%20Main%20Theme.mp3" TargetMode="External"/><Relationship Id="rId812" Type="http://schemas.openxmlformats.org/officeDocument/2006/relationships/hyperlink" Target="https://downloads.khinsider.com/game-soundtracks/album/stellar-blade-soundtrack-2024/62.%2520Dawn.mp3" TargetMode="External"/><Relationship Id="rId813" Type="http://schemas.openxmlformats.org/officeDocument/2006/relationships/hyperlink" Target="https://audio.jukehost.co.uk/7PX07cVCk2Rp4OiLAK2a6ic15zMgWPIi" TargetMode="External"/><Relationship Id="rId814" Type="http://schemas.openxmlformats.org/officeDocument/2006/relationships/hyperlink" Target="https://audio.jukehost.co.uk/1xi6LpPDvK2Y5RvzuCnhRV6HBNZJhGr8" TargetMode="External"/><Relationship Id="rId815" Type="http://schemas.openxmlformats.org/officeDocument/2006/relationships/hyperlink" Target="https://jetta.vgmtreasurechest.com/soundtracks/stellar-blade-soundtrack-2024/booeejhj/144.%20Raven.mp3" TargetMode="External"/><Relationship Id="rId816" Type="http://schemas.openxmlformats.org/officeDocument/2006/relationships/hyperlink" Target="https://downloads.khinsider.com/game-soundtracks/album/stellar-blade-soundtrack-2024/94.%2520Shael.mp3" TargetMode="External"/><Relationship Id="rId817" Type="http://schemas.openxmlformats.org/officeDocument/2006/relationships/hyperlink" Target="https://downloads.khinsider.com/game-soundtracks/album/stellar-blade-soundtrack-2024/09.%2520Silent%2520Street%2520%2528Battle%2529.mp3" TargetMode="External"/><Relationship Id="rId818" Type="http://schemas.openxmlformats.org/officeDocument/2006/relationships/hyperlink" Target="https://audio.jukehost.co.uk/ESOfBomP0pyLnhkAG48jobnlaWlryAd2" TargetMode="External"/><Relationship Id="rId819" Type="http://schemas.openxmlformats.org/officeDocument/2006/relationships/hyperlink" Target="https://audio.jukehost.co.uk/hAjsHJOEir4XqDfpAZD5Q9knTMerJQLj" TargetMode="External"/><Relationship Id="rId820" Type="http://schemas.openxmlformats.org/officeDocument/2006/relationships/hyperlink" Target="https://jetta.vgmtreasurechest.com/soundtracks/stellar-blade-soundtrack-2024/rpzevppf/47.%20Wasteland%20%28Reboot%20Type%20A%29.mp3" TargetMode="External"/><Relationship Id="rId821" Type="http://schemas.openxmlformats.org/officeDocument/2006/relationships/hyperlink" Target="https://jetta.vgmtreasurechest.com/soundtracks/stellar-blade-soundtrack-2024/flpoboog/48.%20Wasteland%20%28Reboot%20Type%20B%29.mp3" TargetMode="External"/><Relationship Id="rId822" Type="http://schemas.openxmlformats.org/officeDocument/2006/relationships/hyperlink" Target="https://audio.jukehost.co.uk/7G7RLCqaX9vmRGNyysdlYZihdRHzV4fE" TargetMode="External"/><Relationship Id="rId823" Type="http://schemas.openxmlformats.org/officeDocument/2006/relationships/hyperlink" Target="https://audio.jukehost.co.uk/HfVVL8l42RFT5A4AhbECdYKcxLleJcDH" TargetMode="External"/><Relationship Id="rId824" Type="http://schemas.openxmlformats.org/officeDocument/2006/relationships/hyperlink" Target="https://jetta.vgmtreasurechest.com/soundtracks/stellar-blade-soundtrack-2024/wvnddgwo/44.%20Wasteland%20%28Type%20B%29.mp3" TargetMode="External"/><Relationship Id="rId825" Type="http://schemas.openxmlformats.org/officeDocument/2006/relationships/hyperlink" Target="https://audio.jukehost.co.uk/DRf8NQa73Z0w9J71euPzRRpWSAPbBHI3" TargetMode="External"/><Relationship Id="rId826" Type="http://schemas.openxmlformats.org/officeDocument/2006/relationships/hyperlink" Target="https://audio.jukehost.co.uk/MhJYSbUrqxlymHSmifhEjuUqtlkwCHgl" TargetMode="External"/><Relationship Id="rId827" Type="http://schemas.openxmlformats.org/officeDocument/2006/relationships/hyperlink" Target="https://audio.jukehost.co.uk/mlJVVI5KWFreOW6zNaCxbPL7wCkywwyW" TargetMode="External"/><Relationship Id="rId828" Type="http://schemas.openxmlformats.org/officeDocument/2006/relationships/hyperlink" Target="https://audio.jukehost.co.uk/0uMPmjIuvIVtJt31RBgJFZ3vfT3V43Jq" TargetMode="External"/><Relationship Id="rId829" Type="http://schemas.openxmlformats.org/officeDocument/2006/relationships/hyperlink" Target="https://audio.jukehost.co.uk/57MorTbbVgbmHC15d6p2RuLYIvjblT44" TargetMode="External"/><Relationship Id="rId830" Type="http://schemas.openxmlformats.org/officeDocument/2006/relationships/hyperlink" Target="https://downloads.khinsider.com/game-soundtracks/album/suika-game-android-ios-switch-gamerip-2021/01.%2520Original.mp3" TargetMode="External"/><Relationship Id="rId831" Type="http://schemas.openxmlformats.org/officeDocument/2006/relationships/hyperlink" Target="https://nu.vgmtreasurechest.com/soundtracks/suika-game-android-ios-switch-gamerip-2021/dzgmeahpvf/01.%20Original.mp3" TargetMode="External"/><Relationship Id="rId832" Type="http://schemas.openxmlformats.org/officeDocument/2006/relationships/hyperlink" Target="https://audio.jukehost.co.uk/TzNSePVDyQj9BfMDGn4sjSru97eBAFlP" TargetMode="External"/><Relationship Id="rId833" Type="http://schemas.openxmlformats.org/officeDocument/2006/relationships/hyperlink" Target="https://audio.jukehost.co.uk/EG0gOEUFFdjFdYegBp30jWWP0pT9HUo4" TargetMode="External"/><Relationship Id="rId834" Type="http://schemas.openxmlformats.org/officeDocument/2006/relationships/hyperlink" Target="https://audio.jukehost.co.uk/ItV7V6Oi8e6mKVhSK5nWU11SG2Qz4Fvz" TargetMode="External"/><Relationship Id="rId835" Type="http://schemas.openxmlformats.org/officeDocument/2006/relationships/hyperlink" Target="https://audio.jukehost.co.uk/nqFUwVjZc4Bbfvggd5nl2bHBzFWh53mb" TargetMode="External"/><Relationship Id="rId836" Type="http://schemas.openxmlformats.org/officeDocument/2006/relationships/hyperlink" Target="https://lambda.vgmtreasurechest.com/soundtracks/super-mario-64-soundtrack/shhnuigj/05.%20Super%20Mario%2064%20Main%20Theme.mp3" TargetMode="External"/><Relationship Id="rId837" Type="http://schemas.openxmlformats.org/officeDocument/2006/relationships/hyperlink" Target="https://lambda.vgmtreasurechest.com/soundtracks/super-mario-64-soundtrack/oqnpnthc/04.%20Opening.mp3" TargetMode="External"/><Relationship Id="rId838" Type="http://schemas.openxmlformats.org/officeDocument/2006/relationships/hyperlink" Target="https://audio.jukehost.co.uk/viBydezrZMTZajhXGEClzWLmZ3DMM8Ca" TargetMode="External"/><Relationship Id="rId839" Type="http://schemas.openxmlformats.org/officeDocument/2006/relationships/hyperlink" Target="https://audio.jukehost.co.uk/a4AfzSZmzBmIzVaA3jWezY3jZ1s9bnhm" TargetMode="External"/><Relationship Id="rId840" Type="http://schemas.openxmlformats.org/officeDocument/2006/relationships/hyperlink" Target="https://audio.jukehost.co.uk/iBgJyzDYegsnMkTwyu4rwUJanOEKCfGX" TargetMode="External"/><Relationship Id="rId841" Type="http://schemas.openxmlformats.org/officeDocument/2006/relationships/hyperlink" Target="https://audio.jukehost.co.uk/gvHUbhV9aSVdJgt7LZU2gjaRHCAuTgDK" TargetMode="External"/><Relationship Id="rId842" Type="http://schemas.openxmlformats.org/officeDocument/2006/relationships/hyperlink" Target="https://audio.jukehost.co.uk/jPsWPnPPyydiQmW23All09UTPP8vElZ5" TargetMode="External"/><Relationship Id="rId843" Type="http://schemas.openxmlformats.org/officeDocument/2006/relationships/hyperlink" Target="https://audio.jukehost.co.uk/mh0Mo8z6DZpD1HAi4E1Zul618LhsUdGr" TargetMode="External"/><Relationship Id="rId844" Type="http://schemas.openxmlformats.org/officeDocument/2006/relationships/hyperlink" Target="https://audio.jukehost.co.uk/RBDS5V3eJUeQI5eNLDLqP3PZ7EhDGfkq" TargetMode="External"/><Relationship Id="rId845" Type="http://schemas.openxmlformats.org/officeDocument/2006/relationships/hyperlink" Target="https://audio.jukehost.co.uk/n1EaJNeqqJ42ZnP4agBdStsXLK44cjP3" TargetMode="External"/><Relationship Id="rId846" Type="http://schemas.openxmlformats.org/officeDocument/2006/relationships/hyperlink" Target="https://lambda.vgmtreasurechest.com/soundtracks/super-mario-galaxy-2/qjyoakzt/1-33.%20Starship%20Mario%202.mp3" TargetMode="External"/><Relationship Id="rId847" Type="http://schemas.openxmlformats.org/officeDocument/2006/relationships/hyperlink" Target="https://downloads.khinsider.com/game-soundtracks/album/super-mario-odyssey-original-soundtrack/2-29.%2520Bowser%2527s%2520Castle%2520-%2520Main%2520Courtyard.mp3" TargetMode="External"/><Relationship Id="rId848" Type="http://schemas.openxmlformats.org/officeDocument/2006/relationships/hyperlink" Target="https://downloads.khinsider.com/game-soundtracks/album/super-mario-odyssey-original-soundtrack/3-21.%2520Caves.mp3" TargetMode="External"/><Relationship Id="rId849" Type="http://schemas.openxmlformats.org/officeDocument/2006/relationships/hyperlink" Target="https://downloads.khinsider.com/game-soundtracks/album/super-mario-odyssey-original-soundtrack/2-14.%2520Shiveria%2520Town.mp3" TargetMode="External"/><Relationship Id="rId850" Type="http://schemas.openxmlformats.org/officeDocument/2006/relationships/hyperlink" Target="https://downloads.khinsider.com/game-soundtracks/album/super-mario-odyssey-original-soundtrack/1-01.%2520Title%2520Screen.mp3" TargetMode="External"/><Relationship Id="rId851" Type="http://schemas.openxmlformats.org/officeDocument/2006/relationships/hyperlink" Target="https://downloads.khinsider.com/game-soundtracks/album/super-mario-odyssey-original-soundtrack/1-10.%2520You%2520Got%2520a%2520Moon%2521%25201.mp3" TargetMode="External"/><Relationship Id="rId852" Type="http://schemas.openxmlformats.org/officeDocument/2006/relationships/hyperlink" Target="https://www.youtube.com/watch?v=UDo2C_QKf_o" TargetMode="External"/><Relationship Id="rId853" Type="http://schemas.openxmlformats.org/officeDocument/2006/relationships/hyperlink" Target="https://audio.jukehost.co.uk/wkbt7TTEUxxbKCNMx6UCCZalV1xPZVik" TargetMode="External"/><Relationship Id="rId854" Type="http://schemas.openxmlformats.org/officeDocument/2006/relationships/hyperlink" Target="https://audio.jukehost.co.uk/WZttAJO04dwYfNnbHjoP1M3y6AED4DFu" TargetMode="External"/><Relationship Id="rId855" Type="http://schemas.openxmlformats.org/officeDocument/2006/relationships/hyperlink" Target="https://audio.jukehost.co.uk/aOE452SlhObNx4WY2YVbFjJtl0Eh7q3t" TargetMode="External"/><Relationship Id="rId856" Type="http://schemas.openxmlformats.org/officeDocument/2006/relationships/hyperlink" Target="https://audio.jukehost.co.uk/SQuz1icgWny3UPEMBjvYHZ4hHLuLm0ei" TargetMode="External"/><Relationship Id="rId857" Type="http://schemas.openxmlformats.org/officeDocument/2006/relationships/hyperlink" Target="https://audio.jukehost.co.uk/6Y2wty2jyF1JhBZdCzpcOc6LRBWEZ34h" TargetMode="External"/><Relationship Id="rId858" Type="http://schemas.openxmlformats.org/officeDocument/2006/relationships/hyperlink" Target="https://audio.jukehost.co.uk/sIA39N7BzD51ouVH6PFKnllyzSTQN4Dc" TargetMode="External"/><Relationship Id="rId859" Type="http://schemas.openxmlformats.org/officeDocument/2006/relationships/hyperlink" Target="https://audio.jukehost.co.uk/kiAWccCFnmr5N6MH7CH9qDszUlBHouOa" TargetMode="External"/><Relationship Id="rId860" Type="http://schemas.openxmlformats.org/officeDocument/2006/relationships/hyperlink" Target="https://audio.jukehost.co.uk/TmZWslqvz9XzjctMBx20D8rVUHbEdVvF" TargetMode="External"/><Relationship Id="rId861" Type="http://schemas.openxmlformats.org/officeDocument/2006/relationships/hyperlink" Target="https://downloads.khinsider.com/game-soundtracks/album/superman-1997-sgb/03%2520BGM%2520%252303.mp3" TargetMode="External"/><Relationship Id="rId862" Type="http://schemas.openxmlformats.org/officeDocument/2006/relationships/hyperlink" Target="https://audio.jukehost.co.uk/QcUZK2vnGWL9k2PhqEEUVhpPLIIJQRRK" TargetMode="External"/><Relationship Id="rId863" Type="http://schemas.openxmlformats.org/officeDocument/2006/relationships/hyperlink" Target="https://audio.jukehost.co.uk/39vZzFsOlqBX3rF8LTthqdLUmZSGC3sw" TargetMode="External"/><Relationship Id="rId864" Type="http://schemas.openxmlformats.org/officeDocument/2006/relationships/hyperlink" Target="https://audio.jukehost.co.uk/lZLHzosNYrbRhJ4Z2vtOMiWFFjHWDYfV" TargetMode="External"/><Relationship Id="rId865" Type="http://schemas.openxmlformats.org/officeDocument/2006/relationships/hyperlink" Target="https://audio.jukehost.co.uk/JwcKqsAOMJ4X3tdqTBnsSA3bFBCWMcIa" TargetMode="External"/><Relationship Id="rId866" Type="http://schemas.openxmlformats.org/officeDocument/2006/relationships/hyperlink" Target="https://audio.jukehost.co.uk/uEqYxlHN25dmtuo3PqzGZ9VACk7KB9Il" TargetMode="External"/><Relationship Id="rId867" Type="http://schemas.openxmlformats.org/officeDocument/2006/relationships/hyperlink" Target="https://downloads.khinsider.com/game-soundtracks/album/tekken-4-ps2-gamerip-2002/1-02%2520-%2520Jet.mp3" TargetMode="External"/><Relationship Id="rId868" Type="http://schemas.openxmlformats.org/officeDocument/2006/relationships/hyperlink" Target="https://downloads.khinsider.com/game-soundtracks/album/tekken-4-ps2-gamerip-2002/1-08%2520-%2520Kitsch.mp3" TargetMode="External"/><Relationship Id="rId869" Type="http://schemas.openxmlformats.org/officeDocument/2006/relationships/hyperlink" Target="https://downloads.khinsider.com/game-soundtracks/album/tekken-5-tekken-dark-resurrection-original-soundtrack/1-03.%2520Mode%2520select%2520~Tekken5~.mp3" TargetMode="External"/><Relationship Id="rId870" Type="http://schemas.openxmlformats.org/officeDocument/2006/relationships/hyperlink" Target="https://downloads.khinsider.com/game-soundtracks/album/tekken-5-original-soundtrack/02.%2520tekken%25205%2520-%2520neonatal.mp3" TargetMode="External"/><Relationship Id="rId871" Type="http://schemas.openxmlformats.org/officeDocument/2006/relationships/hyperlink" Target="https://downloads.khinsider.com/game-soundtracks/album/tekken-6-complete-ost/1-16.%2520Karma%2520%2528Electric%2520Fountain%2529.mp3" TargetMode="External"/><Relationship Id="rId872" Type="http://schemas.openxmlformats.org/officeDocument/2006/relationships/hyperlink" Target="https://nu.vgmtreasurechest.com/soundtracks/tekken-6-complete-ost/jwfnalgw/1-16.%20Karma%20%28Electric%20Fountain%29.mp3" TargetMode="External"/><Relationship Id="rId873" Type="http://schemas.openxmlformats.org/officeDocument/2006/relationships/hyperlink" Target="https://downloads.khinsider.com/game-soundtracks/album/tekken-6-complete-ost/1-18.%2520Yodeling%2520in%2520meadow%2520hill%2520%2528Hidden%2520Retreat%2529.mp3" TargetMode="External"/><Relationship Id="rId874" Type="http://schemas.openxmlformats.org/officeDocument/2006/relationships/hyperlink" Target="https://nu.vgmtreasurechest.com/soundtracks/tekken-6-complete-ost/jdokgcur/1-18.%20Yodeling%20in%20meadow%20hill%20%28Hidden%20Retreat%29.mp3" TargetMode="External"/><Relationship Id="rId875" Type="http://schemas.openxmlformats.org/officeDocument/2006/relationships/hyperlink" Target="https://audio.jukehost.co.uk/z5z2tPW1iW29vkMvQtl0Bw8i0FFbgGuL" TargetMode="External"/><Relationship Id="rId876" Type="http://schemas.openxmlformats.org/officeDocument/2006/relationships/hyperlink" Target="https://audio.jukehost.co.uk/Zuocg4EltUvX9Ur1mg3jIYVKUsviHJQQ" TargetMode="External"/><Relationship Id="rId877" Type="http://schemas.openxmlformats.org/officeDocument/2006/relationships/hyperlink" Target="https://audio.jukehost.co.uk/5tqI9sOKiq4CvD414m90bBT5qsWGXKMK" TargetMode="External"/><Relationship Id="rId878" Type="http://schemas.openxmlformats.org/officeDocument/2006/relationships/hyperlink" Target="https://audio.jukehost.co.uk/mc5QaPevEOzsTrjjUgsIfT2vGrlhP8b3" TargetMode="External"/><Relationship Id="rId879" Type="http://schemas.openxmlformats.org/officeDocument/2006/relationships/hyperlink" Target="https://audio.jukehost.co.uk/aQBidyIL0v3Djl1KQoaJvhoPnh4IYwwk" TargetMode="External"/><Relationship Id="rId880" Type="http://schemas.openxmlformats.org/officeDocument/2006/relationships/hyperlink" Target="https://audio.jukehost.co.uk/rRJg18lqhCC49e6EuWjlsZf6oktll7vj" TargetMode="External"/><Relationship Id="rId881" Type="http://schemas.openxmlformats.org/officeDocument/2006/relationships/hyperlink" Target="https://audio.jukehost.co.uk/b5sr7TVj4AohjMY140wt6vbMRAhRrCTl" TargetMode="External"/><Relationship Id="rId882" Type="http://schemas.openxmlformats.org/officeDocument/2006/relationships/hyperlink" Target="https://audio.jukehost.co.uk/0QxI2SHr7sZWnDaeyWKATRrBaTNJJQkr" TargetMode="External"/><Relationship Id="rId883" Type="http://schemas.openxmlformats.org/officeDocument/2006/relationships/hyperlink" Target="https://audio.jukehost.co.uk/RCPwd0jFWRt7q7rhJARoEpIlBUwNkBsv" TargetMode="External"/><Relationship Id="rId884" Type="http://schemas.openxmlformats.org/officeDocument/2006/relationships/hyperlink" Target="https://downloads.khinsider.com/game-soundtracks/album/tekken-8-original-soundtrack-2024/01.%2520My%2520Last%2520Stand.mp3" TargetMode="External"/><Relationship Id="rId885" Type="http://schemas.openxmlformats.org/officeDocument/2006/relationships/hyperlink" Target="https://jetta.vgmtreasurechest.com/soundtracks/tekken-8-original-soundtrack-2024/qhoyzevq/01.%20My%20Last%20Stand.mp3" TargetMode="External"/><Relationship Id="rId886" Type="http://schemas.openxmlformats.org/officeDocument/2006/relationships/hyperlink" Target="https://audio.jukehost.co.uk/DPqUL65JkKWhU9KZIRhauzowZLp2n3pZ" TargetMode="External"/><Relationship Id="rId887" Type="http://schemas.openxmlformats.org/officeDocument/2006/relationships/hyperlink" Target="https://downloads.khinsider.com/game-soundtracks/album/tekken-8-original-soundtrack-2024/07.%2520Neo%2520City%2520%2528Climax%2529.mp3" TargetMode="External"/><Relationship Id="rId888" Type="http://schemas.openxmlformats.org/officeDocument/2006/relationships/hyperlink" Target="https://jetta.vgmtreasurechest.com/soundtracks/tekken-8-original-soundtrack-2024/cokhivas/07.%20Neo%20City%20%28Climax%29.mp3" TargetMode="External"/><Relationship Id="rId889" Type="http://schemas.openxmlformats.org/officeDocument/2006/relationships/hyperlink" Target="https://audio.jukehost.co.uk/gOzoRqIYo08f45DnnSEGpy1ebxuflOMD" TargetMode="External"/><Relationship Id="rId890" Type="http://schemas.openxmlformats.org/officeDocument/2006/relationships/hyperlink" Target="https://audio.jukehost.co.uk/3NSjt9VC5GC75izBXKs6y9I3JcJihSHf" TargetMode="External"/><Relationship Id="rId891" Type="http://schemas.openxmlformats.org/officeDocument/2006/relationships/hyperlink" Target="https://audio.jukehost.co.uk/BdhWb7ZAeaiD0qUYbpfumD7MYlx54YDE" TargetMode="External"/><Relationship Id="rId892" Type="http://schemas.openxmlformats.org/officeDocument/2006/relationships/hyperlink" Target="https://audio.jukehost.co.uk/8ArThbFcK03exZXDaWdXvFa84NGBPGK8" TargetMode="External"/><Relationship Id="rId893" Type="http://schemas.openxmlformats.org/officeDocument/2006/relationships/hyperlink" Target="https://audio.jukehost.co.uk/TXT8F8mCPmqpycSke572nKALEhtMB8rr" TargetMode="External"/><Relationship Id="rId894" Type="http://schemas.openxmlformats.org/officeDocument/2006/relationships/hyperlink" Target="https://audio.jukehost.co.uk/ePx7znJBCKoZ2IPXYgBEO4fBEmNFSLGo" TargetMode="External"/><Relationship Id="rId895" Type="http://schemas.openxmlformats.org/officeDocument/2006/relationships/hyperlink" Target="https://audio.jukehost.co.uk/wixcRMLV3VUb65QNzUbxMjbyEsSjrvSB" TargetMode="External"/><Relationship Id="rId896" Type="http://schemas.openxmlformats.org/officeDocument/2006/relationships/hyperlink" Target="https://audio.jukehost.co.uk/vBoppMUMpl7olgKYT45IRa198657cyeR" TargetMode="External"/><Relationship Id="rId897" Type="http://schemas.openxmlformats.org/officeDocument/2006/relationships/hyperlink" Target="https://audio.jukehost.co.uk/oVKiCD1Fkq5aM4zD1rgDtKsKPmIYlmOY" TargetMode="External"/><Relationship Id="rId898" Type="http://schemas.openxmlformats.org/officeDocument/2006/relationships/hyperlink" Target="https://audio.jukehost.co.uk/DFo1wv6hy3hPaAWGl6r4ayOCaYMWp3qf" TargetMode="External"/><Relationship Id="rId899" Type="http://schemas.openxmlformats.org/officeDocument/2006/relationships/hyperlink" Target="https://audio.jukehost.co.uk/BnUARpfNffqWS8qAESdfqhzbeOhKE4Iw" TargetMode="External"/><Relationship Id="rId900" Type="http://schemas.openxmlformats.org/officeDocument/2006/relationships/hyperlink" Target="https://audio.jukehost.co.uk/2F5LT2bQ69FX8czAiCKsLchUzjMctNwU" TargetMode="External"/><Relationship Id="rId901" Type="http://schemas.openxmlformats.org/officeDocument/2006/relationships/hyperlink" Target="https://audio.jukehost.co.uk/dyUWqGXRWf62vr6RoNsqnxFzIppbk2nA" TargetMode="External"/><Relationship Id="rId902" Type="http://schemas.openxmlformats.org/officeDocument/2006/relationships/hyperlink" Target="https://audio.jukehost.co.uk/R7C0oMp1vDhF61M55yGsCLzwqojOnQbE" TargetMode="External"/><Relationship Id="rId903" Type="http://schemas.openxmlformats.org/officeDocument/2006/relationships/hyperlink" Target="https://audio.jukehost.co.uk/1vmjXNd1qXbfknTWboBVE1S5vpnD5TVC" TargetMode="External"/><Relationship Id="rId904" Type="http://schemas.openxmlformats.org/officeDocument/2006/relationships/hyperlink" Target="https://audio.jukehost.co.uk/vgPjPK8UfQssomSRbNBFnlkhVJigPYQs" TargetMode="External"/><Relationship Id="rId905" Type="http://schemas.openxmlformats.org/officeDocument/2006/relationships/hyperlink" Target="https://audio.jukehost.co.uk/ski3Hp0rRm6RpIkwbrazYGch0nhdo8TV" TargetMode="External"/><Relationship Id="rId906" Type="http://schemas.openxmlformats.org/officeDocument/2006/relationships/hyperlink" Target="https://audio.jukehost.co.uk/bQZ3yJQ8hhAT7CnHWbW3NQIAs9qw1yQ3" TargetMode="External"/><Relationship Id="rId907" Type="http://schemas.openxmlformats.org/officeDocument/2006/relationships/hyperlink" Target="https://audio.jukehost.co.uk/9zotqfQ3v7N01V9ASyDT0FtARyXaQKvu" TargetMode="External"/><Relationship Id="rId908" Type="http://schemas.openxmlformats.org/officeDocument/2006/relationships/hyperlink" Target="https://audio.jukehost.co.uk/CynK1kudEZ7u8uzEamKUmeV9FlObUkc1" TargetMode="External"/><Relationship Id="rId909" Type="http://schemas.openxmlformats.org/officeDocument/2006/relationships/hyperlink" Target="https://audio.jukehost.co.uk/3Ohq5bHUcWgwjwP4l4BQ0bxDlJ5VGGVk" TargetMode="External"/><Relationship Id="rId910" Type="http://schemas.openxmlformats.org/officeDocument/2006/relationships/hyperlink" Target="https://audio.jukehost.co.uk/YkrtjkD9MzppsoDPEAacH7Wow5N6lwl2" TargetMode="External"/><Relationship Id="rId911" Type="http://schemas.openxmlformats.org/officeDocument/2006/relationships/hyperlink" Target="https://audio.jukehost.co.uk/utTUyMikTYQkDTNkkf426rpnyTuep3J3" TargetMode="External"/><Relationship Id="rId912" Type="http://schemas.openxmlformats.org/officeDocument/2006/relationships/hyperlink" Target="https://audio.jukehost.co.uk/KCxooqK0DC4LLMpFAythrgPoCEVcNXe8" TargetMode="External"/><Relationship Id="rId913" Type="http://schemas.openxmlformats.org/officeDocument/2006/relationships/hyperlink" Target="https://audio.jukehost.co.uk/XtNg8N0usOwKBUshRZnRbURuf0CTKHKO" TargetMode="External"/><Relationship Id="rId914" Type="http://schemas.openxmlformats.org/officeDocument/2006/relationships/hyperlink" Target="https://audio.jukehost.co.uk/9hmsRpjwvmx98ti5W7a6MoyBfdQSMf6N" TargetMode="External"/><Relationship Id="rId915" Type="http://schemas.openxmlformats.org/officeDocument/2006/relationships/hyperlink" Target="https://audio.jukehost.co.uk/A2sCxQu2cbfzp2k4acfQQXQMU8QQWaAb" TargetMode="External"/><Relationship Id="rId916" Type="http://schemas.openxmlformats.org/officeDocument/2006/relationships/hyperlink" Target="https://audio.jukehost.co.uk/DyTAMgoGMSx0eZhSvTsd6LBeaiL3uXd7" TargetMode="External"/><Relationship Id="rId917" Type="http://schemas.openxmlformats.org/officeDocument/2006/relationships/hyperlink" Target="https://audio.jukehost.co.uk/hnqaauphYV9jTEtlcuOWW3ZoB2MT84b3" TargetMode="External"/><Relationship Id="rId918" Type="http://schemas.openxmlformats.org/officeDocument/2006/relationships/hyperlink" Target="https://audio.jukehost.co.uk/hbQ4BSd4qssltsqdHOqv2hRe1sD90mYf" TargetMode="External"/><Relationship Id="rId919" Type="http://schemas.openxmlformats.org/officeDocument/2006/relationships/hyperlink" Target="https://audio.jukehost.co.uk/1NScWFR9la8Y6YJu7cRLwJvprsaPEc4V" TargetMode="External"/><Relationship Id="rId920" Type="http://schemas.openxmlformats.org/officeDocument/2006/relationships/hyperlink" Target="https://audio.jukehost.co.uk/mmFvtIlkz12yNLvMVEYiOSZhGsNhHgY0" TargetMode="External"/><Relationship Id="rId921" Type="http://schemas.openxmlformats.org/officeDocument/2006/relationships/hyperlink" Target="https://audio.jukehost.co.uk/4MAo8XP1ewmUdiqdi4pjUTCgRMg6Qukc" TargetMode="External"/><Relationship Id="rId922" Type="http://schemas.openxmlformats.org/officeDocument/2006/relationships/hyperlink" Target="https://audio.jukehost.co.uk/cpkniGxWPnkgI9eN0OqxZm3EyxHq5xkx" TargetMode="External"/><Relationship Id="rId923" Type="http://schemas.openxmlformats.org/officeDocument/2006/relationships/hyperlink" Target="https://downloads.khinsider.com/game-soundtracks/album/the-messenger-disc-ii-the-future-2018/12%2520Civilization%2520in%2520the%2520Sky%2520%2528Cloud%2520Ruins%2529.mp3" TargetMode="External"/><Relationship Id="rId924" Type="http://schemas.openxmlformats.org/officeDocument/2006/relationships/hyperlink" Target="https://audio.jukehost.co.uk/mpDceaFlnoZ8WyrAR1IUasFEmLi2QQdZ" TargetMode="External"/><Relationship Id="rId925" Type="http://schemas.openxmlformats.org/officeDocument/2006/relationships/hyperlink" Target="https://downloads.khinsider.com/game-soundtracks/album/the-messenger-disc-i-the-past-2018/05%2520Forgotten%2520%2528Forlorn%2520Temple%2529.mp3" TargetMode="External"/><Relationship Id="rId926" Type="http://schemas.openxmlformats.org/officeDocument/2006/relationships/hyperlink" Target="https://audio.jukehost.co.uk/d8aTcOCG6f3R7MnDkV4BZUUldeIAKb62" TargetMode="External"/><Relationship Id="rId927" Type="http://schemas.openxmlformats.org/officeDocument/2006/relationships/hyperlink" Target="https://downloads.khinsider.com/game-soundtracks/album/the-messenger-disc-i-the-past-2018/03%2520Hills%2520of%2520Destiny%2520%2528Autumn%2520Hills%2529.mp3" TargetMode="External"/><Relationship Id="rId928" Type="http://schemas.openxmlformats.org/officeDocument/2006/relationships/hyperlink" Target="https://downloads.khinsider.com/game-soundtracks/album/the-messenger-disc-i-the-past-2018/12%2520Impossible%2520Ascent%2520%2528Searing%2520Crags%2529.mp3" TargetMode="External"/><Relationship Id="rId929" Type="http://schemas.openxmlformats.org/officeDocument/2006/relationships/hyperlink" Target="https://downloads.khinsider.com/game-soundtracks/album/the-messenger-disc-ii-the-future-2018/29%2520Phantom%2527s%2520Legacy%2520%2528Final%2520Boss%2529.mp3" TargetMode="External"/><Relationship Id="rId930" Type="http://schemas.openxmlformats.org/officeDocument/2006/relationships/hyperlink" Target="https://audio.jukehost.co.uk/YM5LTU3LHGBEqILvZmBVyG1byKWT0ss4" TargetMode="External"/><Relationship Id="rId931" Type="http://schemas.openxmlformats.org/officeDocument/2006/relationships/hyperlink" Target="https://downloads.khinsider.com/game-soundtracks/album/the-messenger-disc-i-the-past-2018/10%2520Quillshroom%2527s%2520Horrors%2520%2528Quillshroom%2520Marsh%2529.mp3" TargetMode="External"/><Relationship Id="rId932" Type="http://schemas.openxmlformats.org/officeDocument/2006/relationships/hyperlink" Target="https://downloads.khinsider.com/game-soundtracks/album/the-messenger-disc-i-the-past-2018/16%2520The%2520Arcane%2520Golem.mp3" TargetMode="External"/><Relationship Id="rId933" Type="http://schemas.openxmlformats.org/officeDocument/2006/relationships/hyperlink" Target="https://audio.jukehost.co.uk/HypI4WrzODBJwNF24m9QkVOxQsLWbGi7" TargetMode="External"/><Relationship Id="rId934" Type="http://schemas.openxmlformats.org/officeDocument/2006/relationships/hyperlink" Target="https://downloads.khinsider.com/game-soundtracks/album/the-messenger-disc-i-the-past-2018/18%2520The%2520Arcane%2520Shoppe.mp3" TargetMode="External"/><Relationship Id="rId935" Type="http://schemas.openxmlformats.org/officeDocument/2006/relationships/hyperlink" Target="https://downloads.khinsider.com/game-soundtracks/album/the-messenger-disc-ii-the-future-2018/09%2520The%2520Frozen%2520Dark%2520%2528Glacial%2520Peak%2529.mp3" TargetMode="External"/><Relationship Id="rId936" Type="http://schemas.openxmlformats.org/officeDocument/2006/relationships/hyperlink" Target="https://audio.jukehost.co.uk/lsRDwLIzXKQq52BT7s0B20HWmo2U2gqs" TargetMode="External"/><Relationship Id="rId937" Type="http://schemas.openxmlformats.org/officeDocument/2006/relationships/hyperlink" Target="https://downloads.khinsider.com/game-soundtracks/album/the-messenger-disc-i-the-past-2018/14%2520The%2520Frozen%2520Light%2520%2528Glacial%2520Peak%2529.mp3" TargetMode="External"/><Relationship Id="rId938" Type="http://schemas.openxmlformats.org/officeDocument/2006/relationships/hyperlink" Target="https://downloads.khinsider.com/game-soundtracks/album/the-messenger-disc-ii-the-future-2018/11%2520The%2520Shopkeeper.mp3" TargetMode="External"/><Relationship Id="rId939" Type="http://schemas.openxmlformats.org/officeDocument/2006/relationships/hyperlink" Target="https://nu.vgmtreasurechest.com/soundtracks/the-messenger-disc-ii-the-future-2018/ltjorrka/11%20The%20Shopkeeper.mp3" TargetMode="External"/><Relationship Id="rId940" Type="http://schemas.openxmlformats.org/officeDocument/2006/relationships/hyperlink" Target="https://downloads.khinsider.com/game-soundtracks/album/the-midnight-walk-original-game-soundtrack-2025/30.%2520Gr%25C3%25A4ns.mp3" TargetMode="External"/><Relationship Id="rId941" Type="http://schemas.openxmlformats.org/officeDocument/2006/relationships/hyperlink" Target="https://lambda.vgmtreasurechest.com/soundtracks/the-midnight-walk-original-game-soundtrack-2025/mpwnejpvcv/30.%20Gr&#228;ns.mp3" TargetMode="External"/><Relationship Id="rId942" Type="http://schemas.openxmlformats.org/officeDocument/2006/relationships/hyperlink" Target="https://audio.jukehost.co.uk/ISeQIkfq6VYkoiIwiV6bx9xFVfNaNfN3" TargetMode="External"/><Relationship Id="rId943" Type="http://schemas.openxmlformats.org/officeDocument/2006/relationships/hyperlink" Target="https://audio.jukehost.co.uk/mfohKxRnA8lF1eOW3rjJfyfIYDDBcXSI" TargetMode="External"/><Relationship Id="rId944" Type="http://schemas.openxmlformats.org/officeDocument/2006/relationships/hyperlink" Target="https://audio.jukehost.co.uk/C0FQm1wZkQaOobmqT1YMdCfyMdnyB8wq" TargetMode="External"/><Relationship Id="rId945" Type="http://schemas.openxmlformats.org/officeDocument/2006/relationships/hyperlink" Target="https://audio.jukehost.co.uk/EuRHfdjA0rGoP4XlgvVYWaIK1PdHpxJO" TargetMode="External"/><Relationship Id="rId946" Type="http://schemas.openxmlformats.org/officeDocument/2006/relationships/hyperlink" Target="https://audio.jukehost.co.uk/GvbO5cBZKyFo42CWqAEcvmjERxs2GQ53" TargetMode="External"/><Relationship Id="rId947" Type="http://schemas.openxmlformats.org/officeDocument/2006/relationships/hyperlink" Target="https://audio.jukehost.co.uk/C1zGqW50h8255jO2hNp4pAQqYeBUzGGV" TargetMode="External"/><Relationship Id="rId948" Type="http://schemas.openxmlformats.org/officeDocument/2006/relationships/hyperlink" Target="https://audio.jukehost.co.uk/wAC68wtlAEcVwLyiAfd8v5VUxMEZxLYR" TargetMode="External"/><Relationship Id="rId949" Type="http://schemas.openxmlformats.org/officeDocument/2006/relationships/hyperlink" Target="https://audio.jukehost.co.uk/GWcN7CqMEwK1T2tSC8GuMesXLwN6TWax" TargetMode="External"/><Relationship Id="rId950" Type="http://schemas.openxmlformats.org/officeDocument/2006/relationships/hyperlink" Target="https://audio.jukehost.co.uk/JpN1gWB0C8ARhb6I5eTqDI0ebE8uFPMQ" TargetMode="External"/><Relationship Id="rId951" Type="http://schemas.openxmlformats.org/officeDocument/2006/relationships/hyperlink" Target="https://audio.jukehost.co.uk/ttU3SVdVbXAAXcicdTrQu6uoKaV3IbCh" TargetMode="External"/><Relationship Id="rId952" Type="http://schemas.openxmlformats.org/officeDocument/2006/relationships/hyperlink" Target="https://audio.jukehost.co.uk/pW31wUh1bh1IVPvmUPLXlYdwFC0t4GNQ" TargetMode="External"/><Relationship Id="rId953" Type="http://schemas.openxmlformats.org/officeDocument/2006/relationships/hyperlink" Target="https://audio.jukehost.co.uk/ZiYRxWbkR5rTmlgAH9CqQRHX5fdLzHGE" TargetMode="External"/><Relationship Id="rId954" Type="http://schemas.openxmlformats.org/officeDocument/2006/relationships/hyperlink" Target="https://audio.jukehost.co.uk/5gCVerqV34ubDSYGQ4oUGKscBa19EDW7" TargetMode="External"/><Relationship Id="rId955" Type="http://schemas.openxmlformats.org/officeDocument/2006/relationships/hyperlink" Target="https://audio.jukehost.co.uk/C2rJKpQtreNNDjoI1suu3ExBUt1qtZ0r" TargetMode="External"/><Relationship Id="rId956" Type="http://schemas.openxmlformats.org/officeDocument/2006/relationships/hyperlink" Target="https://audio.jukehost.co.uk/2AUE8O5PwvNnGe4oGchBF7VhPB9F2DRm" TargetMode="External"/><Relationship Id="rId957" Type="http://schemas.openxmlformats.org/officeDocument/2006/relationships/hyperlink" Target="https://audio.jukehost.co.uk/9GDOaqVKWm4Q1UUY4opm7F7Eoul6SmfD" TargetMode="External"/><Relationship Id="rId958" Type="http://schemas.openxmlformats.org/officeDocument/2006/relationships/hyperlink" Target="https://audio.jukehost.co.uk/0rne0e5Le5G7aLHueoob3LiC1lSu5TAV" TargetMode="External"/><Relationship Id="rId959" Type="http://schemas.openxmlformats.org/officeDocument/2006/relationships/hyperlink" Target="https://audio.jukehost.co.uk/Wk2MtL5R8TMlhGDLe4FUYw0mxEZHll4x" TargetMode="External"/><Relationship Id="rId960" Type="http://schemas.openxmlformats.org/officeDocument/2006/relationships/hyperlink" Target="https://audio.jukehost.co.uk/75UQ5mhKTTWWPJO6kK8S2aJ9QoQHKpJP" TargetMode="External"/><Relationship Id="rId961" Type="http://schemas.openxmlformats.org/officeDocument/2006/relationships/hyperlink" Target="https://audio.jukehost.co.uk/MW6IuNsRnF3HDJVy6Ip6B9xvbfEgupjY" TargetMode="External"/><Relationship Id="rId962" Type="http://schemas.openxmlformats.org/officeDocument/2006/relationships/hyperlink" Target="https://audio.jukehost.co.uk/BNUeRwnvzPbODrlXCoUDVFhBWw9GkzVl" TargetMode="External"/><Relationship Id="rId963" Type="http://schemas.openxmlformats.org/officeDocument/2006/relationships/hyperlink" Target="https://www.youtube.com/watch?v=uMUCJdpEPQs" TargetMode="External"/><Relationship Id="rId964" Type="http://schemas.openxmlformats.org/officeDocument/2006/relationships/hyperlink" Target="https://audio.jukehost.co.uk/0mWavtkJotBftStWvu2r3j6Y3PyuyQsh" TargetMode="External"/><Relationship Id="rId965" Type="http://schemas.openxmlformats.org/officeDocument/2006/relationships/hyperlink" Target="https://audio.jukehost.co.uk/exTVA5dAsqC8AIb3WFM0FOa1zV4eoJmv" TargetMode="External"/><Relationship Id="rId966" Type="http://schemas.openxmlformats.org/officeDocument/2006/relationships/hyperlink" Target="https://audio.jukehost.co.uk/JCpn87wKC2YVY5r3XOSdi3nbTBR8KLt5" TargetMode="External"/><Relationship Id="rId967" Type="http://schemas.openxmlformats.org/officeDocument/2006/relationships/hyperlink" Target="https://audio.jukehost.co.uk/ZdvbUtscPqunww9XoFWaw1Uk5Uxzt5z5" TargetMode="External"/><Relationship Id="rId968" Type="http://schemas.openxmlformats.org/officeDocument/2006/relationships/hyperlink" Target="https://audio.jukehost.co.uk/vWAIpKb10Awx0PDh05N6XlXX1ukeEzvN" TargetMode="External"/><Relationship Id="rId969" Type="http://schemas.openxmlformats.org/officeDocument/2006/relationships/hyperlink" Target="https://audio.jukehost.co.uk/RXNslWkbKrzvyw4tBJ7u4VFAB2JHoox0" TargetMode="External"/><Relationship Id="rId970" Type="http://schemas.openxmlformats.org/officeDocument/2006/relationships/hyperlink" Target="https://audio.jukehost.co.uk/YZeIdCFYhJc1Nez5Wl0Wa2I5LgfarNHy" TargetMode="External"/><Relationship Id="rId971" Type="http://schemas.openxmlformats.org/officeDocument/2006/relationships/hyperlink" Target="https://audio.jukehost.co.uk/0gtr88gmcqYKXJJDA4n0DVbd84YG1aTS" TargetMode="External"/><Relationship Id="rId972" Type="http://schemas.openxmlformats.org/officeDocument/2006/relationships/hyperlink" Target="https://audio.jukehost.co.uk/dViOchFPdNtAzazMWadkEqnbCMy47249" TargetMode="External"/><Relationship Id="rId973" Type="http://schemas.openxmlformats.org/officeDocument/2006/relationships/hyperlink" Target="https://audio.jukehost.co.uk/eQjoXYZbiDv981pzEVTCR6v3rTVOZyUY" TargetMode="External"/><Relationship Id="rId974" Type="http://schemas.openxmlformats.org/officeDocument/2006/relationships/hyperlink" Target="https://jetta.vgmtreasurechest.com/soundtracks/viva-pinata-original-soundtrack/uthgljoq/24%20Soil%20Song.mp3" TargetMode="External"/><Relationship Id="rId975" Type="http://schemas.openxmlformats.org/officeDocument/2006/relationships/hyperlink" Target="https://audio.jukehost.co.uk/e7ubm0l9auLp04DAktt3bRdbmV8PVoSP" TargetMode="External"/><Relationship Id="rId976" Type="http://schemas.openxmlformats.org/officeDocument/2006/relationships/hyperlink" Target="https://audio.jukehost.co.uk/73FLsrvJStf4gAxOL2iS20fhLC50yJFm" TargetMode="External"/><Relationship Id="rId977" Type="http://schemas.openxmlformats.org/officeDocument/2006/relationships/hyperlink" Target="https://audio.jukehost.co.uk/sZ8TysT6uP8UiWmBf39kP5QozA0ZRKkk" TargetMode="External"/><Relationship Id="rId978" Type="http://schemas.openxmlformats.org/officeDocument/2006/relationships/hyperlink" Target="https://audio.jukehost.co.uk/TtIlyx98tGOpqW0T0BbzcGVwp4BLkNvG" TargetMode="External"/><Relationship Id="rId979" Type="http://schemas.openxmlformats.org/officeDocument/2006/relationships/hyperlink" Target="https://audio.jukehost.co.uk/yqZ9vPzmyIkw6fQPihdPMWJHmA3bneqI" TargetMode="External"/><Relationship Id="rId980" Type="http://schemas.openxmlformats.org/officeDocument/2006/relationships/hyperlink" Target="https://audio.jukehost.co.uk/8j8DzrACPGDHsr2SnYUCpODsI5d6zvKn" TargetMode="External"/><Relationship Id="rId981" Type="http://schemas.openxmlformats.org/officeDocument/2006/relationships/hyperlink" Target="https://audio.jukehost.co.uk/vwmcUG9sebMovzcyFK2d0LSOZF91gXGK" TargetMode="External"/><Relationship Id="rId982" Type="http://schemas.openxmlformats.org/officeDocument/2006/relationships/hyperlink" Target="https://audio.jukehost.co.uk/PFmURYhAAx9C1szZO4ZOh10cJ8XHkC5X" TargetMode="External"/><Relationship Id="rId983" Type="http://schemas.openxmlformats.org/officeDocument/2006/relationships/hyperlink" Target="https://audio.jukehost.co.uk/80xU3SuzcmdRPB1MSi3H5poGcIFGgn14" TargetMode="External"/><Relationship Id="rId984" Type="http://schemas.openxmlformats.org/officeDocument/2006/relationships/hyperlink" Target="https://audio.jukehost.co.uk/x37OJSzjrw0FXGQDSE9VpUsP0kQANaRK" TargetMode="External"/><Relationship Id="rId985" Type="http://schemas.openxmlformats.org/officeDocument/2006/relationships/hyperlink" Target="https://audio.jukehost.co.uk/JnNHQvBTt2bQi6SQKOtUvePPa7YUPKWz" TargetMode="External"/><Relationship Id="rId986" Type="http://schemas.openxmlformats.org/officeDocument/2006/relationships/hyperlink" Target="https://audio.jukehost.co.uk/hyg0qqKlKnzyO5uhle0WtoG99rvbvPgg" TargetMode="External"/><Relationship Id="rId987" Type="http://schemas.openxmlformats.org/officeDocument/2006/relationships/hyperlink" Target="https://audio.jukehost.co.uk/sXR3tFsi0y8Gr27V3jfoTrT8F2HzY4Xj" TargetMode="External"/><Relationship Id="rId988" Type="http://schemas.openxmlformats.org/officeDocument/2006/relationships/hyperlink" Target="https://audio.jukehost.co.uk/yXGUYE3DxMeQwFW69BilkJGg0n6zdiMH" TargetMode="External"/><Relationship Id="rId989" Type="http://schemas.openxmlformats.org/officeDocument/2006/relationships/hyperlink" Target="https://audio.jukehost.co.uk/BVAWn1VWYkLlL6RTGJLj7sqP47bEcqu6" TargetMode="External"/><Relationship Id="rId990" Type="http://schemas.openxmlformats.org/officeDocument/2006/relationships/hyperlink" Target="https://audio.jukehost.co.uk/rzU808BePSQ2mtoP0etkJBrADF75bKX6" TargetMode="External"/><Relationship Id="rId991" Type="http://schemas.openxmlformats.org/officeDocument/2006/relationships/hyperlink" Target="https://audio.jukehost.co.uk/ZZurfn5onUca7m7HJSEwmJmrZ6noRdPi" TargetMode="External"/><Relationship Id="rId992" Type="http://schemas.openxmlformats.org/officeDocument/2006/relationships/hyperlink" Target="https://audio.jukehost.co.uk/UARJqfNDyLeyBnvMAfn00wearsg0xMVo" TargetMode="External"/><Relationship Id="rId993" Type="http://schemas.openxmlformats.org/officeDocument/2006/relationships/hyperlink" Target="https://nu.vgmtreasurechest.com/soundtracks/the-legend-of-zelda-a-link-between-worlds-original-soundtrack-2014/yzaycjrsps/2-42.%20Ballad%20of%20the%20Goddess%20%28Milk%20Bar%20Musicians%29.mp3" TargetMode="External"/><Relationship Id="rId994" Type="http://schemas.openxmlformats.org/officeDocument/2006/relationships/hyperlink" Target="https://nu.vgmtreasurechest.com/soundtracks/the-legend-of-zelda-a-link-between-worlds-original-soundtrack-2014/ppcbtqychp/2-23.%20Lorule%20Castle.mp3" TargetMode="External"/><Relationship Id="rId995" Type="http://schemas.openxmlformats.org/officeDocument/2006/relationships/hyperlink" Target="https://nu.vgmtreasurechest.com/soundtracks/the-legend-of-zelda-a-link-between-worlds-original-soundtrack-2014/jxwjacddqx/2-15.%20Sneaking%20into%20the%20Dark%20Palace.mp3" TargetMode="External"/><Relationship Id="rId996" Type="http://schemas.openxmlformats.org/officeDocument/2006/relationships/hyperlink" Target="https://jetta.vgmtreasurechest.com/soundtracks/legend-of-zelda-the-a-link-to-the-past-snes/tutksjpa/16.%20Sanctuary%20Dungeon.mp3" TargetMode="External"/><Relationship Id="rId997" Type="http://schemas.openxmlformats.org/officeDocument/2006/relationships/hyperlink" Target="https://audio.jukehost.co.uk/C4cxIUWPl1uINF0qqb85xe8qClNsbNEf" TargetMode="External"/><Relationship Id="rId998" Type="http://schemas.openxmlformats.org/officeDocument/2006/relationships/hyperlink" Target="https://audio.jukehost.co.uk/NrQIENaiELeEJlaWGIMGnLrNZ6N68N1d" TargetMode="External"/><Relationship Id="rId999" Type="http://schemas.openxmlformats.org/officeDocument/2006/relationships/hyperlink" Target="https://audio.jukehost.co.uk/M5BJB0runmhwtc2oxNYcftsFxcXsFqKf" TargetMode="External"/><Relationship Id="rId1000" Type="http://schemas.openxmlformats.org/officeDocument/2006/relationships/hyperlink" Target="https://audio.jukehost.co.uk/eniCOP07iSvqXJrbhkEXWkVlmJoFZtXm" TargetMode="External"/><Relationship Id="rId1001" Type="http://schemas.openxmlformats.org/officeDocument/2006/relationships/hyperlink" Target="https://audio.jukehost.co.uk/4JE7qzM1tquUSTv5Cwf9cpd0ZYwyFMc6" TargetMode="External"/><Relationship Id="rId1002" Type="http://schemas.openxmlformats.org/officeDocument/2006/relationships/hyperlink" Target="https://audio.jukehost.co.uk/Mwgdz3wgvmGD0TVRUouCxpqRIlDQ1Rqy" TargetMode="External"/><Relationship Id="rId1003" Type="http://schemas.openxmlformats.org/officeDocument/2006/relationships/hyperlink" Target="https://audio.jukehost.co.uk/wrypfoMqQdb1YAiKp3Y3mCykG6LZ4JCe" TargetMode="External"/><Relationship Id="rId1004" Type="http://schemas.openxmlformats.org/officeDocument/2006/relationships/hyperlink" Target="https://audio.jukehost.co.uk/acryNPc1ocLu2oMAhq50ij9C7G1cuqef" TargetMode="External"/><Relationship Id="rId1005" Type="http://schemas.openxmlformats.org/officeDocument/2006/relationships/hyperlink" Target="https://audio.jukehost.co.uk/Iz6dnanXrVLD4kzKZGdS4h385ZkmHbEz" TargetMode="External"/><Relationship Id="rId1006" Type="http://schemas.openxmlformats.org/officeDocument/2006/relationships/hyperlink" Target="https://audio.jukehost.co.uk/qkfwDepgj0RYkX2kvE8aK8ywuZwDO3pw" TargetMode="External"/><Relationship Id="rId1007" Type="http://schemas.openxmlformats.org/officeDocument/2006/relationships/hyperlink" Target="https://audio.jukehost.co.uk/zwDQXXimu7w7wDxUwonf8IKLMBT3txIp" TargetMode="External"/><Relationship Id="rId1008" Type="http://schemas.openxmlformats.org/officeDocument/2006/relationships/hyperlink" Target="https://nu.vgmtreasurechest.com/soundtracks/legend-of-zelda-the-link-s-awakening-2019-remake-gamerip/saxnuktm/1-10%20Mabe%20Village.mp3" TargetMode="External"/><Relationship Id="rId1009" Type="http://schemas.openxmlformats.org/officeDocument/2006/relationships/hyperlink" Target="https://audio.jukehost.co.uk/LRiqBM5MtUYVSCIZC37Tf2V4LB3zPEva" TargetMode="External"/><Relationship Id="rId1010" Type="http://schemas.openxmlformats.org/officeDocument/2006/relationships/hyperlink" Target="https://lambda.vgmtreasurechest.com/soundtracks/legend-of-zelda-the-ocarina-of-time-original-sound-track-1998/gtbynwsx/59%20Forest%20Temple.mp3" TargetMode="External"/><Relationship Id="rId1011" Type="http://schemas.openxmlformats.org/officeDocument/2006/relationships/hyperlink" Target="https://audio.jukehost.co.uk/1wFkgKbyD1SkiMAEgiDRewr869iCDoCz" TargetMode="External"/><Relationship Id="rId1012" Type="http://schemas.openxmlformats.org/officeDocument/2006/relationships/hyperlink" Target="https://audio.jukehost.co.uk/wF2JQ36Ha3cYCcNcBveeyQqwGBApzCia" TargetMode="External"/><Relationship Id="rId1013" Type="http://schemas.openxmlformats.org/officeDocument/2006/relationships/hyperlink" Target="https://audio.jukehost.co.uk/nSGQjwDfWE7BMmOk1UIU2uUnfu80bFPj" TargetMode="External"/><Relationship Id="rId1014" Type="http://schemas.openxmlformats.org/officeDocument/2006/relationships/hyperlink" Target="https://audio.jukehost.co.uk/eJvKDWn6japUd6go0hLsOut08uesFWBS" TargetMode="External"/><Relationship Id="rId1015" Type="http://schemas.openxmlformats.org/officeDocument/2006/relationships/hyperlink" Target="https://downloads.khinsider.com/game-soundtracks/album/the-legend-of-zelda-skyward-sword-wii-gamerip-2011/226.%2520Pirates%2520Stronghold%2520%2528Exterior%252C%2520Timeshift%2520Stone%2529.mp3" TargetMode="External"/><Relationship Id="rId1016" Type="http://schemas.openxmlformats.org/officeDocument/2006/relationships/hyperlink" Target="https://lambda.vgmtreasurechest.com/soundtracks/the-legend-of-zelda-skyward-sword-wii-gamerip-2011/gyahhpeb/226.%20Pirates%20Stronghold%20%28Exterior%2C%20Timeshift%20Stone%29.mp3" TargetMode="External"/><Relationship Id="rId1017" Type="http://schemas.openxmlformats.org/officeDocument/2006/relationships/hyperlink" Target="https://audio.jukehost.co.uk/64ip66XSNnYi3IyOMvPkvrbxozqEznqQ" TargetMode="External"/><Relationship Id="rId1018" Type="http://schemas.openxmlformats.org/officeDocument/2006/relationships/hyperlink" Target="https://jetta.vgmtreasurechest.com/soundtracks/the-legend-of-zelda-spirit-tracks/tatsjrfa/148.%20Fight%20Against%20Byrne.mp3" TargetMode="External"/><Relationship Id="rId1019" Type="http://schemas.openxmlformats.org/officeDocument/2006/relationships/hyperlink" Target="https://audio.jukehost.co.uk/ujyx2ZaPCG9BwQLtbAfsTZyV2vOZhDvL" TargetMode="External"/><Relationship Id="rId1020" Type="http://schemas.openxmlformats.org/officeDocument/2006/relationships/hyperlink" Target="https://jetta.vgmtreasurechest.com/soundtracks/the-legend-of-zelda-spirit-tracks/gzggnvqp/058.%20Overworld%20Adventure.mp3" TargetMode="External"/><Relationship Id="rId1021" Type="http://schemas.openxmlformats.org/officeDocument/2006/relationships/hyperlink" Target="https://downloads.khinsider.com/game-soundtracks/album/the-legend-of-zelda-spirit-tracks/047.%2520Tower%2520of%2520Spirits.mp3" TargetMode="External"/><Relationship Id="rId1022" Type="http://schemas.openxmlformats.org/officeDocument/2006/relationships/hyperlink" Target="https://jetta.vgmtreasurechest.com/soundtracks/the-legend-of-zelda-spirit-tracks/pwmvsbet/047.%20Tower%20of%20Spirits.mp3" TargetMode="External"/><Relationship Id="rId1023" Type="http://schemas.openxmlformats.org/officeDocument/2006/relationships/hyperlink" Target="https://downloads.khinsider.com/game-soundtracks/album/the-legend-of-zelda-tears-of-the-kingdom-o.s.t-switch-gamerip-2023/9-07.%2520Scourge%2520of%2520the%2520Spirit%2520Temple%252C%2520Seized%2520Construct%2520Battle.mp3" TargetMode="External"/><Relationship Id="rId1024" Type="http://schemas.openxmlformats.org/officeDocument/2006/relationships/hyperlink" Target="https://jetta.vgmtreasurechest.com/soundtracks/the-legend-of-zelda-tears-of-the-kingdom-o.s.t-switch-gamerip-2023/jjrkxjes/9-07.%20Scourge%20of%20the%20Spirit%20Temple%2C%20Seized%20Construct%20Battle.mp3" TargetMode="External"/><Relationship Id="rId1025" Type="http://schemas.openxmlformats.org/officeDocument/2006/relationships/hyperlink" Target="https://audio.jukehost.co.uk/mGxzUIYk70XyMDjp6BNamXVmppE8fbsB" TargetMode="External"/><Relationship Id="rId1026" Type="http://schemas.openxmlformats.org/officeDocument/2006/relationships/hyperlink" Target="https://audio.jukehost.co.uk/uVp8UGSRcy0d31Hepjvin1qPft2IdIet" TargetMode="External"/><Relationship Id="rId1027" Type="http://schemas.openxmlformats.org/officeDocument/2006/relationships/hyperlink" Target="https://downloads.khinsider.com/game-soundtracks/album/zelda-the-wand-of-gamelon-cdi/29_Sakado%2520Graveyard.mp3" TargetMode="External"/><Relationship Id="rId1028" Type="http://schemas.openxmlformats.org/officeDocument/2006/relationships/hyperlink" Target="https://jetta.vgmtreasurechest.com/soundtracks/zelda-the-wand-of-gamelon-cdi/shgmrwhx/29_Sakado%20Graveyard.mp3" TargetMode="External"/><Relationship Id="rId1029" Type="http://schemas.openxmlformats.org/officeDocument/2006/relationships/hyperlink" Target="https://downloads.khinsider.com/game-soundtracks/album/legend-of-zelda-the-the-wind-waker-hd-2013-wii-u-gamerip/4-02.%2520Molgera%2520Battle.mp3" TargetMode="External"/><Relationship Id="rId1030" Type="http://schemas.openxmlformats.org/officeDocument/2006/relationships/hyperlink" Target="https://nu.vgmtreasurechest.com/soundtracks/legend-of-zelda-the-the-wind-waker-hd-2013-wii-u-gamerip/fsgtsgaupi/4-02.%20Molgera%20Battle.mp3" TargetMode="External"/><Relationship Id="rId1031" Type="http://schemas.openxmlformats.org/officeDocument/2006/relationships/hyperlink" Target="https://audio.jukehost.co.uk/wJusP7MZGDUJKS8s6OpFCu29pXX7hx8y" TargetMode="External"/><Relationship Id="rId1032" Type="http://schemas.openxmlformats.org/officeDocument/2006/relationships/hyperlink" Target="https://audio.jukehost.co.uk/2Yfn7psjp8uWyfT9hfxwWSqgsUrQjqri" TargetMode="External"/><Relationship Id="rId103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G4" activeCellId="0" sqref="AG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.13"/>
    <col collapsed="false" customWidth="true" hidden="false" outlineLevel="0" max="2" min="2" style="1" width="26"/>
    <col collapsed="false" customWidth="true" hidden="false" outlineLevel="0" max="3" min="3" style="1" width="23.75"/>
    <col collapsed="false" customWidth="true" hidden="false" outlineLevel="0" max="4" min="4" style="1" width="13.88"/>
    <col collapsed="false" customWidth="true" hidden="false" outlineLevel="0" max="5" min="5" style="1" width="19.13"/>
    <col collapsed="false" customWidth="true" hidden="false" outlineLevel="0" max="6" min="6" style="1" width="0.63"/>
    <col collapsed="false" customWidth="true" hidden="false" outlineLevel="0" max="7" min="7" style="1" width="5.63"/>
    <col collapsed="false" customWidth="true" hidden="false" outlineLevel="0" max="8" min="8" style="1" width="9.52"/>
    <col collapsed="false" customWidth="true" hidden="false" outlineLevel="0" max="9" min="9" style="1" width="4.5"/>
    <col collapsed="false" customWidth="true" hidden="false" outlineLevel="0" max="10" min="10" style="1" width="9.25"/>
    <col collapsed="false" customWidth="true" hidden="false" outlineLevel="0" max="23" min="11" style="1" width="4.5"/>
    <col collapsed="false" customWidth="true" hidden="false" outlineLevel="0" max="24" min="24" style="1" width="8.5"/>
    <col collapsed="false" customWidth="true" hidden="false" outlineLevel="0" max="39" min="25" style="1" width="4.5"/>
    <col collapsed="false" customWidth="true" hidden="false" outlineLevel="0" max="81" min="40" style="1" width="3.88"/>
  </cols>
  <sheetData>
    <row r="1" customFormat="false" ht="21.6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3"/>
      <c r="L1" s="3"/>
      <c r="M1" s="3"/>
      <c r="N1" s="4"/>
      <c r="O1" s="3"/>
      <c r="P1" s="3"/>
      <c r="Q1" s="3"/>
      <c r="R1" s="3"/>
      <c r="S1" s="3"/>
      <c r="T1" s="3"/>
      <c r="U1" s="3"/>
      <c r="V1" s="5"/>
      <c r="W1" s="3"/>
      <c r="X1" s="3"/>
      <c r="Y1" s="3"/>
      <c r="Z1" s="3"/>
      <c r="AA1" s="5"/>
      <c r="AB1" s="5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22.05" hidden="false" customHeight="fals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7"/>
      <c r="J2" s="3" t="s">
        <v>3</v>
      </c>
      <c r="K2" s="3"/>
      <c r="L2" s="3"/>
      <c r="M2" s="3"/>
      <c r="N2" s="4"/>
      <c r="O2" s="3"/>
      <c r="P2" s="3"/>
      <c r="Q2" s="3"/>
      <c r="R2" s="3"/>
      <c r="S2" s="3"/>
      <c r="T2" s="3"/>
      <c r="U2" s="3"/>
      <c r="V2" s="5"/>
      <c r="W2" s="3"/>
      <c r="X2" s="3"/>
      <c r="Y2" s="3"/>
      <c r="Z2" s="3"/>
      <c r="AA2" s="5"/>
      <c r="AB2" s="5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22.05" hidden="false" customHeight="false" outlineLevel="0" collapsed="false">
      <c r="A3" s="6" t="s">
        <v>4</v>
      </c>
      <c r="B3" s="6"/>
      <c r="C3" s="6"/>
      <c r="D3" s="6"/>
      <c r="E3" s="6"/>
      <c r="F3" s="6"/>
      <c r="G3" s="6"/>
      <c r="H3" s="6"/>
      <c r="I3" s="7"/>
      <c r="J3" s="3"/>
      <c r="K3" s="3"/>
      <c r="L3" s="3"/>
      <c r="M3" s="3"/>
      <c r="N3" s="4"/>
      <c r="O3" s="3"/>
      <c r="P3" s="3"/>
      <c r="Q3" s="3"/>
      <c r="R3" s="3"/>
      <c r="S3" s="3"/>
      <c r="T3" s="3"/>
      <c r="U3" s="3"/>
      <c r="V3" s="5"/>
      <c r="W3" s="3"/>
      <c r="X3" s="3"/>
      <c r="Y3" s="3"/>
      <c r="Z3" s="3"/>
      <c r="AA3" s="5"/>
      <c r="AB3" s="5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customFormat="false" ht="15.75" hidden="false" customHeight="false" outlineLevel="0" collapsed="false">
      <c r="A4" s="3" t="str">
        <f aca="false">IFERROR(__xludf.dummyfunction("CONCAT(""Licence, nb: "", TO_TEXT(COUNTA(UNIQUE(A7:A10370))))"),"Licence, nb: 314")</f>
        <v>Licence, nb: 314</v>
      </c>
      <c r="B4" s="3" t="str">
        <f aca="false">IFERROR(__xludf.dummyfunction("CONCAT(""Jeu, nb: "", TO_TEXT(COUNTA(UNIQUE(B7:B10370))))"),"Jeu, nb: 540")</f>
        <v>Jeu, nb: 540</v>
      </c>
      <c r="C4" s="3" t="str">
        <f aca="false">IFERROR(__xludf.dummyfunction("CONCAT(""OST, nb: "", TO_TEXT(COUNTA(C7:C10370)))"),"OST, nb: 1292")</f>
        <v>OST, nb: 1292</v>
      </c>
      <c r="D4" s="3" t="s">
        <v>5</v>
      </c>
      <c r="E4" s="3" t="str">
        <f aca="false">IFERROR(__xludf.dummyfunction("CONCAT(""Lien page web, nb: "", TO_TEXT(COUNTA(E7:E10370)))"),"Lien page web, nb: 133")</f>
        <v>Lien page web, nb: 133</v>
      </c>
      <c r="F4" s="3"/>
      <c r="G4" s="3" t="s">
        <v>6</v>
      </c>
      <c r="H4" s="3" t="s">
        <v>7</v>
      </c>
      <c r="I4" s="3" t="s">
        <v>8</v>
      </c>
      <c r="J4" s="3" t="s">
        <v>9</v>
      </c>
      <c r="K4" s="8" t="s">
        <v>10</v>
      </c>
      <c r="L4" s="8" t="s">
        <v>11</v>
      </c>
      <c r="M4" s="3" t="s">
        <v>12</v>
      </c>
      <c r="N4" s="4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5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5" t="s">
        <v>26</v>
      </c>
      <c r="AB4" s="5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/>
      <c r="AI4" s="3"/>
      <c r="AJ4" s="3"/>
      <c r="AK4" s="3"/>
      <c r="AL4" s="3"/>
      <c r="AM4" s="3"/>
    </row>
    <row r="5" customFormat="false" ht="15.75" hidden="false" customHeight="false" outlineLevel="0" collapsed="false">
      <c r="A5" s="5" t="s">
        <v>33</v>
      </c>
      <c r="B5" s="5" t="s">
        <v>33</v>
      </c>
      <c r="C5" s="5" t="s">
        <v>34</v>
      </c>
      <c r="D5" s="5"/>
      <c r="E5" s="5"/>
      <c r="F5" s="5"/>
      <c r="G5" s="9" t="s">
        <v>35</v>
      </c>
      <c r="H5" s="5" t="n">
        <f aca="false">(COUNTIF(J5:EC5,"=0")+COUNTIF(J5:EC5,"=1"))</f>
        <v>6</v>
      </c>
      <c r="I5" s="10" t="n">
        <f aca="false">IFERROR(ROUND(10-AVERAGE(J5:EC5)*10,0),0)</f>
        <v>10</v>
      </c>
      <c r="J5" s="11" t="n">
        <v>0</v>
      </c>
      <c r="K5" s="11" t="n">
        <v>0</v>
      </c>
      <c r="L5" s="5"/>
      <c r="M5" s="5"/>
      <c r="N5" s="5"/>
      <c r="O5" s="5"/>
      <c r="P5" s="11" t="n">
        <v>0</v>
      </c>
      <c r="Q5" s="5"/>
      <c r="R5" s="5"/>
      <c r="S5" s="5" t="n">
        <v>0</v>
      </c>
      <c r="T5" s="11" t="n">
        <v>0</v>
      </c>
      <c r="U5" s="5"/>
      <c r="V5" s="5"/>
      <c r="W5" s="5"/>
      <c r="X5" s="5"/>
      <c r="Y5" s="5"/>
      <c r="Z5" s="11" t="n">
        <v>0</v>
      </c>
      <c r="AA5" s="5"/>
      <c r="AB5" s="5"/>
    </row>
    <row r="6" customFormat="false" ht="15.75" hidden="false" customHeight="false" outlineLevel="0" collapsed="false">
      <c r="A6" s="5" t="s">
        <v>36</v>
      </c>
      <c r="B6" s="5" t="s">
        <v>36</v>
      </c>
      <c r="C6" s="5" t="s">
        <v>37</v>
      </c>
      <c r="D6" s="5"/>
      <c r="E6" s="9" t="s">
        <v>38</v>
      </c>
      <c r="F6" s="5"/>
      <c r="G6" s="9" t="s">
        <v>39</v>
      </c>
      <c r="H6" s="5" t="n">
        <f aca="false">(COUNTIF(J6:EC6,"=0")+COUNTIF(J6:EC6,"=1"))</f>
        <v>8</v>
      </c>
      <c r="I6" s="10" t="n">
        <f aca="false">IFERROR(ROUND(10-AVERAGE(J6:EC6)*10,0),0)</f>
        <v>10</v>
      </c>
      <c r="J6" s="11" t="n">
        <v>0</v>
      </c>
      <c r="K6" s="11" t="n">
        <v>0</v>
      </c>
      <c r="L6" s="5"/>
      <c r="M6" s="5"/>
      <c r="N6" s="5"/>
      <c r="O6" s="5"/>
      <c r="P6" s="11" t="n">
        <v>0</v>
      </c>
      <c r="Q6" s="5" t="n">
        <v>0</v>
      </c>
      <c r="R6" s="5"/>
      <c r="S6" s="5" t="n">
        <v>0</v>
      </c>
      <c r="T6" s="11" t="n">
        <v>0</v>
      </c>
      <c r="U6" s="5"/>
      <c r="V6" s="5"/>
      <c r="W6" s="5"/>
      <c r="X6" s="5"/>
      <c r="Y6" s="11" t="n">
        <v>0</v>
      </c>
      <c r="Z6" s="11" t="n">
        <v>0</v>
      </c>
      <c r="AA6" s="5"/>
      <c r="AB6" s="5"/>
    </row>
    <row r="7" customFormat="false" ht="15.75" hidden="false" customHeight="false" outlineLevel="0" collapsed="false">
      <c r="A7" s="5" t="s">
        <v>36</v>
      </c>
      <c r="B7" s="5" t="s">
        <v>36</v>
      </c>
      <c r="C7" s="5" t="s">
        <v>40</v>
      </c>
      <c r="D7" s="5"/>
      <c r="E7" s="5"/>
      <c r="F7" s="5"/>
      <c r="G7" s="9" t="s">
        <v>41</v>
      </c>
      <c r="H7" s="5" t="n">
        <f aca="false">(COUNTIF(J7:EC7,"=0")+COUNTIF(J7:EC7,"=1"))</f>
        <v>8</v>
      </c>
      <c r="I7" s="12" t="n">
        <f aca="false">IFERROR(ROUND(10-AVERAGE(J7:EC7)*10,0),0)</f>
        <v>8</v>
      </c>
      <c r="J7" s="11" t="n">
        <v>0</v>
      </c>
      <c r="K7" s="11" t="n">
        <v>0</v>
      </c>
      <c r="L7" s="5"/>
      <c r="M7" s="5"/>
      <c r="N7" s="5"/>
      <c r="O7" s="5"/>
      <c r="P7" s="11" t="n">
        <v>1</v>
      </c>
      <c r="Q7" s="5"/>
      <c r="R7" s="5"/>
      <c r="S7" s="5"/>
      <c r="T7" s="11" t="n">
        <v>1</v>
      </c>
      <c r="U7" s="5"/>
      <c r="V7" s="5"/>
      <c r="W7" s="11" t="n">
        <v>0</v>
      </c>
      <c r="X7" s="11" t="n">
        <v>0</v>
      </c>
      <c r="Y7" s="11" t="n">
        <v>0</v>
      </c>
      <c r="Z7" s="11" t="n">
        <v>0</v>
      </c>
      <c r="AA7" s="5"/>
      <c r="AB7" s="5"/>
    </row>
    <row r="8" customFormat="false" ht="15.75" hidden="false" customHeight="false" outlineLevel="0" collapsed="false">
      <c r="A8" s="5" t="s">
        <v>42</v>
      </c>
      <c r="B8" s="5" t="s">
        <v>43</v>
      </c>
      <c r="C8" s="5" t="s">
        <v>44</v>
      </c>
      <c r="D8" s="5"/>
      <c r="E8" s="5"/>
      <c r="F8" s="5"/>
      <c r="G8" s="9" t="s">
        <v>45</v>
      </c>
      <c r="H8" s="5" t="n">
        <f aca="false">(COUNTIF(J8:EC8,"=0")+COUNTIF(J8:EC8,"=1"))</f>
        <v>14</v>
      </c>
      <c r="I8" s="12" t="n">
        <f aca="false">IFERROR(ROUND(10-AVERAGE(J8:EC8)*10,0),0)</f>
        <v>9</v>
      </c>
      <c r="J8" s="11" t="n">
        <v>0</v>
      </c>
      <c r="K8" s="11" t="n">
        <v>1</v>
      </c>
      <c r="L8" s="11" t="n">
        <v>0</v>
      </c>
      <c r="M8" s="5"/>
      <c r="N8" s="5"/>
      <c r="O8" s="11" t="n">
        <v>0</v>
      </c>
      <c r="P8" s="11" t="n">
        <v>0</v>
      </c>
      <c r="Q8" s="11" t="n">
        <v>1</v>
      </c>
      <c r="R8" s="11" t="n">
        <v>0</v>
      </c>
      <c r="S8" s="11" t="n">
        <v>0</v>
      </c>
      <c r="T8" s="11" t="n">
        <v>0</v>
      </c>
      <c r="U8" s="11" t="n">
        <v>0</v>
      </c>
      <c r="V8" s="5"/>
      <c r="W8" s="11" t="n">
        <v>0</v>
      </c>
      <c r="X8" s="11" t="n">
        <v>0</v>
      </c>
      <c r="Y8" s="5"/>
      <c r="Z8" s="11" t="n">
        <v>0</v>
      </c>
      <c r="AA8" s="5"/>
      <c r="AB8" s="5"/>
      <c r="AC8" s="5" t="n">
        <v>0</v>
      </c>
    </row>
    <row r="9" customFormat="false" ht="15.75" hidden="false" customHeight="false" outlineLevel="0" collapsed="false">
      <c r="A9" s="5" t="s">
        <v>42</v>
      </c>
      <c r="B9" s="5" t="s">
        <v>43</v>
      </c>
      <c r="C9" s="5" t="s">
        <v>46</v>
      </c>
      <c r="D9" s="5"/>
      <c r="E9" s="5"/>
      <c r="F9" s="5"/>
      <c r="G9" s="9" t="s">
        <v>47</v>
      </c>
      <c r="H9" s="5" t="n">
        <f aca="false">(COUNTIF(J9:EC9,"=0")+COUNTIF(J9:EC9,"=1"))</f>
        <v>14</v>
      </c>
      <c r="I9" s="12" t="n">
        <f aca="false">IFERROR(ROUND(10-AVERAGE(J9:EC9)*10,0),0)</f>
        <v>9</v>
      </c>
      <c r="J9" s="11" t="n">
        <v>0</v>
      </c>
      <c r="K9" s="11" t="n">
        <v>1</v>
      </c>
      <c r="L9" s="11" t="n">
        <v>0</v>
      </c>
      <c r="M9" s="11" t="n">
        <v>0</v>
      </c>
      <c r="N9" s="5"/>
      <c r="O9" s="11" t="n">
        <v>0</v>
      </c>
      <c r="P9" s="11" t="n">
        <v>0</v>
      </c>
      <c r="Q9" s="11" t="n">
        <v>1</v>
      </c>
      <c r="R9" s="11" t="n">
        <v>0</v>
      </c>
      <c r="S9" s="11" t="n">
        <v>0</v>
      </c>
      <c r="T9" s="11" t="n">
        <v>0</v>
      </c>
      <c r="U9" s="11" t="n">
        <v>0</v>
      </c>
      <c r="V9" s="5"/>
      <c r="W9" s="11" t="n">
        <v>0</v>
      </c>
      <c r="X9" s="11" t="n">
        <v>0</v>
      </c>
      <c r="Y9" s="5"/>
      <c r="Z9" s="11" t="n">
        <v>0</v>
      </c>
      <c r="AA9" s="5"/>
      <c r="AB9" s="5"/>
    </row>
    <row r="10" customFormat="false" ht="15.75" hidden="false" customHeight="false" outlineLevel="0" collapsed="false">
      <c r="A10" s="5" t="s">
        <v>48</v>
      </c>
      <c r="B10" s="5" t="s">
        <v>48</v>
      </c>
      <c r="C10" s="5" t="s">
        <v>49</v>
      </c>
      <c r="D10" s="5"/>
      <c r="E10" s="5"/>
      <c r="F10" s="5"/>
      <c r="G10" s="9" t="s">
        <v>50</v>
      </c>
      <c r="H10" s="5" t="n">
        <f aca="false">(COUNTIF(J10:EC10,"=0")+COUNTIF(J10:EC10,"=1"))</f>
        <v>7</v>
      </c>
      <c r="I10" s="12" t="n">
        <f aca="false">IFERROR(ROUND(10-AVERAGE(J10:EC10)*10,0),0)</f>
        <v>9</v>
      </c>
      <c r="J10" s="11" t="n">
        <v>0</v>
      </c>
      <c r="K10" s="11" t="n">
        <v>0</v>
      </c>
      <c r="L10" s="5"/>
      <c r="M10" s="5"/>
      <c r="N10" s="5"/>
      <c r="O10" s="5"/>
      <c r="P10" s="11" t="n">
        <v>1</v>
      </c>
      <c r="Q10" s="5" t="n">
        <v>0</v>
      </c>
      <c r="R10" s="5"/>
      <c r="S10" s="5"/>
      <c r="T10" s="11" t="n">
        <v>0</v>
      </c>
      <c r="U10" s="5"/>
      <c r="V10" s="5"/>
      <c r="W10" s="5"/>
      <c r="X10" s="5"/>
      <c r="Y10" s="5"/>
      <c r="Z10" s="11" t="n">
        <v>0</v>
      </c>
      <c r="AA10" s="5"/>
      <c r="AB10" s="5"/>
      <c r="AF10" s="5" t="n">
        <v>0</v>
      </c>
    </row>
    <row r="11" customFormat="false" ht="15.75" hidden="false" customHeight="false" outlineLevel="0" collapsed="false">
      <c r="A11" s="5" t="s">
        <v>51</v>
      </c>
      <c r="B11" s="5" t="s">
        <v>52</v>
      </c>
      <c r="C11" s="5" t="s">
        <v>53</v>
      </c>
      <c r="D11" s="5"/>
      <c r="E11" s="5"/>
      <c r="F11" s="5"/>
      <c r="G11" s="9" t="s">
        <v>54</v>
      </c>
      <c r="H11" s="5" t="n">
        <f aca="false">(COUNTIF(J11:EC11,"=0")+COUNTIF(J11:EC11,"=1"))</f>
        <v>8</v>
      </c>
      <c r="I11" s="12" t="n">
        <f aca="false">IFERROR(ROUND(10-AVERAGE(J11:EC11)*10,0),0)</f>
        <v>8</v>
      </c>
      <c r="J11" s="5" t="n">
        <v>1</v>
      </c>
      <c r="K11" s="11" t="n">
        <v>0</v>
      </c>
      <c r="L11" s="5"/>
      <c r="M11" s="5"/>
      <c r="N11" s="5"/>
      <c r="O11" s="5"/>
      <c r="P11" s="11" t="n">
        <v>0</v>
      </c>
      <c r="Q11" s="5"/>
      <c r="R11" s="5"/>
      <c r="S11" s="5" t="n">
        <v>0</v>
      </c>
      <c r="T11" s="11" t="n">
        <v>0</v>
      </c>
      <c r="U11" s="5"/>
      <c r="V11" s="5"/>
      <c r="W11" s="5"/>
      <c r="X11" s="11" t="n">
        <v>1</v>
      </c>
      <c r="Y11" s="5"/>
      <c r="Z11" s="11" t="n">
        <v>0</v>
      </c>
      <c r="AA11" s="5"/>
      <c r="AB11" s="5"/>
      <c r="AF11" s="5" t="n">
        <v>0</v>
      </c>
    </row>
    <row r="12" customFormat="false" ht="15.75" hidden="false" customHeight="false" outlineLevel="0" collapsed="false">
      <c r="A12" s="5" t="s">
        <v>51</v>
      </c>
      <c r="B12" s="5" t="s">
        <v>55</v>
      </c>
      <c r="C12" s="5" t="s">
        <v>56</v>
      </c>
      <c r="D12" s="5"/>
      <c r="E12" s="5"/>
      <c r="F12" s="5"/>
      <c r="G12" s="9" t="s">
        <v>57</v>
      </c>
      <c r="H12" s="5" t="n">
        <f aca="false">(COUNTIF(J12:EC12,"=0")+COUNTIF(J12:EC12,"=1"))</f>
        <v>15</v>
      </c>
      <c r="I12" s="13" t="n">
        <f aca="false">IFERROR(ROUND(10-AVERAGE(J12:EC12)*10,0),0)</f>
        <v>3</v>
      </c>
      <c r="J12" s="11" t="n">
        <v>1</v>
      </c>
      <c r="K12" s="11" t="n">
        <v>1</v>
      </c>
      <c r="L12" s="11" t="n">
        <v>1</v>
      </c>
      <c r="M12" s="5"/>
      <c r="N12" s="5"/>
      <c r="O12" s="11" t="n">
        <v>0</v>
      </c>
      <c r="P12" s="11" t="n">
        <v>1</v>
      </c>
      <c r="Q12" s="11" t="n">
        <v>1</v>
      </c>
      <c r="R12" s="11" t="n">
        <v>1</v>
      </c>
      <c r="S12" s="11" t="n">
        <v>0</v>
      </c>
      <c r="T12" s="11" t="n">
        <v>0</v>
      </c>
      <c r="U12" s="11" t="n">
        <v>1</v>
      </c>
      <c r="V12" s="5"/>
      <c r="W12" s="11" t="n">
        <v>1</v>
      </c>
      <c r="X12" s="11" t="n">
        <v>1</v>
      </c>
      <c r="Y12" s="5"/>
      <c r="Z12" s="11" t="n">
        <v>1</v>
      </c>
      <c r="AA12" s="5"/>
      <c r="AB12" s="5"/>
      <c r="AD12" s="5" t="n">
        <v>1</v>
      </c>
      <c r="AF12" s="5" t="n">
        <v>0</v>
      </c>
    </row>
    <row r="13" customFormat="false" ht="15.75" hidden="false" customHeight="false" outlineLevel="0" collapsed="false">
      <c r="A13" s="5" t="s">
        <v>51</v>
      </c>
      <c r="B13" s="5" t="s">
        <v>55</v>
      </c>
      <c r="C13" s="5" t="s">
        <v>58</v>
      </c>
      <c r="D13" s="5"/>
      <c r="E13" s="5"/>
      <c r="F13" s="5"/>
      <c r="G13" s="9" t="s">
        <v>59</v>
      </c>
      <c r="H13" s="5" t="n">
        <f aca="false">(COUNTIF(J13:EC13,"=0")+COUNTIF(J13:EC13,"=1"))</f>
        <v>14</v>
      </c>
      <c r="I13" s="13" t="n">
        <f aca="false">IFERROR(ROUND(10-AVERAGE(J13:EC13)*10,0),0)</f>
        <v>3</v>
      </c>
      <c r="J13" s="11" t="n">
        <v>1</v>
      </c>
      <c r="K13" s="11" t="n">
        <v>0</v>
      </c>
      <c r="L13" s="11" t="n">
        <v>1</v>
      </c>
      <c r="M13" s="5"/>
      <c r="N13" s="5"/>
      <c r="O13" s="11" t="n">
        <v>0</v>
      </c>
      <c r="P13" s="11" t="n">
        <v>1</v>
      </c>
      <c r="Q13" s="11" t="n">
        <v>1</v>
      </c>
      <c r="R13" s="11" t="n">
        <v>1</v>
      </c>
      <c r="S13" s="11" t="n">
        <v>0</v>
      </c>
      <c r="T13" s="11" t="n">
        <v>0</v>
      </c>
      <c r="U13" s="11" t="n">
        <v>1</v>
      </c>
      <c r="V13" s="5"/>
      <c r="W13" s="11" t="n">
        <v>1</v>
      </c>
      <c r="X13" s="11" t="n">
        <v>1</v>
      </c>
      <c r="Y13" s="5"/>
      <c r="Z13" s="11" t="n">
        <v>1</v>
      </c>
      <c r="AA13" s="5"/>
      <c r="AB13" s="5"/>
      <c r="AD13" s="5" t="n">
        <v>1</v>
      </c>
    </row>
    <row r="14" customFormat="false" ht="15.75" hidden="false" customHeight="false" outlineLevel="0" collapsed="false">
      <c r="A14" s="5" t="s">
        <v>51</v>
      </c>
      <c r="B14" s="5" t="s">
        <v>60</v>
      </c>
      <c r="C14" s="5" t="s">
        <v>61</v>
      </c>
      <c r="D14" s="5"/>
      <c r="E14" s="14" t="s">
        <v>62</v>
      </c>
      <c r="F14" s="5"/>
      <c r="G14" s="14" t="s">
        <v>63</v>
      </c>
      <c r="H14" s="5" t="n">
        <f aca="false">(COUNTIF(J14:EC14,"=0")+COUNTIF(J14:EC14,"=1"))</f>
        <v>1</v>
      </c>
      <c r="I14" s="15" t="n">
        <f aca="false">IFERROR(ROUND(10-AVERAGE(J14:EC14)*10,0),0)</f>
        <v>0</v>
      </c>
      <c r="J14" s="5"/>
      <c r="K14" s="5"/>
      <c r="L14" s="5"/>
      <c r="M14" s="5"/>
      <c r="N14" s="5"/>
      <c r="O14" s="5"/>
      <c r="P14" s="5" t="n">
        <v>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customFormat="false" ht="15.75" hidden="false" customHeight="false" outlineLevel="0" collapsed="false">
      <c r="A15" s="5" t="s">
        <v>64</v>
      </c>
      <c r="B15" s="5" t="s">
        <v>65</v>
      </c>
      <c r="C15" s="5" t="s">
        <v>66</v>
      </c>
      <c r="D15" s="5"/>
      <c r="E15" s="5"/>
      <c r="F15" s="5"/>
      <c r="G15" s="9" t="s">
        <v>67</v>
      </c>
      <c r="H15" s="5" t="n">
        <f aca="false">(COUNTIF(J15:EC15,"=0")+COUNTIF(J15:EC15,"=1"))</f>
        <v>7</v>
      </c>
      <c r="I15" s="16" t="n">
        <f aca="false">IFERROR(ROUND(10-AVERAGE(J15:EC15)*10,0),0)</f>
        <v>6</v>
      </c>
      <c r="J15" s="11" t="n">
        <v>0</v>
      </c>
      <c r="K15" s="11" t="n">
        <v>0</v>
      </c>
      <c r="L15" s="5"/>
      <c r="M15" s="5"/>
      <c r="N15" s="5"/>
      <c r="O15" s="11" t="n">
        <v>1</v>
      </c>
      <c r="P15" s="11" t="n">
        <v>1</v>
      </c>
      <c r="Q15" s="5" t="n">
        <v>1</v>
      </c>
      <c r="R15" s="5"/>
      <c r="S15" s="5"/>
      <c r="T15" s="11" t="n">
        <v>0</v>
      </c>
      <c r="U15" s="5"/>
      <c r="V15" s="5"/>
      <c r="W15" s="5"/>
      <c r="X15" s="5"/>
      <c r="Y15" s="5"/>
      <c r="Z15" s="11" t="n">
        <v>0</v>
      </c>
      <c r="AA15" s="5"/>
      <c r="AB15" s="5"/>
    </row>
    <row r="16" customFormat="false" ht="15.75" hidden="false" customHeight="false" outlineLevel="0" collapsed="false">
      <c r="A16" s="5" t="s">
        <v>64</v>
      </c>
      <c r="B16" s="5" t="s">
        <v>68</v>
      </c>
      <c r="C16" s="5" t="s">
        <v>69</v>
      </c>
      <c r="D16" s="5"/>
      <c r="E16" s="5"/>
      <c r="F16" s="5"/>
      <c r="G16" s="9" t="s">
        <v>70</v>
      </c>
      <c r="H16" s="5" t="n">
        <f aca="false">(COUNTIF(J16:EC16,"=0")+COUNTIF(J16:EC16,"=1"))</f>
        <v>10</v>
      </c>
      <c r="I16" s="17" t="n">
        <f aca="false">IFERROR(ROUND(10-AVERAGE(J16:EC16)*10,0),0)</f>
        <v>9</v>
      </c>
      <c r="J16" s="11" t="n">
        <v>0</v>
      </c>
      <c r="K16" s="11" t="n">
        <v>0</v>
      </c>
      <c r="L16" s="5"/>
      <c r="M16" s="5"/>
      <c r="N16" s="5"/>
      <c r="O16" s="5"/>
      <c r="P16" s="11" t="n">
        <v>1</v>
      </c>
      <c r="Q16" s="5" t="n">
        <v>0</v>
      </c>
      <c r="R16" s="5"/>
      <c r="S16" s="5"/>
      <c r="T16" s="11" t="n">
        <v>0</v>
      </c>
      <c r="U16" s="11" t="n">
        <v>0</v>
      </c>
      <c r="V16" s="5"/>
      <c r="W16" s="11" t="n">
        <v>0</v>
      </c>
      <c r="X16" s="11" t="n">
        <v>0</v>
      </c>
      <c r="Y16" s="5"/>
      <c r="Z16" s="11" t="n">
        <v>0</v>
      </c>
      <c r="AA16" s="5"/>
      <c r="AB16" s="5"/>
      <c r="AC16" s="5" t="n">
        <v>0</v>
      </c>
    </row>
    <row r="17" customFormat="false" ht="15.75" hidden="false" customHeight="false" outlineLevel="0" collapsed="false">
      <c r="A17" s="5" t="s">
        <v>71</v>
      </c>
      <c r="B17" s="5" t="s">
        <v>71</v>
      </c>
      <c r="C17" s="5" t="s">
        <v>72</v>
      </c>
      <c r="D17" s="5"/>
      <c r="E17" s="5"/>
      <c r="F17" s="5"/>
      <c r="G17" s="5"/>
      <c r="H17" s="5" t="n">
        <f aca="false">(COUNTIF(J17:EC17,"=0")+COUNTIF(J17:EC17,"=1"))</f>
        <v>6</v>
      </c>
      <c r="I17" s="17" t="n">
        <f aca="false">IFERROR(ROUND(10-AVERAGE(J17:EC17)*10,0),0)</f>
        <v>8</v>
      </c>
      <c r="J17" s="11" t="n">
        <v>1</v>
      </c>
      <c r="K17" s="11" t="n">
        <v>0</v>
      </c>
      <c r="L17" s="5"/>
      <c r="M17" s="5"/>
      <c r="N17" s="5"/>
      <c r="O17" s="11" t="n">
        <v>0</v>
      </c>
      <c r="P17" s="11" t="n">
        <v>0</v>
      </c>
      <c r="Q17" s="5" t="n">
        <v>0</v>
      </c>
      <c r="R17" s="11"/>
      <c r="S17" s="11" t="n">
        <v>0</v>
      </c>
      <c r="T17" s="11"/>
      <c r="U17" s="11"/>
      <c r="V17" s="5"/>
      <c r="W17" s="11"/>
      <c r="X17" s="11"/>
      <c r="Y17" s="5"/>
      <c r="Z17" s="11"/>
      <c r="AA17" s="5"/>
      <c r="AB17" s="5"/>
    </row>
    <row r="18" customFormat="false" ht="15.75" hidden="false" customHeight="false" outlineLevel="0" collapsed="false">
      <c r="A18" s="5" t="s">
        <v>73</v>
      </c>
      <c r="B18" s="5" t="s">
        <v>73</v>
      </c>
      <c r="C18" s="5" t="s">
        <v>73</v>
      </c>
      <c r="D18" s="5"/>
      <c r="E18" s="14" t="s">
        <v>74</v>
      </c>
      <c r="F18" s="5"/>
      <c r="G18" s="14" t="s">
        <v>75</v>
      </c>
      <c r="H18" s="5" t="n">
        <f aca="false">(COUNTIF(J18:EC18,"=0")+COUNTIF(J18:EC18,"=1"))</f>
        <v>6</v>
      </c>
      <c r="I18" s="18" t="n">
        <f aca="false">IFERROR(ROUND(10-AVERAGE(J18:EC18)*10,0),0)</f>
        <v>7</v>
      </c>
      <c r="J18" s="5" t="n">
        <v>0</v>
      </c>
      <c r="K18" s="5" t="n">
        <v>0</v>
      </c>
      <c r="L18" s="5"/>
      <c r="M18" s="5"/>
      <c r="N18" s="5"/>
      <c r="O18" s="5" t="s">
        <v>76</v>
      </c>
      <c r="P18" s="5" t="n">
        <v>1</v>
      </c>
      <c r="Q18" s="5" t="n">
        <v>0</v>
      </c>
      <c r="R18" s="5"/>
      <c r="S18" s="11" t="n">
        <v>1</v>
      </c>
      <c r="T18" s="5"/>
      <c r="U18" s="5"/>
      <c r="V18" s="5"/>
      <c r="W18" s="5"/>
      <c r="X18" s="5"/>
      <c r="Y18" s="5"/>
      <c r="Z18" s="5" t="n">
        <v>0</v>
      </c>
      <c r="AA18" s="5"/>
      <c r="AB18" s="5"/>
    </row>
    <row r="19" customFormat="false" ht="15.75" hidden="false" customHeight="false" outlineLevel="0" collapsed="false">
      <c r="A19" s="5" t="s">
        <v>77</v>
      </c>
      <c r="B19" s="5" t="s">
        <v>78</v>
      </c>
      <c r="C19" s="5" t="s">
        <v>79</v>
      </c>
      <c r="D19" s="5"/>
      <c r="E19" s="5"/>
      <c r="F19" s="5"/>
      <c r="G19" s="9" t="s">
        <v>80</v>
      </c>
      <c r="H19" s="5" t="n">
        <f aca="false">(COUNTIF(J19:EC19,"=0")+COUNTIF(J19:EC19,"=1"))</f>
        <v>15</v>
      </c>
      <c r="I19" s="12" t="n">
        <f aca="false">IFERROR(ROUND(10-AVERAGE(J19:EC19)*10,0),0)</f>
        <v>8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1</v>
      </c>
      <c r="O19" s="11" t="n">
        <v>0</v>
      </c>
      <c r="P19" s="11" t="n">
        <v>1</v>
      </c>
      <c r="Q19" s="11" t="n">
        <v>0</v>
      </c>
      <c r="R19" s="11" t="n">
        <v>1</v>
      </c>
      <c r="S19" s="11" t="n">
        <v>0</v>
      </c>
      <c r="T19" s="11" t="n">
        <v>0</v>
      </c>
      <c r="U19" s="11" t="n">
        <v>0</v>
      </c>
      <c r="V19" s="5"/>
      <c r="W19" s="11" t="n">
        <v>0</v>
      </c>
      <c r="X19" s="11" t="n">
        <v>0</v>
      </c>
      <c r="Y19" s="5"/>
      <c r="Z19" s="11" t="n">
        <v>0</v>
      </c>
      <c r="AA19" s="5"/>
      <c r="AB19" s="5"/>
    </row>
    <row r="20" customFormat="false" ht="15.75" hidden="false" customHeight="false" outlineLevel="0" collapsed="false">
      <c r="A20" s="5" t="s">
        <v>77</v>
      </c>
      <c r="B20" s="5" t="s">
        <v>78</v>
      </c>
      <c r="C20" s="5" t="s">
        <v>81</v>
      </c>
      <c r="D20" s="5"/>
      <c r="E20" s="5"/>
      <c r="F20" s="5"/>
      <c r="G20" s="9" t="s">
        <v>82</v>
      </c>
      <c r="H20" s="11" t="n">
        <f aca="false">(COUNTIF(J20:EK20,"=0")+COUNTIF(J20:EK20,"=1"))</f>
        <v>15</v>
      </c>
      <c r="I20" s="16" t="n">
        <f aca="false">ROUND(10-AVERAGE(J20:EK20)*10,0)</f>
        <v>7</v>
      </c>
      <c r="J20" s="11" t="n">
        <v>1</v>
      </c>
      <c r="K20" s="11" t="n">
        <v>0</v>
      </c>
      <c r="L20" s="11" t="n">
        <v>0</v>
      </c>
      <c r="M20" s="11" t="n">
        <v>0</v>
      </c>
      <c r="N20" s="11" t="n">
        <v>1</v>
      </c>
      <c r="O20" s="11" t="n">
        <v>0</v>
      </c>
      <c r="P20" s="11" t="n">
        <v>1</v>
      </c>
      <c r="Q20" s="11" t="n">
        <v>0</v>
      </c>
      <c r="R20" s="11" t="n">
        <v>1</v>
      </c>
      <c r="S20" s="11" t="n">
        <v>0</v>
      </c>
      <c r="T20" s="11" t="n">
        <v>0</v>
      </c>
      <c r="U20" s="11" t="n">
        <v>0</v>
      </c>
      <c r="V20" s="5"/>
      <c r="W20" s="11" t="n">
        <v>0</v>
      </c>
      <c r="X20" s="11" t="n">
        <v>0</v>
      </c>
      <c r="Y20" s="5"/>
      <c r="Z20" s="11" t="n">
        <v>1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customFormat="false" ht="15.75" hidden="false" customHeight="false" outlineLevel="0" collapsed="false">
      <c r="A21" s="5" t="s">
        <v>77</v>
      </c>
      <c r="B21" s="5" t="s">
        <v>83</v>
      </c>
      <c r="C21" s="5" t="s">
        <v>79</v>
      </c>
      <c r="D21" s="5"/>
      <c r="E21" s="5"/>
      <c r="F21" s="5"/>
      <c r="G21" s="9" t="s">
        <v>84</v>
      </c>
      <c r="H21" s="5" t="n">
        <f aca="false">(COUNTIF(J21:EC21,"=0")+COUNTIF(J21:EC21,"=1"))</f>
        <v>16</v>
      </c>
      <c r="I21" s="16" t="n">
        <f aca="false">IFERROR(ROUND(10-AVERAGE(J21:EC21)*10,0),0)</f>
        <v>6</v>
      </c>
      <c r="J21" s="11" t="n">
        <v>1</v>
      </c>
      <c r="K21" s="11" t="n">
        <v>0</v>
      </c>
      <c r="L21" s="11" t="n">
        <v>0</v>
      </c>
      <c r="M21" s="11" t="n">
        <v>0</v>
      </c>
      <c r="N21" s="11" t="n">
        <v>1</v>
      </c>
      <c r="O21" s="11" t="n">
        <v>0</v>
      </c>
      <c r="P21" s="11" t="n">
        <v>1</v>
      </c>
      <c r="Q21" s="11" t="n">
        <v>0</v>
      </c>
      <c r="R21" s="11" t="n">
        <v>1</v>
      </c>
      <c r="S21" s="11" t="n">
        <v>1</v>
      </c>
      <c r="T21" s="11" t="n">
        <v>0</v>
      </c>
      <c r="U21" s="11" t="n">
        <v>0</v>
      </c>
      <c r="V21" s="5"/>
      <c r="W21" s="11" t="n">
        <v>0</v>
      </c>
      <c r="X21" s="11" t="n">
        <v>0</v>
      </c>
      <c r="Y21" s="5"/>
      <c r="Z21" s="11" t="n">
        <v>1</v>
      </c>
      <c r="AA21" s="5"/>
      <c r="AB21" s="5"/>
      <c r="AC21" s="5"/>
      <c r="AD21" s="5"/>
      <c r="AE21" s="5"/>
      <c r="AF21" s="5" t="n">
        <v>1</v>
      </c>
      <c r="AG21" s="5"/>
      <c r="AH21" s="5"/>
      <c r="AI21" s="5"/>
      <c r="AJ21" s="5"/>
      <c r="AK21" s="5"/>
      <c r="AL21" s="5"/>
      <c r="AM21" s="5"/>
    </row>
    <row r="22" customFormat="false" ht="15.75" hidden="false" customHeight="false" outlineLevel="0" collapsed="false">
      <c r="A22" s="5" t="s">
        <v>77</v>
      </c>
      <c r="B22" s="5" t="s">
        <v>85</v>
      </c>
      <c r="C22" s="5" t="s">
        <v>79</v>
      </c>
      <c r="D22" s="5"/>
      <c r="E22" s="5"/>
      <c r="F22" s="5"/>
      <c r="G22" s="5"/>
      <c r="H22" s="5" t="n">
        <f aca="false">(COUNTIF(J22:EC22,"=0")+COUNTIF(J22:EC22,"=1"))</f>
        <v>16</v>
      </c>
      <c r="I22" s="16" t="n">
        <f aca="false">IFERROR(ROUND(10-AVERAGE(J22:EC22)*10,0),0)</f>
        <v>8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1</v>
      </c>
      <c r="O22" s="11" t="n">
        <v>0</v>
      </c>
      <c r="P22" s="11" t="n">
        <v>1</v>
      </c>
      <c r="Q22" s="11" t="n">
        <v>0</v>
      </c>
      <c r="R22" s="11" t="n">
        <v>1</v>
      </c>
      <c r="S22" s="11" t="n">
        <v>0</v>
      </c>
      <c r="T22" s="11" t="n">
        <v>0</v>
      </c>
      <c r="U22" s="11" t="n">
        <v>0</v>
      </c>
      <c r="V22" s="5"/>
      <c r="W22" s="11" t="n">
        <v>0</v>
      </c>
      <c r="X22" s="11" t="n">
        <v>0</v>
      </c>
      <c r="Y22" s="5"/>
      <c r="Z22" s="11" t="n">
        <v>1</v>
      </c>
      <c r="AA22" s="5"/>
      <c r="AB22" s="5"/>
      <c r="AF22" s="5" t="n">
        <v>0</v>
      </c>
    </row>
    <row r="23" customFormat="false" ht="15.75" hidden="false" customHeight="false" outlineLevel="0" collapsed="false">
      <c r="A23" s="5" t="s">
        <v>77</v>
      </c>
      <c r="B23" s="5" t="s">
        <v>86</v>
      </c>
      <c r="C23" s="5" t="s">
        <v>87</v>
      </c>
      <c r="D23" s="5"/>
      <c r="E23" s="5"/>
      <c r="F23" s="5"/>
      <c r="G23" s="5"/>
      <c r="H23" s="5" t="n">
        <f aca="false">(COUNTIF(J23:EC23,"=0")+COUNTIF(J23:EC23,"=1"))</f>
        <v>15</v>
      </c>
      <c r="I23" s="17" t="n">
        <f aca="false">IFERROR(ROUND(10-AVERAGE(J23:EC23)*10,0),0)</f>
        <v>9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1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5"/>
      <c r="W23" s="11" t="n">
        <v>0</v>
      </c>
      <c r="X23" s="11" t="n">
        <v>0</v>
      </c>
      <c r="Y23" s="5"/>
      <c r="Z23" s="11" t="n">
        <v>0</v>
      </c>
      <c r="AA23" s="5"/>
      <c r="AB23" s="5"/>
    </row>
    <row r="24" customFormat="false" ht="15.75" hidden="false" customHeight="false" outlineLevel="0" collapsed="false">
      <c r="A24" s="5" t="s">
        <v>88</v>
      </c>
      <c r="B24" s="5" t="s">
        <v>88</v>
      </c>
      <c r="C24" s="5" t="s">
        <v>81</v>
      </c>
      <c r="D24" s="5" t="s">
        <v>89</v>
      </c>
      <c r="E24" s="5"/>
      <c r="F24" s="5"/>
      <c r="G24" s="9" t="s">
        <v>90</v>
      </c>
      <c r="H24" s="5" t="n">
        <f aca="false">(COUNTIF(J24:EC24,"=0")+COUNTIF(J24:EC24,"=1"))</f>
        <v>16</v>
      </c>
      <c r="I24" s="19" t="n">
        <f aca="false">IFERROR(ROUND(10-AVERAGE(J24:EC24)*10,0),0)</f>
        <v>4</v>
      </c>
      <c r="J24" s="11" t="n">
        <v>1</v>
      </c>
      <c r="K24" s="11" t="n">
        <v>0</v>
      </c>
      <c r="L24" s="11" t="n">
        <v>1</v>
      </c>
      <c r="M24" s="11" t="n">
        <v>1</v>
      </c>
      <c r="N24" s="11" t="n">
        <v>1</v>
      </c>
      <c r="O24" s="11" t="n">
        <v>0</v>
      </c>
      <c r="P24" s="11" t="n">
        <v>1</v>
      </c>
      <c r="Q24" s="11" t="n">
        <v>1</v>
      </c>
      <c r="R24" s="11" t="n">
        <v>1</v>
      </c>
      <c r="S24" s="11" t="n">
        <v>1</v>
      </c>
      <c r="T24" s="11" t="n">
        <v>0</v>
      </c>
      <c r="U24" s="11" t="n">
        <v>0</v>
      </c>
      <c r="V24" s="5"/>
      <c r="W24" s="11" t="n">
        <v>0</v>
      </c>
      <c r="X24" s="11" t="n">
        <v>0</v>
      </c>
      <c r="Y24" s="5"/>
      <c r="Z24" s="11" t="n">
        <v>1</v>
      </c>
      <c r="AA24" s="5"/>
      <c r="AB24" s="5"/>
      <c r="AF24" s="5" t="n">
        <v>0</v>
      </c>
    </row>
    <row r="25" customFormat="false" ht="15.75" hidden="false" customHeight="false" outlineLevel="0" collapsed="false">
      <c r="A25" s="5" t="s">
        <v>91</v>
      </c>
      <c r="B25" s="5" t="s">
        <v>92</v>
      </c>
      <c r="C25" s="5" t="s">
        <v>93</v>
      </c>
      <c r="D25" s="5"/>
      <c r="E25" s="14" t="s">
        <v>94</v>
      </c>
      <c r="F25" s="5"/>
      <c r="G25" s="14" t="s">
        <v>95</v>
      </c>
      <c r="H25" s="5" t="n">
        <f aca="false">(COUNTIF(J25:EC25,"=0")+COUNTIF(J25:EC25,"=1"))</f>
        <v>1</v>
      </c>
      <c r="I25" s="15" t="n">
        <f aca="false">IFERROR(ROUND(10-AVERAGE(J25:EC25)*10,0),0)</f>
        <v>0</v>
      </c>
      <c r="J25" s="5"/>
      <c r="K25" s="5"/>
      <c r="L25" s="5"/>
      <c r="M25" s="5"/>
      <c r="N25" s="5"/>
      <c r="O25" s="5"/>
      <c r="P25" s="5" t="n">
        <v>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customFormat="false" ht="15.75" hidden="false" customHeight="false" outlineLevel="0" collapsed="false">
      <c r="A26" s="5" t="s">
        <v>91</v>
      </c>
      <c r="B26" s="5" t="s">
        <v>92</v>
      </c>
      <c r="C26" s="5" t="s">
        <v>96</v>
      </c>
      <c r="D26" s="5"/>
      <c r="E26" s="5"/>
      <c r="F26" s="5"/>
      <c r="G26" s="9" t="s">
        <v>97</v>
      </c>
      <c r="H26" s="5" t="n">
        <f aca="false">(COUNTIF(J26:EC26,"=0")+COUNTIF(J26:EC26,"=1"))</f>
        <v>7</v>
      </c>
      <c r="I26" s="12" t="n">
        <f aca="false">IFERROR(ROUND(10-AVERAGE(J26:EC26)*10,0),0)</f>
        <v>9</v>
      </c>
      <c r="J26" s="5" t="n">
        <v>0</v>
      </c>
      <c r="K26" s="11" t="n">
        <v>0</v>
      </c>
      <c r="L26" s="5"/>
      <c r="M26" s="5"/>
      <c r="N26" s="5"/>
      <c r="O26" s="5"/>
      <c r="P26" s="11" t="n">
        <v>1</v>
      </c>
      <c r="Q26" s="5" t="n">
        <v>0</v>
      </c>
      <c r="R26" s="5" t="n">
        <v>0</v>
      </c>
      <c r="S26" s="5"/>
      <c r="T26" s="11" t="n">
        <v>0</v>
      </c>
      <c r="U26" s="5"/>
      <c r="V26" s="5"/>
      <c r="W26" s="5"/>
      <c r="X26" s="5"/>
      <c r="Y26" s="5"/>
      <c r="Z26" s="5"/>
      <c r="AA26" s="11" t="n">
        <v>0</v>
      </c>
      <c r="AB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</row>
    <row r="27" customFormat="false" ht="15.75" hidden="false" customHeight="false" outlineLevel="0" collapsed="false">
      <c r="A27" s="5" t="s">
        <v>98</v>
      </c>
      <c r="B27" s="5" t="s">
        <v>99</v>
      </c>
      <c r="C27" s="5" t="s">
        <v>100</v>
      </c>
      <c r="D27" s="5"/>
      <c r="E27" s="14" t="s">
        <v>101</v>
      </c>
      <c r="F27" s="5"/>
      <c r="G27" s="14" t="s">
        <v>102</v>
      </c>
      <c r="H27" s="5" t="n">
        <f aca="false">(COUNTIF(J27:EC27,"=0")+COUNTIF(J27:EC27,"=1"))</f>
        <v>1</v>
      </c>
      <c r="I27" s="15" t="n">
        <f aca="false">IFERROR(ROUND(10-AVERAGE(J27:EC27)*10,0),0)</f>
        <v>0</v>
      </c>
      <c r="J27" s="5"/>
      <c r="K27" s="5"/>
      <c r="L27" s="5"/>
      <c r="M27" s="5"/>
      <c r="N27" s="5"/>
      <c r="O27" s="5"/>
      <c r="P27" s="5" t="n">
        <v>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customFormat="false" ht="15.75" hidden="false" customHeight="false" outlineLevel="0" collapsed="false">
      <c r="A28" s="5" t="s">
        <v>103</v>
      </c>
      <c r="B28" s="5" t="s">
        <v>103</v>
      </c>
      <c r="C28" s="5" t="s">
        <v>104</v>
      </c>
      <c r="D28" s="5"/>
      <c r="E28" s="5"/>
      <c r="F28" s="5"/>
      <c r="G28" s="5"/>
      <c r="H28" s="5" t="n">
        <f aca="false">(COUNTIF(J28:EC28,"=0")+COUNTIF(J28:EC28,"=1"))</f>
        <v>16</v>
      </c>
      <c r="I28" s="18" t="n">
        <f aca="false">IFERROR(ROUND(10-AVERAGE(J28:EC28)*10,0),0)</f>
        <v>0</v>
      </c>
      <c r="J28" s="11" t="n">
        <v>1</v>
      </c>
      <c r="K28" s="11" t="n">
        <v>1</v>
      </c>
      <c r="L28" s="11" t="n">
        <v>1</v>
      </c>
      <c r="M28" s="11" t="n">
        <v>1</v>
      </c>
      <c r="N28" s="5"/>
      <c r="O28" s="11" t="n">
        <v>1</v>
      </c>
      <c r="P28" s="11" t="n">
        <v>1</v>
      </c>
      <c r="Q28" s="11" t="n">
        <v>1</v>
      </c>
      <c r="R28" s="11" t="n">
        <v>1</v>
      </c>
      <c r="S28" s="5"/>
      <c r="T28" s="11" t="n">
        <v>1</v>
      </c>
      <c r="U28" s="11" t="n">
        <v>1</v>
      </c>
      <c r="V28" s="5"/>
      <c r="W28" s="11" t="n">
        <v>1</v>
      </c>
      <c r="X28" s="11" t="n">
        <v>1</v>
      </c>
      <c r="Y28" s="5"/>
      <c r="Z28" s="11" t="n">
        <v>1</v>
      </c>
      <c r="AA28" s="11" t="n">
        <v>1</v>
      </c>
      <c r="AB28" s="11" t="n">
        <v>1</v>
      </c>
      <c r="AD28" s="5" t="n">
        <v>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</row>
    <row r="29" customFormat="false" ht="15.75" hidden="false" customHeight="false" outlineLevel="0" collapsed="false">
      <c r="A29" s="5" t="s">
        <v>103</v>
      </c>
      <c r="B29" s="5" t="s">
        <v>103</v>
      </c>
      <c r="C29" s="5" t="s">
        <v>105</v>
      </c>
      <c r="D29" s="5"/>
      <c r="E29" s="5"/>
      <c r="F29" s="5"/>
      <c r="G29" s="5"/>
      <c r="H29" s="5" t="n">
        <f aca="false">(COUNTIF(J29:EC29,"=0")+COUNTIF(J29:EC29,"=1"))</f>
        <v>14</v>
      </c>
      <c r="I29" s="18" t="n">
        <f aca="false">IFERROR(ROUND(10-AVERAGE(J29:EC29)*10,0),0)</f>
        <v>0</v>
      </c>
      <c r="J29" s="11" t="n">
        <v>1</v>
      </c>
      <c r="K29" s="11" t="n">
        <v>1</v>
      </c>
      <c r="L29" s="11" t="n">
        <v>1</v>
      </c>
      <c r="M29" s="11" t="n">
        <v>1</v>
      </c>
      <c r="N29" s="5"/>
      <c r="O29" s="11" t="n">
        <v>1</v>
      </c>
      <c r="P29" s="11" t="n">
        <v>1</v>
      </c>
      <c r="Q29" s="11" t="n">
        <v>1</v>
      </c>
      <c r="R29" s="11" t="n">
        <v>1</v>
      </c>
      <c r="S29" s="5"/>
      <c r="T29" s="11" t="n">
        <v>1</v>
      </c>
      <c r="U29" s="11" t="n">
        <v>1</v>
      </c>
      <c r="V29" s="5"/>
      <c r="W29" s="11" t="n">
        <v>1</v>
      </c>
      <c r="X29" s="11" t="n">
        <v>1</v>
      </c>
      <c r="Y29" s="5"/>
      <c r="Z29" s="11" t="n">
        <v>1</v>
      </c>
      <c r="AA29" s="5"/>
      <c r="AB29" s="5"/>
      <c r="AF29" s="5" t="n">
        <v>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</row>
    <row r="30" customFormat="false" ht="15.75" hidden="false" customHeight="false" outlineLevel="0" collapsed="false">
      <c r="A30" s="5" t="s">
        <v>103</v>
      </c>
      <c r="B30" s="5" t="s">
        <v>103</v>
      </c>
      <c r="C30" s="5" t="s">
        <v>106</v>
      </c>
      <c r="D30" s="5"/>
      <c r="E30" s="5"/>
      <c r="F30" s="5"/>
      <c r="G30" s="5"/>
      <c r="H30" s="5" t="n">
        <f aca="false">(COUNTIF(J30:EC30,"=0")+COUNTIF(J30:EC30,"=1"))</f>
        <v>15</v>
      </c>
      <c r="I30" s="18" t="n">
        <f aca="false">IFERROR(ROUND(10-AVERAGE(J30:EC30)*10,0),0)</f>
        <v>0</v>
      </c>
      <c r="J30" s="11" t="n">
        <v>1</v>
      </c>
      <c r="K30" s="11" t="n">
        <v>1</v>
      </c>
      <c r="L30" s="11" t="n">
        <v>1</v>
      </c>
      <c r="M30" s="11" t="n">
        <v>1</v>
      </c>
      <c r="N30" s="5"/>
      <c r="O30" s="11" t="n">
        <v>1</v>
      </c>
      <c r="P30" s="11" t="n">
        <v>1</v>
      </c>
      <c r="Q30" s="11" t="n">
        <v>1</v>
      </c>
      <c r="R30" s="11" t="n">
        <v>1</v>
      </c>
      <c r="S30" s="5" t="n">
        <v>1</v>
      </c>
      <c r="T30" s="11" t="n">
        <v>1</v>
      </c>
      <c r="U30" s="11" t="n">
        <v>1</v>
      </c>
      <c r="V30" s="5"/>
      <c r="W30" s="11" t="n">
        <v>1</v>
      </c>
      <c r="X30" s="11" t="n">
        <v>1</v>
      </c>
      <c r="Y30" s="5"/>
      <c r="Z30" s="11" t="n">
        <v>1</v>
      </c>
      <c r="AA30" s="5"/>
      <c r="AB30" s="5"/>
      <c r="AF30" s="5" t="n">
        <v>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</row>
    <row r="31" customFormat="false" ht="15.75" hidden="false" customHeight="false" outlineLevel="0" collapsed="false">
      <c r="A31" s="5" t="s">
        <v>107</v>
      </c>
      <c r="B31" s="5" t="s">
        <v>107</v>
      </c>
      <c r="C31" s="5" t="s">
        <v>108</v>
      </c>
      <c r="D31" s="5"/>
      <c r="E31" s="5"/>
      <c r="F31" s="5"/>
      <c r="G31" s="5"/>
      <c r="H31" s="5" t="n">
        <f aca="false">(COUNTIF(J31:EC31,"=0")+COUNTIF(J31:EC31,"=1"))</f>
        <v>12</v>
      </c>
      <c r="I31" s="20" t="n">
        <f aca="false">IFERROR(ROUND(10-AVERAGE(J31:EC31)*10,0),0)</f>
        <v>2</v>
      </c>
      <c r="J31" s="11" t="n">
        <v>1</v>
      </c>
      <c r="K31" s="11" t="n">
        <v>1</v>
      </c>
      <c r="L31" s="5"/>
      <c r="M31" s="11" t="n">
        <v>1</v>
      </c>
      <c r="N31" s="5"/>
      <c r="O31" s="11" t="n">
        <v>1</v>
      </c>
      <c r="P31" s="11" t="n">
        <v>1</v>
      </c>
      <c r="Q31" s="11" t="n">
        <v>1</v>
      </c>
      <c r="R31" s="5"/>
      <c r="S31" s="5"/>
      <c r="T31" s="11" t="n">
        <v>1</v>
      </c>
      <c r="U31" s="11" t="n">
        <v>1</v>
      </c>
      <c r="V31" s="5"/>
      <c r="W31" s="11" t="n">
        <v>1</v>
      </c>
      <c r="X31" s="11" t="n">
        <v>1</v>
      </c>
      <c r="Y31" s="5"/>
      <c r="Z31" s="11" t="n">
        <v>0</v>
      </c>
      <c r="AA31" s="5"/>
      <c r="AB31" s="5"/>
      <c r="AE31" s="5" t="n">
        <v>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</row>
    <row r="32" customFormat="false" ht="15.75" hidden="false" customHeight="false" outlineLevel="0" collapsed="false">
      <c r="A32" s="5" t="s">
        <v>107</v>
      </c>
      <c r="B32" s="5" t="s">
        <v>109</v>
      </c>
      <c r="C32" s="5" t="s">
        <v>79</v>
      </c>
      <c r="D32" s="5"/>
      <c r="E32" s="5"/>
      <c r="F32" s="5"/>
      <c r="G32" s="9" t="s">
        <v>110</v>
      </c>
      <c r="H32" s="5" t="n">
        <f aca="false">(COUNTIF(J32:EC32,"=0")+COUNTIF(J32:EC32,"=1"))</f>
        <v>15</v>
      </c>
      <c r="I32" s="21" t="n">
        <f aca="false">IFERROR(ROUND(10-AVERAGE(J32:EC32)*10,0),0)</f>
        <v>3</v>
      </c>
      <c r="J32" s="11" t="n">
        <v>1</v>
      </c>
      <c r="K32" s="11" t="n">
        <v>0</v>
      </c>
      <c r="L32" s="11" t="n">
        <v>1</v>
      </c>
      <c r="M32" s="11" t="n">
        <v>0</v>
      </c>
      <c r="N32" s="5"/>
      <c r="O32" s="11" t="n">
        <v>1</v>
      </c>
      <c r="P32" s="11" t="n">
        <v>1</v>
      </c>
      <c r="Q32" s="11" t="n">
        <v>1</v>
      </c>
      <c r="R32" s="11" t="n">
        <v>1</v>
      </c>
      <c r="S32" s="11" t="n">
        <v>1</v>
      </c>
      <c r="T32" s="11" t="n">
        <v>0</v>
      </c>
      <c r="U32" s="11" t="n">
        <v>1</v>
      </c>
      <c r="V32" s="5"/>
      <c r="W32" s="11" t="n">
        <v>1</v>
      </c>
      <c r="X32" s="11" t="n">
        <v>1</v>
      </c>
      <c r="Y32" s="5"/>
      <c r="Z32" s="11" t="n">
        <v>0</v>
      </c>
      <c r="AA32" s="5"/>
      <c r="AB32" s="5"/>
      <c r="AD32" s="5" t="n">
        <v>1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</row>
    <row r="33" customFormat="false" ht="15.75" hidden="false" customHeight="false" outlineLevel="0" collapsed="false">
      <c r="A33" s="5" t="s">
        <v>111</v>
      </c>
      <c r="B33" s="5" t="s">
        <v>112</v>
      </c>
      <c r="C33" s="5" t="s">
        <v>113</v>
      </c>
      <c r="D33" s="5" t="s">
        <v>114</v>
      </c>
      <c r="E33" s="5"/>
      <c r="F33" s="5"/>
      <c r="G33" s="9" t="s">
        <v>115</v>
      </c>
      <c r="H33" s="5" t="n">
        <f aca="false">(COUNTIF(J33:EC33,"=0")+COUNTIF(J33:EC33,"=1"))</f>
        <v>11</v>
      </c>
      <c r="I33" s="12" t="n">
        <f aca="false">IFERROR(ROUND(10-AVERAGE(J33:EC33)*10,0),0)</f>
        <v>8</v>
      </c>
      <c r="J33" s="11" t="n">
        <v>1</v>
      </c>
      <c r="K33" s="11" t="n">
        <v>0</v>
      </c>
      <c r="L33" s="11" t="n">
        <v>0</v>
      </c>
      <c r="M33" s="5"/>
      <c r="N33" s="5"/>
      <c r="O33" s="11" t="n">
        <v>0</v>
      </c>
      <c r="P33" s="11" t="n">
        <v>0</v>
      </c>
      <c r="Q33" s="11" t="n">
        <v>0</v>
      </c>
      <c r="R33" s="5"/>
      <c r="S33" s="11" t="n">
        <v>0</v>
      </c>
      <c r="T33" s="11" t="n">
        <v>0</v>
      </c>
      <c r="U33" s="11" t="n">
        <v>0</v>
      </c>
      <c r="V33" s="5"/>
      <c r="W33" s="11" t="n">
        <v>1</v>
      </c>
      <c r="X33" s="11" t="n">
        <v>0</v>
      </c>
      <c r="Y33" s="5"/>
      <c r="Z33" s="5"/>
      <c r="AA33" s="5"/>
      <c r="AB33" s="5"/>
    </row>
    <row r="34" customFormat="false" ht="15.75" hidden="false" customHeight="false" outlineLevel="0" collapsed="false">
      <c r="A34" s="5" t="s">
        <v>111</v>
      </c>
      <c r="B34" s="5" t="s">
        <v>112</v>
      </c>
      <c r="C34" s="5" t="s">
        <v>116</v>
      </c>
      <c r="D34" s="5" t="s">
        <v>114</v>
      </c>
      <c r="E34" s="5"/>
      <c r="F34" s="5"/>
      <c r="G34" s="9" t="s">
        <v>117</v>
      </c>
      <c r="H34" s="5" t="n">
        <f aca="false">(COUNTIF(J34:EC34,"=0")+COUNTIF(J34:EC34,"=1"))</f>
        <v>11</v>
      </c>
      <c r="I34" s="12" t="n">
        <f aca="false">IFERROR(ROUND(10-AVERAGE(J34:EC34)*10,0),0)</f>
        <v>8</v>
      </c>
      <c r="J34" s="11" t="n">
        <v>1</v>
      </c>
      <c r="K34" s="11" t="n">
        <v>0</v>
      </c>
      <c r="L34" s="11" t="n">
        <v>0</v>
      </c>
      <c r="M34" s="5"/>
      <c r="N34" s="5"/>
      <c r="O34" s="11" t="n">
        <v>0</v>
      </c>
      <c r="P34" s="11" t="n">
        <v>0</v>
      </c>
      <c r="Q34" s="11" t="n">
        <v>0</v>
      </c>
      <c r="R34" s="5"/>
      <c r="S34" s="11" t="n">
        <v>0</v>
      </c>
      <c r="T34" s="11" t="n">
        <v>0</v>
      </c>
      <c r="U34" s="11" t="n">
        <v>0</v>
      </c>
      <c r="V34" s="5"/>
      <c r="W34" s="11" t="n">
        <v>0</v>
      </c>
      <c r="X34" s="11" t="n">
        <v>1</v>
      </c>
      <c r="Y34" s="5"/>
      <c r="Z34" s="5"/>
      <c r="AA34" s="5"/>
      <c r="AB34" s="5"/>
    </row>
    <row r="35" customFormat="false" ht="15.75" hidden="false" customHeight="false" outlineLevel="0" collapsed="false">
      <c r="A35" s="5" t="s">
        <v>111</v>
      </c>
      <c r="B35" s="5" t="s">
        <v>112</v>
      </c>
      <c r="C35" s="5" t="s">
        <v>118</v>
      </c>
      <c r="D35" s="5" t="s">
        <v>114</v>
      </c>
      <c r="E35" s="5"/>
      <c r="F35" s="5"/>
      <c r="G35" s="9" t="s">
        <v>119</v>
      </c>
      <c r="H35" s="5" t="n">
        <f aca="false">(COUNTIF(J35:EC35,"=0")+COUNTIF(J35:EC35,"=1"))</f>
        <v>14</v>
      </c>
      <c r="I35" s="16" t="n">
        <f aca="false">IFERROR(ROUND(10-AVERAGE(J35:EC35)*10,0),0)</f>
        <v>6</v>
      </c>
      <c r="J35" s="11" t="n">
        <v>1</v>
      </c>
      <c r="K35" s="11" t="n">
        <v>0</v>
      </c>
      <c r="L35" s="11" t="n">
        <v>0</v>
      </c>
      <c r="M35" s="11" t="n">
        <v>1</v>
      </c>
      <c r="N35" s="5"/>
      <c r="O35" s="11" t="n">
        <v>0</v>
      </c>
      <c r="P35" s="11" t="n">
        <v>0</v>
      </c>
      <c r="Q35" s="11" t="n">
        <v>0</v>
      </c>
      <c r="R35" s="11" t="n">
        <v>1</v>
      </c>
      <c r="S35" s="11" t="n">
        <v>0</v>
      </c>
      <c r="T35" s="11" t="n">
        <v>0</v>
      </c>
      <c r="U35" s="11" t="n">
        <v>0</v>
      </c>
      <c r="V35" s="5"/>
      <c r="W35" s="11" t="n">
        <v>0</v>
      </c>
      <c r="X35" s="11" t="n">
        <v>1</v>
      </c>
      <c r="Y35" s="5"/>
      <c r="Z35" s="5"/>
      <c r="AA35" s="5"/>
      <c r="AB35" s="5"/>
      <c r="AD35" s="5" t="n">
        <v>1</v>
      </c>
    </row>
    <row r="36" customFormat="false" ht="15.75" hidden="false" customHeight="false" outlineLevel="0" collapsed="false">
      <c r="A36" s="5" t="s">
        <v>111</v>
      </c>
      <c r="B36" s="5" t="s">
        <v>112</v>
      </c>
      <c r="C36" s="5" t="s">
        <v>120</v>
      </c>
      <c r="D36" s="5" t="s">
        <v>114</v>
      </c>
      <c r="E36" s="5"/>
      <c r="F36" s="5"/>
      <c r="G36" s="9" t="s">
        <v>121</v>
      </c>
      <c r="H36" s="5" t="n">
        <f aca="false">(COUNTIF(J36:EC36,"=0")+COUNTIF(J36:EC36,"=1"))</f>
        <v>11</v>
      </c>
      <c r="I36" s="12" t="n">
        <f aca="false">IFERROR(ROUND(10-AVERAGE(J36:EC36)*10,0),0)</f>
        <v>8</v>
      </c>
      <c r="J36" s="11" t="n">
        <v>1</v>
      </c>
      <c r="K36" s="11" t="n">
        <v>0</v>
      </c>
      <c r="L36" s="11" t="n">
        <v>0</v>
      </c>
      <c r="M36" s="5"/>
      <c r="N36" s="5"/>
      <c r="O36" s="11" t="n">
        <v>0</v>
      </c>
      <c r="P36" s="11" t="n">
        <v>0</v>
      </c>
      <c r="Q36" s="11" t="n">
        <v>0</v>
      </c>
      <c r="R36" s="5"/>
      <c r="S36" s="11" t="n">
        <v>0</v>
      </c>
      <c r="T36" s="11" t="n">
        <v>0</v>
      </c>
      <c r="U36" s="11" t="n">
        <v>0</v>
      </c>
      <c r="V36" s="5"/>
      <c r="W36" s="11" t="n">
        <v>0</v>
      </c>
      <c r="X36" s="11" t="n">
        <v>1</v>
      </c>
      <c r="Y36" s="5"/>
      <c r="Z36" s="5"/>
      <c r="AA36" s="5"/>
      <c r="AB36" s="5"/>
    </row>
    <row r="37" customFormat="false" ht="15.75" hidden="false" customHeight="false" outlineLevel="0" collapsed="false">
      <c r="A37" s="5" t="s">
        <v>111</v>
      </c>
      <c r="B37" s="5" t="s">
        <v>112</v>
      </c>
      <c r="C37" s="5" t="s">
        <v>122</v>
      </c>
      <c r="D37" s="5" t="s">
        <v>114</v>
      </c>
      <c r="E37" s="5"/>
      <c r="F37" s="5"/>
      <c r="G37" s="9" t="s">
        <v>123</v>
      </c>
      <c r="H37" s="5" t="n">
        <f aca="false">(COUNTIF(J37:EC37,"=0")+COUNTIF(J37:EC37,"=1"))</f>
        <v>11</v>
      </c>
      <c r="I37" s="17" t="n">
        <f aca="false">IFERROR(ROUND(10-AVERAGE(J37:EC37)*10,0),0)</f>
        <v>9</v>
      </c>
      <c r="J37" s="11" t="n">
        <v>1</v>
      </c>
      <c r="K37" s="11" t="n">
        <v>0</v>
      </c>
      <c r="L37" s="11" t="n">
        <v>0</v>
      </c>
      <c r="M37" s="5"/>
      <c r="N37" s="5"/>
      <c r="O37" s="11" t="n">
        <v>0</v>
      </c>
      <c r="P37" s="11" t="n">
        <v>0</v>
      </c>
      <c r="Q37" s="11" t="n">
        <v>0</v>
      </c>
      <c r="R37" s="5"/>
      <c r="S37" s="11" t="n">
        <v>0</v>
      </c>
      <c r="T37" s="11" t="n">
        <v>0</v>
      </c>
      <c r="U37" s="11" t="n">
        <v>0</v>
      </c>
      <c r="V37" s="5"/>
      <c r="W37" s="11" t="n">
        <v>0</v>
      </c>
      <c r="X37" s="11" t="n">
        <v>0</v>
      </c>
      <c r="Y37" s="5"/>
      <c r="Z37" s="5"/>
      <c r="AA37" s="5"/>
      <c r="AB37" s="5"/>
    </row>
    <row r="38" customFormat="false" ht="15.75" hidden="false" customHeight="false" outlineLevel="0" collapsed="false">
      <c r="A38" s="5" t="s">
        <v>111</v>
      </c>
      <c r="B38" s="5" t="s">
        <v>124</v>
      </c>
      <c r="C38" s="5" t="s">
        <v>125</v>
      </c>
      <c r="D38" s="5" t="s">
        <v>126</v>
      </c>
      <c r="E38" s="5"/>
      <c r="F38" s="5"/>
      <c r="G38" s="9" t="s">
        <v>127</v>
      </c>
      <c r="H38" s="5" t="n">
        <f aca="false">(COUNTIF(J38:EC38,"=0")+COUNTIF(J38:EC38,"=1"))</f>
        <v>12</v>
      </c>
      <c r="I38" s="17" t="n">
        <f aca="false">IFERROR(ROUND(10-AVERAGE(J38:EC38)*10,0),0)</f>
        <v>9</v>
      </c>
      <c r="J38" s="11" t="n">
        <v>1</v>
      </c>
      <c r="K38" s="11" t="n">
        <v>0</v>
      </c>
      <c r="L38" s="11" t="n">
        <v>0</v>
      </c>
      <c r="M38" s="5"/>
      <c r="N38" s="5"/>
      <c r="O38" s="11" t="n">
        <v>0</v>
      </c>
      <c r="P38" s="11" t="n">
        <v>0</v>
      </c>
      <c r="Q38" s="11" t="n">
        <v>0</v>
      </c>
      <c r="R38" s="5"/>
      <c r="S38" s="11" t="n">
        <v>0</v>
      </c>
      <c r="T38" s="11" t="n">
        <v>0</v>
      </c>
      <c r="U38" s="11" t="n">
        <v>0</v>
      </c>
      <c r="V38" s="5"/>
      <c r="W38" s="11" t="n">
        <v>0</v>
      </c>
      <c r="X38" s="11" t="n">
        <v>0</v>
      </c>
      <c r="Y38" s="5"/>
      <c r="Z38" s="5"/>
      <c r="AA38" s="11" t="n">
        <v>0</v>
      </c>
      <c r="AB38" s="5"/>
    </row>
    <row r="39" customFormat="false" ht="15.75" hidden="false" customHeight="false" outlineLevel="0" collapsed="false">
      <c r="A39" s="5" t="s">
        <v>111</v>
      </c>
      <c r="B39" s="5" t="s">
        <v>124</v>
      </c>
      <c r="C39" s="5" t="s">
        <v>128</v>
      </c>
      <c r="D39" s="5" t="s">
        <v>126</v>
      </c>
      <c r="E39" s="5"/>
      <c r="F39" s="5"/>
      <c r="G39" s="9" t="s">
        <v>129</v>
      </c>
      <c r="H39" s="5" t="n">
        <f aca="false">(COUNTIF(J39:EC39,"=0")+COUNTIF(J39:EC39,"=1"))</f>
        <v>11</v>
      </c>
      <c r="I39" s="17" t="n">
        <f aca="false">IFERROR(ROUND(10-AVERAGE(J39:EC39)*10,0),0)</f>
        <v>9</v>
      </c>
      <c r="J39" s="11" t="n">
        <v>1</v>
      </c>
      <c r="K39" s="11" t="n">
        <v>0</v>
      </c>
      <c r="L39" s="11" t="n">
        <v>0</v>
      </c>
      <c r="M39" s="5"/>
      <c r="N39" s="5"/>
      <c r="O39" s="11" t="n">
        <v>0</v>
      </c>
      <c r="P39" s="11" t="n">
        <v>0</v>
      </c>
      <c r="Q39" s="11" t="n">
        <v>0</v>
      </c>
      <c r="R39" s="5"/>
      <c r="S39" s="11" t="n">
        <v>0</v>
      </c>
      <c r="T39" s="11" t="n">
        <v>0</v>
      </c>
      <c r="U39" s="11" t="n">
        <v>0</v>
      </c>
      <c r="V39" s="5"/>
      <c r="W39" s="11" t="n">
        <v>0</v>
      </c>
      <c r="X39" s="11" t="n">
        <v>0</v>
      </c>
      <c r="Y39" s="5"/>
      <c r="Z39" s="5"/>
      <c r="AA39" s="5"/>
      <c r="AB39" s="5"/>
    </row>
    <row r="40" customFormat="false" ht="15.75" hidden="false" customHeight="false" outlineLevel="0" collapsed="false">
      <c r="A40" s="5" t="s">
        <v>111</v>
      </c>
      <c r="B40" s="5" t="s">
        <v>124</v>
      </c>
      <c r="C40" s="5" t="s">
        <v>130</v>
      </c>
      <c r="D40" s="5" t="s">
        <v>126</v>
      </c>
      <c r="E40" s="5"/>
      <c r="F40" s="5"/>
      <c r="G40" s="9" t="s">
        <v>131</v>
      </c>
      <c r="H40" s="5" t="n">
        <f aca="false">(COUNTIF(J40:EC40,"=0")+COUNTIF(J40:EC40,"=1"))</f>
        <v>11</v>
      </c>
      <c r="I40" s="17" t="n">
        <f aca="false">IFERROR(ROUND(10-AVERAGE(J40:EC40)*10,0),0)</f>
        <v>9</v>
      </c>
      <c r="J40" s="11" t="n">
        <v>1</v>
      </c>
      <c r="K40" s="11" t="n">
        <v>0</v>
      </c>
      <c r="L40" s="11" t="n">
        <v>0</v>
      </c>
      <c r="M40" s="5"/>
      <c r="N40" s="5"/>
      <c r="O40" s="11" t="n">
        <v>0</v>
      </c>
      <c r="P40" s="11" t="n">
        <v>0</v>
      </c>
      <c r="Q40" s="11" t="n">
        <v>0</v>
      </c>
      <c r="R40" s="5"/>
      <c r="S40" s="11" t="n">
        <v>0</v>
      </c>
      <c r="T40" s="11" t="n">
        <v>0</v>
      </c>
      <c r="U40" s="11" t="n">
        <v>0</v>
      </c>
      <c r="V40" s="5"/>
      <c r="W40" s="11" t="n">
        <v>0</v>
      </c>
      <c r="X40" s="11" t="n">
        <v>0</v>
      </c>
      <c r="Y40" s="5"/>
      <c r="Z40" s="5"/>
      <c r="AA40" s="5"/>
      <c r="AB40" s="5"/>
    </row>
    <row r="41" customFormat="false" ht="15.75" hidden="false" customHeight="false" outlineLevel="0" collapsed="false">
      <c r="A41" s="5" t="s">
        <v>111</v>
      </c>
      <c r="B41" s="5" t="s">
        <v>124</v>
      </c>
      <c r="C41" s="5" t="s">
        <v>132</v>
      </c>
      <c r="D41" s="5" t="s">
        <v>126</v>
      </c>
      <c r="E41" s="5"/>
      <c r="F41" s="5"/>
      <c r="G41" s="9" t="s">
        <v>133</v>
      </c>
      <c r="H41" s="5" t="n">
        <f aca="false">(COUNTIF(J41:EC41,"=0")+COUNTIF(J41:EC41,"=1"))</f>
        <v>11</v>
      </c>
      <c r="I41" s="12" t="n">
        <f aca="false">IFERROR(ROUND(10-AVERAGE(J41:EC41)*10,0),0)</f>
        <v>8</v>
      </c>
      <c r="J41" s="11" t="n">
        <v>1</v>
      </c>
      <c r="K41" s="11" t="n">
        <v>0</v>
      </c>
      <c r="L41" s="11" t="n">
        <v>0</v>
      </c>
      <c r="M41" s="5"/>
      <c r="N41" s="5"/>
      <c r="O41" s="11" t="n">
        <v>0</v>
      </c>
      <c r="P41" s="11" t="n">
        <v>1</v>
      </c>
      <c r="Q41" s="11" t="n">
        <v>0</v>
      </c>
      <c r="R41" s="5"/>
      <c r="S41" s="11" t="n">
        <v>0</v>
      </c>
      <c r="T41" s="11" t="n">
        <v>0</v>
      </c>
      <c r="U41" s="11" t="n">
        <v>0</v>
      </c>
      <c r="V41" s="5"/>
      <c r="W41" s="11" t="n">
        <v>0</v>
      </c>
      <c r="X41" s="11" t="n">
        <v>0</v>
      </c>
      <c r="Y41" s="5"/>
      <c r="Z41" s="5"/>
      <c r="AA41" s="5"/>
      <c r="AB41" s="5"/>
    </row>
    <row r="42" customFormat="false" ht="15.75" hidden="false" customHeight="false" outlineLevel="0" collapsed="false">
      <c r="A42" s="5" t="s">
        <v>111</v>
      </c>
      <c r="B42" s="5" t="s">
        <v>124</v>
      </c>
      <c r="C42" s="5" t="s">
        <v>134</v>
      </c>
      <c r="D42" s="5" t="s">
        <v>126</v>
      </c>
      <c r="E42" s="5"/>
      <c r="F42" s="5"/>
      <c r="G42" s="9" t="s">
        <v>135</v>
      </c>
      <c r="H42" s="5" t="n">
        <f aca="false">(COUNTIF(J42:EC42,"=0")+COUNTIF(J42:EC42,"=1"))</f>
        <v>11</v>
      </c>
      <c r="I42" s="12" t="n">
        <f aca="false">IFERROR(ROUND(10-AVERAGE(J42:EC42)*10,0),0)</f>
        <v>8</v>
      </c>
      <c r="J42" s="11" t="n">
        <v>1</v>
      </c>
      <c r="K42" s="11" t="n">
        <v>0</v>
      </c>
      <c r="L42" s="11" t="n">
        <v>0</v>
      </c>
      <c r="M42" s="5"/>
      <c r="N42" s="5"/>
      <c r="O42" s="11" t="n">
        <v>0</v>
      </c>
      <c r="P42" s="11" t="n">
        <v>0</v>
      </c>
      <c r="Q42" s="11" t="n">
        <v>0</v>
      </c>
      <c r="R42" s="5"/>
      <c r="S42" s="11" t="n">
        <v>0</v>
      </c>
      <c r="T42" s="11" t="n">
        <v>0</v>
      </c>
      <c r="U42" s="11" t="n">
        <v>1</v>
      </c>
      <c r="V42" s="5"/>
      <c r="W42" s="11" t="n">
        <v>0</v>
      </c>
      <c r="X42" s="11" t="n">
        <v>0</v>
      </c>
      <c r="Y42" s="5"/>
      <c r="Z42" s="5"/>
      <c r="AA42" s="5"/>
      <c r="AB42" s="5"/>
    </row>
    <row r="43" customFormat="false" ht="15.75" hidden="false" customHeight="false" outlineLevel="0" collapsed="false">
      <c r="A43" s="5" t="s">
        <v>111</v>
      </c>
      <c r="B43" s="5" t="s">
        <v>124</v>
      </c>
      <c r="C43" s="5" t="s">
        <v>72</v>
      </c>
      <c r="D43" s="5" t="s">
        <v>126</v>
      </c>
      <c r="E43" s="5"/>
      <c r="F43" s="5"/>
      <c r="G43" s="9" t="s">
        <v>136</v>
      </c>
      <c r="H43" s="5" t="n">
        <f aca="false">(COUNTIF(J43:EC43,"=0")+COUNTIF(J43:EC43,"=1"))</f>
        <v>12</v>
      </c>
      <c r="I43" s="16" t="n">
        <f aca="false">IFERROR(ROUND(10-AVERAGE(J43:EC43)*10,0),0)</f>
        <v>8</v>
      </c>
      <c r="J43" s="11" t="n">
        <v>1</v>
      </c>
      <c r="K43" s="11" t="n">
        <v>0</v>
      </c>
      <c r="L43" s="11" t="n">
        <v>0</v>
      </c>
      <c r="M43" s="5"/>
      <c r="N43" s="5"/>
      <c r="O43" s="11" t="n">
        <v>0</v>
      </c>
      <c r="P43" s="11" t="n">
        <v>1</v>
      </c>
      <c r="Q43" s="11" t="n">
        <v>0</v>
      </c>
      <c r="R43" s="5"/>
      <c r="S43" s="11" t="n">
        <v>0</v>
      </c>
      <c r="T43" s="11" t="n">
        <v>0</v>
      </c>
      <c r="U43" s="11" t="n">
        <v>1</v>
      </c>
      <c r="V43" s="5"/>
      <c r="W43" s="11" t="n">
        <v>0</v>
      </c>
      <c r="X43" s="11" t="n">
        <v>0</v>
      </c>
      <c r="Y43" s="5"/>
      <c r="Z43" s="5"/>
      <c r="AA43" s="5"/>
      <c r="AB43" s="5"/>
      <c r="AF43" s="5" t="n">
        <v>0</v>
      </c>
    </row>
    <row r="44" customFormat="false" ht="15.75" hidden="false" customHeight="false" outlineLevel="0" collapsed="false">
      <c r="A44" s="5" t="s">
        <v>111</v>
      </c>
      <c r="B44" s="5" t="s">
        <v>137</v>
      </c>
      <c r="C44" s="5" t="s">
        <v>138</v>
      </c>
      <c r="D44" s="5" t="s">
        <v>139</v>
      </c>
      <c r="E44" s="22"/>
      <c r="F44" s="22"/>
      <c r="G44" s="22"/>
      <c r="H44" s="5" t="n">
        <f aca="false">(COUNTIF(J44:EC44,"=0")+COUNTIF(J44:EC44,"=1"))</f>
        <v>11</v>
      </c>
      <c r="I44" s="23" t="n">
        <f aca="false">IFERROR(ROUND(10-AVERAGE(J44:EC44)*10,0),0)</f>
        <v>4</v>
      </c>
      <c r="J44" s="11" t="n">
        <v>1</v>
      </c>
      <c r="K44" s="11" t="n">
        <v>1</v>
      </c>
      <c r="L44" s="11" t="n">
        <v>0</v>
      </c>
      <c r="M44" s="5"/>
      <c r="N44" s="5"/>
      <c r="O44" s="11" t="n">
        <v>0</v>
      </c>
      <c r="P44" s="11" t="n">
        <v>1</v>
      </c>
      <c r="Q44" s="11" t="n">
        <v>1</v>
      </c>
      <c r="R44" s="5"/>
      <c r="S44" s="11" t="n">
        <v>0</v>
      </c>
      <c r="T44" s="11" t="n">
        <v>1</v>
      </c>
      <c r="U44" s="11" t="n">
        <v>0</v>
      </c>
      <c r="V44" s="5"/>
      <c r="W44" s="11" t="n">
        <v>1</v>
      </c>
      <c r="X44" s="11" t="n">
        <v>1</v>
      </c>
      <c r="Y44" s="5"/>
      <c r="Z44" s="5"/>
      <c r="AA44" s="5"/>
      <c r="AB44" s="5"/>
    </row>
    <row r="45" customFormat="false" ht="15.75" hidden="false" customHeight="false" outlineLevel="0" collapsed="false">
      <c r="A45" s="5" t="s">
        <v>111</v>
      </c>
      <c r="B45" s="5" t="s">
        <v>137</v>
      </c>
      <c r="C45" s="5" t="s">
        <v>72</v>
      </c>
      <c r="D45" s="5" t="s">
        <v>139</v>
      </c>
      <c r="E45" s="22"/>
      <c r="F45" s="22"/>
      <c r="G45" s="22"/>
      <c r="H45" s="5" t="n">
        <f aca="false">(COUNTIF(J45:EC45,"=0")+COUNTIF(J45:EC45,"=1"))</f>
        <v>12</v>
      </c>
      <c r="I45" s="20" t="n">
        <f aca="false">IFERROR(ROUND(10-AVERAGE(J45:EC45)*10,0),0)</f>
        <v>1</v>
      </c>
      <c r="J45" s="11" t="n">
        <v>1</v>
      </c>
      <c r="K45" s="11" t="n">
        <v>1</v>
      </c>
      <c r="L45" s="11" t="n">
        <v>1</v>
      </c>
      <c r="M45" s="5"/>
      <c r="N45" s="5"/>
      <c r="O45" s="11" t="n">
        <v>1</v>
      </c>
      <c r="P45" s="11" t="n">
        <v>1</v>
      </c>
      <c r="Q45" s="11" t="n">
        <v>1</v>
      </c>
      <c r="R45" s="5"/>
      <c r="S45" s="11" t="n">
        <v>0</v>
      </c>
      <c r="T45" s="11" t="n">
        <v>1</v>
      </c>
      <c r="U45" s="11" t="n">
        <v>1</v>
      </c>
      <c r="V45" s="5"/>
      <c r="W45" s="11" t="n">
        <v>1</v>
      </c>
      <c r="X45" s="11" t="n">
        <v>1</v>
      </c>
      <c r="Y45" s="5"/>
      <c r="Z45" s="5"/>
      <c r="AA45" s="5"/>
      <c r="AB45" s="11" t="n">
        <v>1</v>
      </c>
    </row>
    <row r="46" customFormat="false" ht="15.75" hidden="false" customHeight="false" outlineLevel="0" collapsed="false">
      <c r="A46" s="5" t="s">
        <v>111</v>
      </c>
      <c r="B46" s="5" t="s">
        <v>140</v>
      </c>
      <c r="C46" s="5" t="s">
        <v>141</v>
      </c>
      <c r="D46" s="5" t="s">
        <v>142</v>
      </c>
      <c r="E46" s="5"/>
      <c r="F46" s="5"/>
      <c r="G46" s="9" t="s">
        <v>143</v>
      </c>
      <c r="H46" s="5" t="n">
        <f aca="false">(COUNTIF(J46:EC46,"=0")+COUNTIF(J46:EC46,"=1"))</f>
        <v>11</v>
      </c>
      <c r="I46" s="17" t="n">
        <f aca="false">IFERROR(ROUND(10-AVERAGE(J46:EC46)*10,0),0)</f>
        <v>9</v>
      </c>
      <c r="J46" s="11" t="n">
        <v>1</v>
      </c>
      <c r="K46" s="11" t="n">
        <v>0</v>
      </c>
      <c r="L46" s="11" t="n">
        <v>0</v>
      </c>
      <c r="M46" s="5"/>
      <c r="N46" s="5"/>
      <c r="O46" s="11" t="n">
        <v>0</v>
      </c>
      <c r="P46" s="11" t="n">
        <v>0</v>
      </c>
      <c r="Q46" s="11" t="n">
        <v>0</v>
      </c>
      <c r="R46" s="5"/>
      <c r="S46" s="11" t="n">
        <v>0</v>
      </c>
      <c r="T46" s="11" t="n">
        <v>0</v>
      </c>
      <c r="U46" s="11" t="n">
        <v>0</v>
      </c>
      <c r="V46" s="5"/>
      <c r="W46" s="11" t="n">
        <v>0</v>
      </c>
      <c r="X46" s="11" t="n">
        <v>0</v>
      </c>
      <c r="Y46" s="5"/>
      <c r="Z46" s="5"/>
      <c r="AA46" s="5"/>
      <c r="AB46" s="5"/>
    </row>
    <row r="47" customFormat="false" ht="15.75" hidden="false" customHeight="false" outlineLevel="0" collapsed="false">
      <c r="A47" s="5" t="s">
        <v>111</v>
      </c>
      <c r="B47" s="5" t="s">
        <v>140</v>
      </c>
      <c r="C47" s="5" t="s">
        <v>144</v>
      </c>
      <c r="D47" s="5" t="s">
        <v>142</v>
      </c>
      <c r="E47" s="5"/>
      <c r="F47" s="5"/>
      <c r="G47" s="9" t="s">
        <v>145</v>
      </c>
      <c r="H47" s="5" t="n">
        <f aca="false">(COUNTIF(J47:EC47,"=0")+COUNTIF(J47:EC47,"=1"))</f>
        <v>11</v>
      </c>
      <c r="I47" s="19" t="n">
        <f aca="false">IFERROR(ROUND(10-AVERAGE(J47:EC47)*10,0),0)</f>
        <v>5</v>
      </c>
      <c r="J47" s="11" t="n">
        <v>1</v>
      </c>
      <c r="K47" s="11" t="n">
        <v>1</v>
      </c>
      <c r="L47" s="11" t="n">
        <v>0</v>
      </c>
      <c r="M47" s="5"/>
      <c r="N47" s="5"/>
      <c r="O47" s="11" t="n">
        <v>0</v>
      </c>
      <c r="P47" s="11" t="n">
        <v>1</v>
      </c>
      <c r="Q47" s="11" t="n">
        <v>1</v>
      </c>
      <c r="R47" s="5"/>
      <c r="S47" s="11" t="n">
        <v>0</v>
      </c>
      <c r="T47" s="11" t="n">
        <v>0</v>
      </c>
      <c r="U47" s="11" t="n">
        <v>0</v>
      </c>
      <c r="V47" s="5"/>
      <c r="W47" s="11" t="n">
        <v>1</v>
      </c>
      <c r="X47" s="11" t="n">
        <v>0</v>
      </c>
      <c r="Y47" s="5"/>
      <c r="Z47" s="5"/>
      <c r="AA47" s="5"/>
      <c r="AB47" s="5"/>
    </row>
    <row r="48" customFormat="false" ht="15.75" hidden="false" customHeight="false" outlineLevel="0" collapsed="false">
      <c r="A48" s="5" t="s">
        <v>111</v>
      </c>
      <c r="B48" s="5" t="s">
        <v>140</v>
      </c>
      <c r="C48" s="5" t="s">
        <v>146</v>
      </c>
      <c r="D48" s="5" t="s">
        <v>142</v>
      </c>
      <c r="E48" s="5"/>
      <c r="F48" s="5"/>
      <c r="G48" s="9" t="s">
        <v>147</v>
      </c>
      <c r="H48" s="5" t="n">
        <f aca="false">(COUNTIF(J48:EC48,"=0")+COUNTIF(J48:EC48,"=1"))</f>
        <v>11</v>
      </c>
      <c r="I48" s="16" t="n">
        <f aca="false">IFERROR(ROUND(10-AVERAGE(J48:EC48)*10,0),0)</f>
        <v>7</v>
      </c>
      <c r="J48" s="11" t="n">
        <v>1</v>
      </c>
      <c r="K48" s="11" t="n">
        <v>1</v>
      </c>
      <c r="L48" s="11" t="n">
        <v>0</v>
      </c>
      <c r="M48" s="5"/>
      <c r="N48" s="5"/>
      <c r="O48" s="11" t="n">
        <v>0</v>
      </c>
      <c r="P48" s="11" t="n">
        <v>0</v>
      </c>
      <c r="Q48" s="11" t="n">
        <v>0</v>
      </c>
      <c r="R48" s="5"/>
      <c r="S48" s="11" t="n">
        <v>0</v>
      </c>
      <c r="T48" s="11" t="n">
        <v>0</v>
      </c>
      <c r="U48" s="11" t="n">
        <v>0</v>
      </c>
      <c r="V48" s="5"/>
      <c r="W48" s="11" t="n">
        <v>1</v>
      </c>
      <c r="X48" s="11" t="n">
        <v>0</v>
      </c>
      <c r="Y48" s="5"/>
      <c r="Z48" s="5"/>
      <c r="AA48" s="5"/>
      <c r="AB48" s="5"/>
    </row>
    <row r="49" customFormat="false" ht="15.75" hidden="false" customHeight="false" outlineLevel="0" collapsed="false">
      <c r="A49" s="5" t="s">
        <v>111</v>
      </c>
      <c r="B49" s="5" t="s">
        <v>140</v>
      </c>
      <c r="C49" s="5" t="s">
        <v>148</v>
      </c>
      <c r="D49" s="5" t="s">
        <v>142</v>
      </c>
      <c r="E49" s="5"/>
      <c r="F49" s="5"/>
      <c r="G49" s="9" t="s">
        <v>149</v>
      </c>
      <c r="H49" s="5" t="n">
        <f aca="false">(COUNTIF(J49:EC49,"=0")+COUNTIF(J49:EC49,"=1"))</f>
        <v>11</v>
      </c>
      <c r="I49" s="16" t="n">
        <f aca="false">IFERROR(ROUND(10-AVERAGE(J49:EC49)*10,0),0)</f>
        <v>7</v>
      </c>
      <c r="J49" s="11" t="n">
        <v>1</v>
      </c>
      <c r="K49" s="11" t="n">
        <v>1</v>
      </c>
      <c r="L49" s="11" t="n">
        <v>0</v>
      </c>
      <c r="M49" s="5"/>
      <c r="N49" s="5"/>
      <c r="O49" s="11" t="n">
        <v>0</v>
      </c>
      <c r="P49" s="11" t="n">
        <v>0</v>
      </c>
      <c r="Q49" s="11" t="n">
        <v>0</v>
      </c>
      <c r="R49" s="5"/>
      <c r="S49" s="11" t="n">
        <v>0</v>
      </c>
      <c r="T49" s="11" t="n">
        <v>0</v>
      </c>
      <c r="U49" s="11" t="n">
        <v>0</v>
      </c>
      <c r="V49" s="5"/>
      <c r="W49" s="11" t="n">
        <v>1</v>
      </c>
      <c r="X49" s="11" t="n">
        <v>0</v>
      </c>
      <c r="Y49" s="5"/>
      <c r="Z49" s="5"/>
      <c r="AA49" s="5"/>
      <c r="AB49" s="5"/>
    </row>
    <row r="50" customFormat="false" ht="15.75" hidden="false" customHeight="false" outlineLevel="0" collapsed="false">
      <c r="A50" s="5" t="s">
        <v>111</v>
      </c>
      <c r="B50" s="5" t="s">
        <v>140</v>
      </c>
      <c r="C50" s="5" t="s">
        <v>116</v>
      </c>
      <c r="D50" s="5" t="s">
        <v>142</v>
      </c>
      <c r="E50" s="5"/>
      <c r="F50" s="5"/>
      <c r="G50" s="9" t="s">
        <v>150</v>
      </c>
      <c r="H50" s="5" t="n">
        <f aca="false">(COUNTIF(J50:EC50,"=0")+COUNTIF(J50:EC50,"=1"))</f>
        <v>11</v>
      </c>
      <c r="I50" s="15" t="n">
        <f aca="false">IFERROR(ROUND(10-AVERAGE(J50:EC50)*10,0),0)</f>
        <v>6</v>
      </c>
      <c r="J50" s="11" t="n">
        <v>1</v>
      </c>
      <c r="K50" s="11" t="n">
        <v>1</v>
      </c>
      <c r="L50" s="11" t="n">
        <v>0</v>
      </c>
      <c r="M50" s="5"/>
      <c r="N50" s="5"/>
      <c r="O50" s="11" t="n">
        <v>0</v>
      </c>
      <c r="P50" s="11" t="n">
        <v>1</v>
      </c>
      <c r="Q50" s="11" t="n">
        <v>1</v>
      </c>
      <c r="R50" s="5"/>
      <c r="S50" s="11" t="n">
        <v>0</v>
      </c>
      <c r="T50" s="11" t="n">
        <v>0</v>
      </c>
      <c r="U50" s="11" t="n">
        <v>0</v>
      </c>
      <c r="V50" s="5"/>
      <c r="W50" s="11" t="n">
        <v>0</v>
      </c>
      <c r="X50" s="11" t="n">
        <v>0</v>
      </c>
      <c r="Y50" s="5"/>
      <c r="Z50" s="5"/>
      <c r="AA50" s="5"/>
      <c r="AB50" s="5"/>
    </row>
    <row r="51" customFormat="false" ht="15.75" hidden="false" customHeight="false" outlineLevel="0" collapsed="false">
      <c r="A51" s="5" t="s">
        <v>111</v>
      </c>
      <c r="B51" s="5" t="s">
        <v>140</v>
      </c>
      <c r="C51" s="5" t="s">
        <v>151</v>
      </c>
      <c r="D51" s="5" t="s">
        <v>142</v>
      </c>
      <c r="E51" s="5"/>
      <c r="F51" s="5"/>
      <c r="G51" s="9" t="s">
        <v>152</v>
      </c>
      <c r="H51" s="5" t="n">
        <f aca="false">(COUNTIF(J51:EC51,"=0")+COUNTIF(J51:EC51,"=1"))</f>
        <v>11</v>
      </c>
      <c r="I51" s="19" t="n">
        <f aca="false">IFERROR(ROUND(10-AVERAGE(J51:EC51)*10,0),0)</f>
        <v>5</v>
      </c>
      <c r="J51" s="11" t="n">
        <v>1</v>
      </c>
      <c r="K51" s="11" t="n">
        <v>1</v>
      </c>
      <c r="L51" s="11" t="n">
        <v>0</v>
      </c>
      <c r="M51" s="5"/>
      <c r="N51" s="5"/>
      <c r="O51" s="11" t="n">
        <v>0</v>
      </c>
      <c r="P51" s="11" t="n">
        <v>1</v>
      </c>
      <c r="Q51" s="11" t="n">
        <v>1</v>
      </c>
      <c r="R51" s="5"/>
      <c r="S51" s="11" t="n">
        <v>0</v>
      </c>
      <c r="T51" s="11" t="n">
        <v>0</v>
      </c>
      <c r="U51" s="11" t="n">
        <v>0</v>
      </c>
      <c r="V51" s="5"/>
      <c r="W51" s="11" t="n">
        <v>1</v>
      </c>
      <c r="X51" s="11" t="n">
        <v>0</v>
      </c>
      <c r="Y51" s="5"/>
      <c r="Z51" s="5"/>
      <c r="AA51" s="5"/>
      <c r="AB51" s="5"/>
    </row>
    <row r="52" customFormat="false" ht="15.75" hidden="false" customHeight="false" outlineLevel="0" collapsed="false">
      <c r="A52" s="5" t="s">
        <v>111</v>
      </c>
      <c r="B52" s="5" t="s">
        <v>140</v>
      </c>
      <c r="C52" s="5" t="s">
        <v>153</v>
      </c>
      <c r="D52" s="5" t="s">
        <v>142</v>
      </c>
      <c r="E52" s="5"/>
      <c r="F52" s="5"/>
      <c r="G52" s="9" t="s">
        <v>154</v>
      </c>
      <c r="H52" s="5" t="n">
        <f aca="false">(COUNTIF(J52:EC52,"=0")+COUNTIF(J52:EC52,"=1"))</f>
        <v>11</v>
      </c>
      <c r="I52" s="16" t="n">
        <f aca="false">IFERROR(ROUND(10-AVERAGE(J52:EC52)*10,0),0)</f>
        <v>7</v>
      </c>
      <c r="J52" s="11" t="n">
        <v>1</v>
      </c>
      <c r="K52" s="11" t="n">
        <v>1</v>
      </c>
      <c r="L52" s="11" t="n">
        <v>0</v>
      </c>
      <c r="M52" s="5"/>
      <c r="N52" s="5"/>
      <c r="O52" s="11" t="n">
        <v>0</v>
      </c>
      <c r="P52" s="11" t="n">
        <v>0</v>
      </c>
      <c r="Q52" s="11" t="n">
        <v>0</v>
      </c>
      <c r="R52" s="5"/>
      <c r="S52" s="11" t="n">
        <v>0</v>
      </c>
      <c r="T52" s="11" t="n">
        <v>0</v>
      </c>
      <c r="U52" s="11" t="n">
        <v>0</v>
      </c>
      <c r="V52" s="5"/>
      <c r="W52" s="11" t="n">
        <v>1</v>
      </c>
      <c r="X52" s="11" t="n">
        <v>0</v>
      </c>
      <c r="Y52" s="5"/>
      <c r="Z52" s="5"/>
      <c r="AA52" s="5"/>
      <c r="AB52" s="5"/>
    </row>
    <row r="53" customFormat="false" ht="15.75" hidden="false" customHeight="false" outlineLevel="0" collapsed="false">
      <c r="A53" s="5" t="s">
        <v>111</v>
      </c>
      <c r="B53" s="5" t="s">
        <v>140</v>
      </c>
      <c r="C53" s="5" t="s">
        <v>72</v>
      </c>
      <c r="D53" s="5" t="s">
        <v>142</v>
      </c>
      <c r="E53" s="22"/>
      <c r="F53" s="22"/>
      <c r="G53" s="22"/>
      <c r="H53" s="5" t="n">
        <f aca="false">(COUNTIF(J53:EC53,"=0")+COUNTIF(J53:EC53,"=1"))</f>
        <v>11</v>
      </c>
      <c r="I53" s="12" t="n">
        <f aca="false">IFERROR(ROUND(10-AVERAGE(J53:EC53)*10,0),0)</f>
        <v>8</v>
      </c>
      <c r="J53" s="11" t="n">
        <v>1</v>
      </c>
      <c r="K53" s="11" t="n">
        <v>0</v>
      </c>
      <c r="L53" s="11" t="n">
        <v>0</v>
      </c>
      <c r="M53" s="5"/>
      <c r="N53" s="5"/>
      <c r="O53" s="11" t="n">
        <v>0</v>
      </c>
      <c r="P53" s="11" t="n">
        <v>0</v>
      </c>
      <c r="Q53" s="11" t="n">
        <v>0</v>
      </c>
      <c r="R53" s="5"/>
      <c r="S53" s="11" t="n">
        <v>0</v>
      </c>
      <c r="T53" s="11" t="n">
        <v>0</v>
      </c>
      <c r="U53" s="11" t="n">
        <v>1</v>
      </c>
      <c r="V53" s="5"/>
      <c r="W53" s="11" t="n">
        <v>0</v>
      </c>
      <c r="X53" s="11" t="n">
        <v>0</v>
      </c>
      <c r="Y53" s="5"/>
      <c r="Z53" s="5"/>
      <c r="AA53" s="5"/>
      <c r="AB53" s="5"/>
    </row>
    <row r="54" customFormat="false" ht="15.75" hidden="false" customHeight="false" outlineLevel="0" collapsed="false">
      <c r="A54" s="5" t="s">
        <v>111</v>
      </c>
      <c r="B54" s="5" t="s">
        <v>155</v>
      </c>
      <c r="C54" s="5" t="s">
        <v>156</v>
      </c>
      <c r="D54" s="5" t="s">
        <v>157</v>
      </c>
      <c r="E54" s="5"/>
      <c r="F54" s="5"/>
      <c r="G54" s="9" t="s">
        <v>158</v>
      </c>
      <c r="H54" s="5" t="n">
        <f aca="false">(COUNTIF(J54:EC54,"=0")+COUNTIF(J54:EC54,"=1"))</f>
        <v>11</v>
      </c>
      <c r="I54" s="17" t="n">
        <f aca="false">IFERROR(ROUND(10-AVERAGE(J54:EC54)*10,0),0)</f>
        <v>9</v>
      </c>
      <c r="J54" s="11" t="n">
        <v>1</v>
      </c>
      <c r="K54" s="11" t="n">
        <v>0</v>
      </c>
      <c r="L54" s="11" t="n">
        <v>0</v>
      </c>
      <c r="M54" s="5"/>
      <c r="N54" s="5"/>
      <c r="O54" s="11" t="n">
        <v>0</v>
      </c>
      <c r="P54" s="11" t="n">
        <v>0</v>
      </c>
      <c r="Q54" s="11" t="n">
        <v>0</v>
      </c>
      <c r="R54" s="5"/>
      <c r="S54" s="11" t="n">
        <v>0</v>
      </c>
      <c r="T54" s="11" t="n">
        <v>0</v>
      </c>
      <c r="U54" s="11" t="n">
        <v>0</v>
      </c>
      <c r="V54" s="5"/>
      <c r="W54" s="11" t="n">
        <v>0</v>
      </c>
      <c r="X54" s="11" t="n">
        <v>0</v>
      </c>
      <c r="Y54" s="5"/>
      <c r="Z54" s="5"/>
      <c r="AA54" s="5"/>
      <c r="AB54" s="5"/>
    </row>
    <row r="55" customFormat="false" ht="15.75" hidden="false" customHeight="false" outlineLevel="0" collapsed="false">
      <c r="A55" s="5" t="s">
        <v>111</v>
      </c>
      <c r="B55" s="5" t="s">
        <v>155</v>
      </c>
      <c r="C55" s="5" t="s">
        <v>159</v>
      </c>
      <c r="D55" s="5" t="s">
        <v>157</v>
      </c>
      <c r="E55" s="5"/>
      <c r="F55" s="5"/>
      <c r="G55" s="9" t="s">
        <v>160</v>
      </c>
      <c r="H55" s="5" t="n">
        <f aca="false">(COUNTIF(J55:EC55,"=0")+COUNTIF(J55:EC55,"=1"))</f>
        <v>11</v>
      </c>
      <c r="I55" s="19" t="n">
        <f aca="false">IFERROR(ROUND(10-AVERAGE(J55:EC55)*10,0),0)</f>
        <v>5</v>
      </c>
      <c r="J55" s="11" t="n">
        <v>1</v>
      </c>
      <c r="K55" s="11" t="n">
        <v>0</v>
      </c>
      <c r="L55" s="11" t="n">
        <v>1</v>
      </c>
      <c r="M55" s="5"/>
      <c r="N55" s="5"/>
      <c r="O55" s="11" t="n">
        <v>0</v>
      </c>
      <c r="P55" s="11" t="n">
        <v>1</v>
      </c>
      <c r="Q55" s="11" t="n">
        <v>1</v>
      </c>
      <c r="R55" s="5"/>
      <c r="S55" s="11" t="n">
        <v>0</v>
      </c>
      <c r="T55" s="11" t="n">
        <v>0</v>
      </c>
      <c r="U55" s="11" t="n">
        <v>0</v>
      </c>
      <c r="V55" s="5"/>
      <c r="W55" s="11" t="n">
        <v>1</v>
      </c>
      <c r="X55" s="11" t="n">
        <v>0</v>
      </c>
      <c r="Y55" s="5"/>
      <c r="Z55" s="5"/>
      <c r="AA55" s="5"/>
      <c r="AB55" s="5"/>
    </row>
    <row r="56" customFormat="false" ht="15.75" hidden="false" customHeight="false" outlineLevel="0" collapsed="false">
      <c r="A56" s="5" t="s">
        <v>111</v>
      </c>
      <c r="B56" s="5" t="s">
        <v>155</v>
      </c>
      <c r="C56" s="5" t="s">
        <v>161</v>
      </c>
      <c r="D56" s="5" t="s">
        <v>157</v>
      </c>
      <c r="E56" s="5"/>
      <c r="F56" s="5"/>
      <c r="G56" s="9" t="s">
        <v>162</v>
      </c>
      <c r="H56" s="5" t="n">
        <f aca="false">(COUNTIF(J56:EC56,"=0")+COUNTIF(J56:EC56,"=1"))</f>
        <v>11</v>
      </c>
      <c r="I56" s="15" t="n">
        <f aca="false">IFERROR(ROUND(10-AVERAGE(J56:EC56)*10,0),0)</f>
        <v>6</v>
      </c>
      <c r="J56" s="11" t="n">
        <v>1</v>
      </c>
      <c r="K56" s="11" t="n">
        <v>0</v>
      </c>
      <c r="L56" s="11" t="n">
        <v>1</v>
      </c>
      <c r="M56" s="5"/>
      <c r="N56" s="5"/>
      <c r="O56" s="11" t="n">
        <v>0</v>
      </c>
      <c r="P56" s="11" t="n">
        <v>0</v>
      </c>
      <c r="Q56" s="11" t="n">
        <v>1</v>
      </c>
      <c r="R56" s="5"/>
      <c r="S56" s="11" t="n">
        <v>0</v>
      </c>
      <c r="T56" s="11" t="n">
        <v>0</v>
      </c>
      <c r="U56" s="11" t="n">
        <v>0</v>
      </c>
      <c r="V56" s="5"/>
      <c r="W56" s="11" t="n">
        <v>1</v>
      </c>
      <c r="X56" s="11" t="n">
        <v>0</v>
      </c>
      <c r="Y56" s="5"/>
      <c r="Z56" s="5"/>
      <c r="AA56" s="5"/>
      <c r="AB56" s="5"/>
    </row>
    <row r="57" customFormat="false" ht="15.75" hidden="false" customHeight="false" outlineLevel="0" collapsed="false">
      <c r="A57" s="5" t="s">
        <v>111</v>
      </c>
      <c r="B57" s="5" t="s">
        <v>155</v>
      </c>
      <c r="C57" s="5" t="s">
        <v>163</v>
      </c>
      <c r="D57" s="5" t="s">
        <v>157</v>
      </c>
      <c r="E57" s="5"/>
      <c r="F57" s="5"/>
      <c r="G57" s="9" t="s">
        <v>164</v>
      </c>
      <c r="H57" s="11" t="n">
        <f aca="false">(COUNTIF(J57:EK57,"=0")+COUNTIF(J57:EK57,"=1"))</f>
        <v>11</v>
      </c>
      <c r="I57" s="17" t="n">
        <f aca="false">ROUND(10-AVERAGE(J57:EK57)*10,0)</f>
        <v>9</v>
      </c>
      <c r="J57" s="11" t="n">
        <v>1</v>
      </c>
      <c r="K57" s="11" t="n">
        <v>0</v>
      </c>
      <c r="L57" s="11" t="n">
        <v>0</v>
      </c>
      <c r="M57" s="5"/>
      <c r="N57" s="5"/>
      <c r="O57" s="11" t="n">
        <v>0</v>
      </c>
      <c r="P57" s="11" t="n">
        <v>0</v>
      </c>
      <c r="Q57" s="11" t="n">
        <v>0</v>
      </c>
      <c r="R57" s="5"/>
      <c r="S57" s="11" t="n">
        <v>0</v>
      </c>
      <c r="T57" s="11" t="n">
        <v>0</v>
      </c>
      <c r="U57" s="11" t="n">
        <v>0</v>
      </c>
      <c r="V57" s="5"/>
      <c r="W57" s="11" t="n">
        <v>0</v>
      </c>
      <c r="X57" s="11" t="n">
        <v>0</v>
      </c>
      <c r="Y57" s="5"/>
      <c r="Z57" s="5"/>
      <c r="AA57" s="5"/>
      <c r="AB57" s="5"/>
      <c r="AC57" s="5"/>
      <c r="AD57" s="5"/>
      <c r="AE57" s="5"/>
    </row>
    <row r="58" customFormat="false" ht="15.75" hidden="false" customHeight="false" outlineLevel="0" collapsed="false">
      <c r="A58" s="5" t="s">
        <v>111</v>
      </c>
      <c r="B58" s="5" t="s">
        <v>155</v>
      </c>
      <c r="C58" s="5" t="s">
        <v>72</v>
      </c>
      <c r="D58" s="5" t="s">
        <v>157</v>
      </c>
      <c r="E58" s="5"/>
      <c r="F58" s="5"/>
      <c r="G58" s="9" t="s">
        <v>165</v>
      </c>
      <c r="H58" s="5" t="n">
        <f aca="false">(COUNTIF(J58:EC58,"=0")+COUNTIF(J58:EC58,"=1"))</f>
        <v>5</v>
      </c>
      <c r="I58" s="18" t="n">
        <f aca="false">IFERROR(ROUND(10-AVERAGE(J58:EC58)*10,0),0)</f>
        <v>0</v>
      </c>
      <c r="J58" s="11" t="n">
        <v>1</v>
      </c>
      <c r="K58" s="11" t="n">
        <v>1</v>
      </c>
      <c r="L58" s="5"/>
      <c r="M58" s="5"/>
      <c r="N58" s="5"/>
      <c r="O58" s="5"/>
      <c r="P58" s="5" t="n">
        <v>1</v>
      </c>
      <c r="Q58" s="5" t="n">
        <v>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E58" s="5" t="n">
        <v>1</v>
      </c>
    </row>
    <row r="59" customFormat="false" ht="15.75" hidden="false" customHeight="false" outlineLevel="0" collapsed="false">
      <c r="A59" s="5" t="s">
        <v>111</v>
      </c>
      <c r="B59" s="5" t="s">
        <v>166</v>
      </c>
      <c r="C59" s="5" t="s">
        <v>167</v>
      </c>
      <c r="D59" s="5"/>
      <c r="E59" s="5"/>
      <c r="F59" s="5"/>
      <c r="G59" s="9" t="s">
        <v>168</v>
      </c>
      <c r="H59" s="5" t="n">
        <f aca="false">(COUNTIF(J59:EC59,"=0")+COUNTIF(J59:EC59,"=1"))</f>
        <v>11</v>
      </c>
      <c r="I59" s="19" t="n">
        <f aca="false">IFERROR(ROUND(10-AVERAGE(J59:EC59)*10,0),0)</f>
        <v>5</v>
      </c>
      <c r="J59" s="11" t="n">
        <v>1</v>
      </c>
      <c r="K59" s="11" t="n">
        <v>1</v>
      </c>
      <c r="L59" s="11" t="n">
        <v>1</v>
      </c>
      <c r="M59" s="5"/>
      <c r="N59" s="5"/>
      <c r="O59" s="11" t="n">
        <v>0</v>
      </c>
      <c r="P59" s="11" t="n">
        <v>0</v>
      </c>
      <c r="Q59" s="11" t="n">
        <v>1</v>
      </c>
      <c r="R59" s="5"/>
      <c r="S59" s="11" t="n">
        <v>0</v>
      </c>
      <c r="T59" s="11" t="n">
        <v>0</v>
      </c>
      <c r="U59" s="11" t="n">
        <v>1</v>
      </c>
      <c r="V59" s="5"/>
      <c r="W59" s="11" t="n">
        <v>0</v>
      </c>
      <c r="X59" s="11" t="n">
        <v>0</v>
      </c>
      <c r="Y59" s="5"/>
      <c r="Z59" s="5"/>
      <c r="AA59" s="5"/>
      <c r="AB59" s="5"/>
    </row>
    <row r="60" customFormat="false" ht="15.75" hidden="false" customHeight="false" outlineLevel="0" collapsed="false">
      <c r="A60" s="5" t="s">
        <v>111</v>
      </c>
      <c r="B60" s="5" t="s">
        <v>166</v>
      </c>
      <c r="C60" s="5" t="s">
        <v>169</v>
      </c>
      <c r="D60" s="5"/>
      <c r="E60" s="5"/>
      <c r="F60" s="5"/>
      <c r="G60" s="9" t="s">
        <v>170</v>
      </c>
      <c r="H60" s="5" t="n">
        <f aca="false">(COUNTIF(J60:EC60,"=0")+COUNTIF(J60:EC60,"=1"))</f>
        <v>11</v>
      </c>
      <c r="I60" s="15" t="n">
        <f aca="false">IFERROR(ROUND(10-AVERAGE(J60:EC60)*10,0),0)</f>
        <v>6</v>
      </c>
      <c r="J60" s="11" t="n">
        <v>1</v>
      </c>
      <c r="K60" s="11" t="n">
        <v>1</v>
      </c>
      <c r="L60" s="11" t="n">
        <v>0</v>
      </c>
      <c r="M60" s="5"/>
      <c r="N60" s="5"/>
      <c r="O60" s="11" t="n">
        <v>0</v>
      </c>
      <c r="P60" s="11" t="n">
        <v>0</v>
      </c>
      <c r="Q60" s="11" t="n">
        <v>0</v>
      </c>
      <c r="R60" s="5"/>
      <c r="S60" s="11" t="n">
        <v>0</v>
      </c>
      <c r="T60" s="11" t="n">
        <v>0</v>
      </c>
      <c r="U60" s="11" t="n">
        <v>1</v>
      </c>
      <c r="V60" s="5"/>
      <c r="W60" s="11" t="n">
        <v>0</v>
      </c>
      <c r="X60" s="11" t="n">
        <v>1</v>
      </c>
      <c r="Y60" s="5"/>
      <c r="Z60" s="5"/>
      <c r="AA60" s="5"/>
      <c r="AB60" s="5"/>
    </row>
    <row r="61" customFormat="false" ht="15.75" hidden="false" customHeight="false" outlineLevel="0" collapsed="false">
      <c r="A61" s="5" t="s">
        <v>111</v>
      </c>
      <c r="B61" s="5" t="s">
        <v>166</v>
      </c>
      <c r="C61" s="5" t="s">
        <v>171</v>
      </c>
      <c r="D61" s="5"/>
      <c r="E61" s="5"/>
      <c r="F61" s="5"/>
      <c r="G61" s="9" t="s">
        <v>172</v>
      </c>
      <c r="H61" s="5" t="n">
        <f aca="false">(COUNTIF(J61:EC61,"=0")+COUNTIF(J61:EC61,"=1"))</f>
        <v>11</v>
      </c>
      <c r="I61" s="15" t="n">
        <f aca="false">IFERROR(ROUND(10-AVERAGE(J61:EC61)*10,0),0)</f>
        <v>6</v>
      </c>
      <c r="J61" s="11" t="n">
        <v>1</v>
      </c>
      <c r="K61" s="11" t="n">
        <v>1</v>
      </c>
      <c r="L61" s="11" t="n">
        <v>0</v>
      </c>
      <c r="M61" s="5"/>
      <c r="N61" s="5"/>
      <c r="O61" s="11" t="n">
        <v>0</v>
      </c>
      <c r="P61" s="11" t="n">
        <v>0</v>
      </c>
      <c r="Q61" s="11" t="n">
        <v>0</v>
      </c>
      <c r="R61" s="5"/>
      <c r="S61" s="11" t="n">
        <v>0</v>
      </c>
      <c r="T61" s="11" t="n">
        <v>0</v>
      </c>
      <c r="U61" s="11" t="n">
        <v>1</v>
      </c>
      <c r="V61" s="5"/>
      <c r="W61" s="11" t="n">
        <v>0</v>
      </c>
      <c r="X61" s="11" t="n">
        <v>1</v>
      </c>
      <c r="Y61" s="5"/>
      <c r="Z61" s="5"/>
      <c r="AA61" s="5"/>
      <c r="AB61" s="5"/>
    </row>
    <row r="62" customFormat="false" ht="15.75" hidden="false" customHeight="false" outlineLevel="0" collapsed="false">
      <c r="A62" s="5" t="s">
        <v>111</v>
      </c>
      <c r="B62" s="5" t="s">
        <v>166</v>
      </c>
      <c r="C62" s="5" t="s">
        <v>173</v>
      </c>
      <c r="D62" s="5"/>
      <c r="E62" s="5"/>
      <c r="F62" s="5"/>
      <c r="G62" s="9" t="s">
        <v>174</v>
      </c>
      <c r="H62" s="5" t="n">
        <f aca="false">(COUNTIF(J62:EC62,"=0")+COUNTIF(J62:EC62,"=1"))</f>
        <v>11</v>
      </c>
      <c r="I62" s="19" t="n">
        <f aca="false">IFERROR(ROUND(10-AVERAGE(J62:EC62)*10,0),0)</f>
        <v>5</v>
      </c>
      <c r="J62" s="11" t="n">
        <v>1</v>
      </c>
      <c r="K62" s="11" t="n">
        <v>1</v>
      </c>
      <c r="L62" s="11" t="n">
        <v>0</v>
      </c>
      <c r="M62" s="5"/>
      <c r="N62" s="5"/>
      <c r="O62" s="11" t="n">
        <v>0</v>
      </c>
      <c r="P62" s="11" t="n">
        <v>1</v>
      </c>
      <c r="Q62" s="11" t="n">
        <v>0</v>
      </c>
      <c r="R62" s="5"/>
      <c r="S62" s="11" t="n">
        <v>0</v>
      </c>
      <c r="T62" s="11" t="n">
        <v>0</v>
      </c>
      <c r="U62" s="11" t="n">
        <v>1</v>
      </c>
      <c r="V62" s="5"/>
      <c r="W62" s="11" t="n">
        <v>0</v>
      </c>
      <c r="X62" s="11" t="n">
        <v>1</v>
      </c>
      <c r="Y62" s="5"/>
      <c r="Z62" s="5"/>
      <c r="AA62" s="5"/>
      <c r="AB62" s="5"/>
    </row>
    <row r="63" customFormat="false" ht="15.75" hidden="false" customHeight="false" outlineLevel="0" collapsed="false">
      <c r="A63" s="5" t="s">
        <v>111</v>
      </c>
      <c r="B63" s="5" t="s">
        <v>166</v>
      </c>
      <c r="C63" s="5" t="s">
        <v>175</v>
      </c>
      <c r="D63" s="5"/>
      <c r="E63" s="5"/>
      <c r="F63" s="5"/>
      <c r="G63" s="9" t="s">
        <v>176</v>
      </c>
      <c r="H63" s="5" t="n">
        <f aca="false">(COUNTIF(J63:EC63,"=0")+COUNTIF(J63:EC63,"=1"))</f>
        <v>11</v>
      </c>
      <c r="I63" s="15" t="n">
        <f aca="false">IFERROR(ROUND(10-AVERAGE(J63:EC63)*10,0),0)</f>
        <v>6</v>
      </c>
      <c r="J63" s="11" t="n">
        <v>1</v>
      </c>
      <c r="K63" s="11" t="n">
        <v>1</v>
      </c>
      <c r="L63" s="11" t="n">
        <v>0</v>
      </c>
      <c r="M63" s="5"/>
      <c r="N63" s="5"/>
      <c r="O63" s="11" t="n">
        <v>0</v>
      </c>
      <c r="P63" s="11" t="n">
        <v>0</v>
      </c>
      <c r="Q63" s="11" t="n">
        <v>0</v>
      </c>
      <c r="R63" s="5"/>
      <c r="S63" s="11" t="n">
        <v>0</v>
      </c>
      <c r="T63" s="11" t="n">
        <v>0</v>
      </c>
      <c r="U63" s="11" t="n">
        <v>1</v>
      </c>
      <c r="V63" s="5"/>
      <c r="W63" s="11" t="n">
        <v>0</v>
      </c>
      <c r="X63" s="11" t="n">
        <v>1</v>
      </c>
      <c r="Y63" s="5"/>
      <c r="Z63" s="5"/>
      <c r="AA63" s="5"/>
      <c r="AB63" s="5"/>
    </row>
    <row r="64" customFormat="false" ht="15.75" hidden="false" customHeight="false" outlineLevel="0" collapsed="false">
      <c r="A64" s="5" t="s">
        <v>177</v>
      </c>
      <c r="B64" s="5" t="s">
        <v>177</v>
      </c>
      <c r="C64" s="5" t="s">
        <v>177</v>
      </c>
      <c r="D64" s="5"/>
      <c r="E64" s="5"/>
      <c r="F64" s="5"/>
      <c r="G64" s="9" t="s">
        <v>178</v>
      </c>
      <c r="H64" s="5" t="n">
        <f aca="false">(COUNTIF(J64:EC64,"=0")+COUNTIF(J64:EC64,"=1"))</f>
        <v>12</v>
      </c>
      <c r="I64" s="12" t="n">
        <f aca="false">IFERROR(ROUND(10-AVERAGE(J64:EC64)*10,0),0)</f>
        <v>8</v>
      </c>
      <c r="J64" s="11" t="n">
        <v>1</v>
      </c>
      <c r="K64" s="11" t="n">
        <v>0</v>
      </c>
      <c r="L64" s="11" t="n">
        <v>0</v>
      </c>
      <c r="M64" s="11" t="n">
        <v>0</v>
      </c>
      <c r="N64" s="5"/>
      <c r="O64" s="11" t="n">
        <v>1</v>
      </c>
      <c r="P64" s="11" t="n">
        <v>1</v>
      </c>
      <c r="Q64" s="11" t="n">
        <v>0</v>
      </c>
      <c r="R64" s="5"/>
      <c r="S64" s="11" t="n">
        <v>0</v>
      </c>
      <c r="T64" s="11" t="n">
        <v>0</v>
      </c>
      <c r="U64" s="11" t="n">
        <v>0</v>
      </c>
      <c r="V64" s="5"/>
      <c r="W64" s="11" t="n">
        <v>0</v>
      </c>
      <c r="X64" s="11" t="n">
        <v>0</v>
      </c>
      <c r="Y64" s="5"/>
      <c r="Z64" s="5"/>
      <c r="AA64" s="5"/>
      <c r="AB64" s="5"/>
    </row>
    <row r="65" customFormat="false" ht="15.75" hidden="false" customHeight="false" outlineLevel="0" collapsed="false">
      <c r="A65" s="5" t="s">
        <v>179</v>
      </c>
      <c r="B65" s="5" t="s">
        <v>180</v>
      </c>
      <c r="C65" s="5" t="s">
        <v>181</v>
      </c>
      <c r="D65" s="5"/>
      <c r="E65" s="5"/>
      <c r="F65" s="5"/>
      <c r="G65" s="9" t="s">
        <v>182</v>
      </c>
      <c r="H65" s="11" t="n">
        <f aca="false">(COUNTIF(J65:EK65,"=0")+COUNTIF(J65:EK65,"=1"))</f>
        <v>7</v>
      </c>
      <c r="I65" s="12" t="n">
        <f aca="false">ROUND(10-AVERAGE(J65:EK65)*10,0)</f>
        <v>9</v>
      </c>
      <c r="J65" s="11" t="n">
        <v>0</v>
      </c>
      <c r="K65" s="11" t="n">
        <v>0</v>
      </c>
      <c r="L65" s="5"/>
      <c r="M65" s="5"/>
      <c r="N65" s="5"/>
      <c r="O65" s="5"/>
      <c r="P65" s="11" t="n">
        <v>1</v>
      </c>
      <c r="Q65" s="5"/>
      <c r="R65" s="5"/>
      <c r="S65" s="5"/>
      <c r="T65" s="11" t="n">
        <v>0</v>
      </c>
      <c r="U65" s="5"/>
      <c r="V65" s="5"/>
      <c r="W65" s="11" t="n">
        <v>0</v>
      </c>
      <c r="X65" s="11" t="n">
        <v>0</v>
      </c>
      <c r="Y65" s="5"/>
      <c r="Z65" s="5"/>
      <c r="AA65" s="5"/>
      <c r="AB65" s="5"/>
      <c r="AC65" s="5"/>
      <c r="AD65" s="5"/>
      <c r="AE65" s="5"/>
      <c r="AF65" s="5" t="n">
        <v>0</v>
      </c>
      <c r="AG65" s="5"/>
      <c r="AH65" s="5"/>
      <c r="AI65" s="5"/>
      <c r="AJ65" s="5"/>
      <c r="AK65" s="5"/>
      <c r="AL65" s="5"/>
      <c r="AM65" s="5"/>
    </row>
    <row r="66" customFormat="false" ht="15.75" hidden="false" customHeight="false" outlineLevel="0" collapsed="false">
      <c r="A66" s="5" t="s">
        <v>183</v>
      </c>
      <c r="B66" s="5" t="s">
        <v>184</v>
      </c>
      <c r="C66" s="5" t="s">
        <v>79</v>
      </c>
      <c r="D66" s="5"/>
      <c r="E66" s="5"/>
      <c r="F66" s="5"/>
      <c r="G66" s="5"/>
      <c r="H66" s="5" t="n">
        <f aca="false">(COUNTIF(J66:EC66,"=0")+COUNTIF(J66:EC66,"=1"))</f>
        <v>3</v>
      </c>
      <c r="I66" s="15" t="n">
        <f aca="false">IFERROR(ROUND(10-AVERAGE(J66:EC66)*10,0),0)</f>
        <v>7</v>
      </c>
      <c r="J66" s="11" t="n">
        <v>1</v>
      </c>
      <c r="K66" s="11" t="n">
        <v>0</v>
      </c>
      <c r="L66" s="5"/>
      <c r="M66" s="5"/>
      <c r="N66" s="5"/>
      <c r="O66" s="11"/>
      <c r="P66" s="11" t="n">
        <v>0</v>
      </c>
      <c r="Q66" s="11"/>
      <c r="R66" s="5"/>
      <c r="S66" s="11"/>
      <c r="T66" s="11"/>
      <c r="U66" s="11"/>
      <c r="V66" s="5"/>
      <c r="W66" s="5"/>
      <c r="X66" s="5"/>
      <c r="Y66" s="5"/>
      <c r="Z66" s="5"/>
      <c r="AA66" s="5"/>
      <c r="AB66" s="5"/>
    </row>
    <row r="67" customFormat="false" ht="15.75" hidden="false" customHeight="false" outlineLevel="0" collapsed="false">
      <c r="A67" s="5" t="s">
        <v>183</v>
      </c>
      <c r="B67" s="5" t="s">
        <v>184</v>
      </c>
      <c r="C67" s="5" t="s">
        <v>185</v>
      </c>
      <c r="D67" s="5"/>
      <c r="E67" s="5"/>
      <c r="F67" s="5"/>
      <c r="G67" s="5"/>
      <c r="H67" s="5" t="n">
        <f aca="false">(COUNTIF(J67:EC67,"=0")+COUNTIF(J67:EC67,"=1"))</f>
        <v>4</v>
      </c>
      <c r="I67" s="15" t="n">
        <f aca="false">IFERROR(ROUND(10-AVERAGE(J67:EC67)*10,0),0)</f>
        <v>5</v>
      </c>
      <c r="J67" s="5" t="n">
        <v>1</v>
      </c>
      <c r="K67" s="11" t="n">
        <v>0</v>
      </c>
      <c r="L67" s="5"/>
      <c r="M67" s="5"/>
      <c r="N67" s="5"/>
      <c r="O67" s="5"/>
      <c r="P67" s="11" t="n">
        <v>1</v>
      </c>
      <c r="Q67" s="5"/>
      <c r="R67" s="5"/>
      <c r="S67" s="5"/>
      <c r="T67" s="11"/>
      <c r="U67" s="5"/>
      <c r="V67" s="5"/>
      <c r="W67" s="5" t="n">
        <v>0</v>
      </c>
      <c r="X67" s="5"/>
      <c r="Y67" s="5"/>
      <c r="Z67" s="11"/>
      <c r="AA67" s="5"/>
      <c r="AB67" s="5"/>
    </row>
    <row r="68" customFormat="false" ht="15.75" hidden="false" customHeight="false" outlineLevel="0" collapsed="false">
      <c r="A68" s="5" t="s">
        <v>186</v>
      </c>
      <c r="B68" s="5" t="s">
        <v>187</v>
      </c>
      <c r="C68" s="5" t="s">
        <v>188</v>
      </c>
      <c r="D68" s="5"/>
      <c r="E68" s="5"/>
      <c r="F68" s="5"/>
      <c r="G68" s="9" t="s">
        <v>189</v>
      </c>
      <c r="H68" s="5" t="n">
        <f aca="false">(COUNTIF(J68:EC68,"=0")+COUNTIF(J68:EC68,"=1"))</f>
        <v>11</v>
      </c>
      <c r="I68" s="16" t="n">
        <f aca="false">IFERROR(ROUND(10-AVERAGE(J68:EC68)*10,0),0)</f>
        <v>7</v>
      </c>
      <c r="J68" s="11" t="n">
        <v>0</v>
      </c>
      <c r="K68" s="11" t="n">
        <v>0</v>
      </c>
      <c r="L68" s="5"/>
      <c r="M68" s="5"/>
      <c r="N68" s="5"/>
      <c r="O68" s="11" t="n">
        <v>0</v>
      </c>
      <c r="P68" s="11" t="n">
        <v>1</v>
      </c>
      <c r="Q68" s="11" t="n">
        <v>1</v>
      </c>
      <c r="R68" s="5"/>
      <c r="S68" s="5"/>
      <c r="T68" s="11" t="n">
        <v>0</v>
      </c>
      <c r="U68" s="11" t="n">
        <v>0</v>
      </c>
      <c r="V68" s="5"/>
      <c r="W68" s="11" t="n">
        <v>0</v>
      </c>
      <c r="X68" s="11" t="n">
        <v>1</v>
      </c>
      <c r="Y68" s="5"/>
      <c r="Z68" s="5"/>
      <c r="AA68" s="11" t="n">
        <v>0</v>
      </c>
      <c r="AB68" s="5"/>
      <c r="AC68" s="5" t="n">
        <v>0</v>
      </c>
    </row>
    <row r="69" customFormat="false" ht="15.75" hidden="false" customHeight="false" outlineLevel="0" collapsed="false">
      <c r="A69" s="5" t="s">
        <v>186</v>
      </c>
      <c r="B69" s="5" t="s">
        <v>190</v>
      </c>
      <c r="C69" s="5" t="s">
        <v>87</v>
      </c>
      <c r="D69" s="5"/>
      <c r="E69" s="5"/>
      <c r="F69" s="5"/>
      <c r="G69" s="9" t="s">
        <v>191</v>
      </c>
      <c r="H69" s="5" t="n">
        <f aca="false">(COUNTIF(J69:EC69,"=0")+COUNTIF(J69:EC69,"=1"))</f>
        <v>9</v>
      </c>
      <c r="I69" s="12" t="n">
        <f aca="false">IFERROR(ROUND(10-AVERAGE(J69:EC69)*10,0),0)</f>
        <v>8</v>
      </c>
      <c r="J69" s="11" t="n">
        <v>0</v>
      </c>
      <c r="K69" s="11" t="n">
        <v>0</v>
      </c>
      <c r="L69" s="5"/>
      <c r="M69" s="5"/>
      <c r="N69" s="5"/>
      <c r="O69" s="11" t="n">
        <v>0</v>
      </c>
      <c r="P69" s="11" t="n">
        <v>1</v>
      </c>
      <c r="Q69" s="11" t="n">
        <v>0</v>
      </c>
      <c r="R69" s="5"/>
      <c r="S69" s="5"/>
      <c r="T69" s="11" t="n">
        <v>0</v>
      </c>
      <c r="U69" s="11" t="n">
        <v>0</v>
      </c>
      <c r="V69" s="5"/>
      <c r="W69" s="11" t="n">
        <v>0</v>
      </c>
      <c r="X69" s="11" t="n">
        <v>1</v>
      </c>
      <c r="Y69" s="5"/>
      <c r="Z69" s="5"/>
      <c r="AA69" s="5"/>
      <c r="AB69" s="5"/>
    </row>
    <row r="70" customFormat="false" ht="15.75" hidden="false" customHeight="false" outlineLevel="0" collapsed="false">
      <c r="A70" s="5" t="s">
        <v>186</v>
      </c>
      <c r="B70" s="5" t="s">
        <v>192</v>
      </c>
      <c r="C70" s="5" t="s">
        <v>193</v>
      </c>
      <c r="D70" s="5"/>
      <c r="E70" s="5"/>
      <c r="F70" s="5"/>
      <c r="G70" s="9" t="s">
        <v>194</v>
      </c>
      <c r="H70" s="5" t="n">
        <f aca="false">(COUNTIF(J70:EC70,"=0")+COUNTIF(J70:EC70,"=1"))</f>
        <v>11</v>
      </c>
      <c r="I70" s="19" t="n">
        <f aca="false">IFERROR(ROUND(10-AVERAGE(J70:EC70)*10,0),0)</f>
        <v>5</v>
      </c>
      <c r="J70" s="11" t="n">
        <v>0</v>
      </c>
      <c r="K70" s="11" t="n">
        <v>0</v>
      </c>
      <c r="L70" s="11" t="n">
        <v>0</v>
      </c>
      <c r="M70" s="5"/>
      <c r="N70" s="5"/>
      <c r="O70" s="11" t="n">
        <v>1</v>
      </c>
      <c r="P70" s="11" t="n">
        <v>1</v>
      </c>
      <c r="Q70" s="11" t="n">
        <v>1</v>
      </c>
      <c r="R70" s="11" t="n">
        <v>1</v>
      </c>
      <c r="S70" s="5"/>
      <c r="T70" s="11" t="n">
        <v>0</v>
      </c>
      <c r="U70" s="11" t="n">
        <v>0</v>
      </c>
      <c r="V70" s="5"/>
      <c r="W70" s="11" t="n">
        <v>0</v>
      </c>
      <c r="X70" s="11" t="n">
        <v>1</v>
      </c>
      <c r="Y70" s="5"/>
      <c r="Z70" s="5"/>
      <c r="AA70" s="5"/>
      <c r="AB70" s="5"/>
    </row>
    <row r="71" customFormat="false" ht="15.75" hidden="false" customHeight="false" outlineLevel="0" collapsed="false">
      <c r="A71" s="5" t="s">
        <v>186</v>
      </c>
      <c r="B71" s="5" t="s">
        <v>195</v>
      </c>
      <c r="C71" s="5" t="s">
        <v>87</v>
      </c>
      <c r="D71" s="5"/>
      <c r="E71" s="5"/>
      <c r="F71" s="5"/>
      <c r="G71" s="9" t="s">
        <v>196</v>
      </c>
      <c r="H71" s="5" t="n">
        <f aca="false">(COUNTIF(J71:EC71,"=0")+COUNTIF(J71:EC71,"=1"))</f>
        <v>8</v>
      </c>
      <c r="I71" s="19" t="n">
        <f aca="false">IFERROR(ROUND(10-AVERAGE(J71:EC71)*10,0),0)</f>
        <v>6</v>
      </c>
      <c r="J71" s="11" t="n">
        <v>0</v>
      </c>
      <c r="K71" s="11" t="n">
        <v>0</v>
      </c>
      <c r="L71" s="5"/>
      <c r="M71" s="5"/>
      <c r="N71" s="5"/>
      <c r="O71" s="5" t="n">
        <v>0</v>
      </c>
      <c r="P71" s="11" t="n">
        <v>1</v>
      </c>
      <c r="Q71" s="5"/>
      <c r="R71" s="5"/>
      <c r="S71" s="5" t="n">
        <v>0</v>
      </c>
      <c r="T71" s="11" t="n">
        <v>0</v>
      </c>
      <c r="U71" s="5"/>
      <c r="V71" s="5"/>
      <c r="W71" s="11" t="n">
        <v>1</v>
      </c>
      <c r="X71" s="11" t="n">
        <v>1</v>
      </c>
      <c r="Y71" s="5"/>
      <c r="Z71" s="5"/>
      <c r="AA71" s="5"/>
      <c r="AB71" s="5"/>
    </row>
    <row r="72" customFormat="false" ht="15.75" hidden="false" customHeight="false" outlineLevel="0" collapsed="false">
      <c r="A72" s="5" t="s">
        <v>186</v>
      </c>
      <c r="B72" s="5" t="s">
        <v>197</v>
      </c>
      <c r="C72" s="5" t="s">
        <v>198</v>
      </c>
      <c r="D72" s="5" t="s">
        <v>87</v>
      </c>
      <c r="E72" s="5"/>
      <c r="F72" s="5"/>
      <c r="G72" s="9" t="s">
        <v>199</v>
      </c>
      <c r="H72" s="5" t="n">
        <f aca="false">(COUNTIF(J72:EC72,"=0")+COUNTIF(J72:EC72,"=1"))</f>
        <v>10</v>
      </c>
      <c r="I72" s="16" t="n">
        <f aca="false">IFERROR(ROUND(10-AVERAGE(J72:EC72)*10,0),0)</f>
        <v>7</v>
      </c>
      <c r="J72" s="11" t="n">
        <v>0</v>
      </c>
      <c r="K72" s="11" t="n">
        <v>0</v>
      </c>
      <c r="L72" s="5"/>
      <c r="M72" s="5"/>
      <c r="N72" s="5"/>
      <c r="O72" s="11" t="n">
        <v>0</v>
      </c>
      <c r="P72" s="11" t="n">
        <v>1</v>
      </c>
      <c r="Q72" s="11" t="n">
        <v>1</v>
      </c>
      <c r="R72" s="5"/>
      <c r="S72" s="5"/>
      <c r="T72" s="11" t="n">
        <v>0</v>
      </c>
      <c r="U72" s="11" t="n">
        <v>0</v>
      </c>
      <c r="V72" s="5"/>
      <c r="W72" s="11" t="n">
        <v>0</v>
      </c>
      <c r="X72" s="11" t="n">
        <v>1</v>
      </c>
      <c r="Y72" s="5"/>
      <c r="Z72" s="5"/>
      <c r="AA72" s="5"/>
      <c r="AB72" s="5"/>
      <c r="AF72" s="5" t="n">
        <v>0</v>
      </c>
    </row>
    <row r="73" customFormat="false" ht="15.75" hidden="false" customHeight="false" outlineLevel="0" collapsed="false">
      <c r="A73" s="5" t="s">
        <v>186</v>
      </c>
      <c r="B73" s="5" t="s">
        <v>200</v>
      </c>
      <c r="C73" s="5" t="s">
        <v>201</v>
      </c>
      <c r="D73" s="5"/>
      <c r="E73" s="5"/>
      <c r="F73" s="5"/>
      <c r="G73" s="9" t="s">
        <v>202</v>
      </c>
      <c r="H73" s="5" t="n">
        <f aca="false">(COUNTIF(J73:EC73,"=0")+COUNTIF(J73:EC73,"=1"))</f>
        <v>10</v>
      </c>
      <c r="I73" s="17" t="n">
        <f aca="false">IFERROR(ROUND(10-AVERAGE(J73:EC73)*10,0),0)</f>
        <v>9</v>
      </c>
      <c r="J73" s="11" t="n">
        <v>0</v>
      </c>
      <c r="K73" s="11" t="n">
        <v>0</v>
      </c>
      <c r="L73" s="11" t="n">
        <v>0</v>
      </c>
      <c r="M73" s="5"/>
      <c r="N73" s="5"/>
      <c r="O73" s="11" t="n">
        <v>0</v>
      </c>
      <c r="P73" s="11" t="n">
        <v>0</v>
      </c>
      <c r="Q73" s="11" t="n">
        <v>0</v>
      </c>
      <c r="R73" s="5"/>
      <c r="S73" s="5"/>
      <c r="T73" s="11" t="n">
        <v>0</v>
      </c>
      <c r="U73" s="11" t="n">
        <v>0</v>
      </c>
      <c r="V73" s="5"/>
      <c r="W73" s="11" t="n">
        <v>0</v>
      </c>
      <c r="X73" s="11" t="n">
        <v>1</v>
      </c>
      <c r="Y73" s="5"/>
      <c r="Z73" s="5"/>
      <c r="AA73" s="5"/>
      <c r="AB73" s="5"/>
    </row>
    <row r="74" customFormat="false" ht="15.75" hidden="false" customHeight="false" outlineLevel="0" collapsed="false">
      <c r="A74" s="5" t="s">
        <v>186</v>
      </c>
      <c r="B74" s="5" t="s">
        <v>203</v>
      </c>
      <c r="C74" s="5" t="s">
        <v>204</v>
      </c>
      <c r="D74" s="5"/>
      <c r="E74" s="5"/>
      <c r="F74" s="5"/>
      <c r="G74" s="9" t="s">
        <v>205</v>
      </c>
      <c r="H74" s="5" t="n">
        <f aca="false">(COUNTIF(J74:EC74,"=0")+COUNTIF(J74:EC74,"=1"))</f>
        <v>5</v>
      </c>
      <c r="I74" s="12" t="n">
        <f aca="false">IFERROR(ROUND(10-AVERAGE(J74:EC74)*10,0),0)</f>
        <v>8</v>
      </c>
      <c r="J74" s="5" t="n">
        <v>0</v>
      </c>
      <c r="K74" s="11" t="n">
        <v>0</v>
      </c>
      <c r="L74" s="5"/>
      <c r="M74" s="5"/>
      <c r="N74" s="5"/>
      <c r="O74" s="5"/>
      <c r="P74" s="11" t="n">
        <v>1</v>
      </c>
      <c r="Q74" s="5"/>
      <c r="R74" s="5"/>
      <c r="S74" s="5"/>
      <c r="T74" s="11" t="n">
        <v>0</v>
      </c>
      <c r="U74" s="5"/>
      <c r="V74" s="5"/>
      <c r="W74" s="5"/>
      <c r="X74" s="5"/>
      <c r="Y74" s="5"/>
      <c r="Z74" s="11" t="n">
        <v>0</v>
      </c>
      <c r="AA74" s="5"/>
      <c r="AB74" s="5"/>
    </row>
    <row r="75" customFormat="false" ht="15.75" hidden="false" customHeight="false" outlineLevel="0" collapsed="false">
      <c r="A75" s="5" t="s">
        <v>186</v>
      </c>
      <c r="B75" s="5" t="s">
        <v>203</v>
      </c>
      <c r="C75" s="5" t="s">
        <v>87</v>
      </c>
      <c r="D75" s="5"/>
      <c r="E75" s="5"/>
      <c r="F75" s="5"/>
      <c r="G75" s="9" t="s">
        <v>206</v>
      </c>
      <c r="H75" s="5" t="n">
        <f aca="false">(COUNTIF(J75:EC75,"=0")+COUNTIF(J75:EC75,"=1"))</f>
        <v>5</v>
      </c>
      <c r="I75" s="12" t="n">
        <f aca="false">IFERROR(ROUND(10-AVERAGE(J75:EC75)*10,0),0)</f>
        <v>8</v>
      </c>
      <c r="J75" s="5" t="n">
        <v>0</v>
      </c>
      <c r="K75" s="11" t="n">
        <v>0</v>
      </c>
      <c r="L75" s="5"/>
      <c r="M75" s="5"/>
      <c r="N75" s="5"/>
      <c r="O75" s="5"/>
      <c r="P75" s="11" t="n">
        <v>1</v>
      </c>
      <c r="Q75" s="5"/>
      <c r="R75" s="5"/>
      <c r="S75" s="5"/>
      <c r="T75" s="11" t="n">
        <v>0</v>
      </c>
      <c r="U75" s="5"/>
      <c r="V75" s="5"/>
      <c r="W75" s="5"/>
      <c r="X75" s="5"/>
      <c r="Y75" s="5"/>
      <c r="Z75" s="11" t="n">
        <v>0</v>
      </c>
      <c r="AA75" s="5"/>
      <c r="AB75" s="5"/>
    </row>
    <row r="76" customFormat="false" ht="15.75" hidden="false" customHeight="false" outlineLevel="0" collapsed="false">
      <c r="A76" s="5" t="s">
        <v>186</v>
      </c>
      <c r="B76" s="5" t="s">
        <v>207</v>
      </c>
      <c r="C76" s="5" t="s">
        <v>208</v>
      </c>
      <c r="D76" s="5"/>
      <c r="E76" s="5"/>
      <c r="F76" s="5"/>
      <c r="G76" s="9" t="s">
        <v>209</v>
      </c>
      <c r="H76" s="5" t="n">
        <f aca="false">(COUNTIF(J76:EC76,"=0")+COUNTIF(J76:EC76,"=1"))</f>
        <v>6</v>
      </c>
      <c r="I76" s="12" t="n">
        <f aca="false">IFERROR(ROUND(10-AVERAGE(J76:EC76)*10,0),0)</f>
        <v>8</v>
      </c>
      <c r="J76" s="11" t="n">
        <v>0</v>
      </c>
      <c r="K76" s="11" t="n">
        <v>0</v>
      </c>
      <c r="L76" s="5"/>
      <c r="M76" s="5"/>
      <c r="N76" s="5"/>
      <c r="O76" s="5"/>
      <c r="P76" s="11" t="n">
        <v>1</v>
      </c>
      <c r="Q76" s="5"/>
      <c r="R76" s="5"/>
      <c r="S76" s="5"/>
      <c r="T76" s="11" t="n">
        <v>0</v>
      </c>
      <c r="U76" s="5"/>
      <c r="V76" s="5"/>
      <c r="W76" s="11" t="n">
        <v>0</v>
      </c>
      <c r="X76" s="11" t="n">
        <v>0</v>
      </c>
      <c r="Y76" s="5"/>
      <c r="Z76" s="5"/>
      <c r="AA76" s="5"/>
      <c r="AB76" s="5"/>
    </row>
    <row r="77" customFormat="false" ht="15.75" hidden="false" customHeight="false" outlineLevel="0" collapsed="false">
      <c r="A77" s="5" t="s">
        <v>210</v>
      </c>
      <c r="B77" s="5" t="s">
        <v>210</v>
      </c>
      <c r="C77" s="5" t="s">
        <v>211</v>
      </c>
      <c r="D77" s="5" t="s">
        <v>212</v>
      </c>
      <c r="E77" s="5"/>
      <c r="F77" s="5"/>
      <c r="G77" s="9" t="s">
        <v>213</v>
      </c>
      <c r="H77" s="5" t="n">
        <f aca="false">(COUNTIF(J77:EC77,"=0")+COUNTIF(J77:EC77,"=1"))</f>
        <v>11</v>
      </c>
      <c r="I77" s="17" t="n">
        <f aca="false">IFERROR(ROUND(10-AVERAGE(J77:EC77)*10,0),0)</f>
        <v>9</v>
      </c>
      <c r="J77" s="11" t="n">
        <v>1</v>
      </c>
      <c r="K77" s="11" t="n">
        <v>0</v>
      </c>
      <c r="L77" s="5"/>
      <c r="M77" s="5"/>
      <c r="N77" s="5"/>
      <c r="O77" s="11" t="n">
        <v>0</v>
      </c>
      <c r="P77" s="11" t="n">
        <v>0</v>
      </c>
      <c r="Q77" s="11" t="n">
        <v>0</v>
      </c>
      <c r="R77" s="5"/>
      <c r="S77" s="11" t="n">
        <v>0</v>
      </c>
      <c r="T77" s="11" t="n">
        <v>0</v>
      </c>
      <c r="U77" s="11" t="n">
        <v>0</v>
      </c>
      <c r="V77" s="5"/>
      <c r="W77" s="11" t="n">
        <v>0</v>
      </c>
      <c r="X77" s="11" t="n">
        <v>0</v>
      </c>
      <c r="Y77" s="5"/>
      <c r="Z77" s="5" t="n">
        <v>0</v>
      </c>
      <c r="AA77" s="5"/>
      <c r="AB77" s="5"/>
    </row>
    <row r="78" customFormat="false" ht="15.75" hidden="false" customHeight="false" outlineLevel="0" collapsed="false">
      <c r="A78" s="5" t="s">
        <v>214</v>
      </c>
      <c r="B78" s="5" t="s">
        <v>214</v>
      </c>
      <c r="C78" s="5" t="s">
        <v>215</v>
      </c>
      <c r="D78" s="5"/>
      <c r="E78" s="5"/>
      <c r="F78" s="5"/>
      <c r="G78" s="14" t="s">
        <v>216</v>
      </c>
      <c r="H78" s="5" t="n">
        <f aca="false">(COUNTIF(J78:EC78,"=0")+COUNTIF(J78:EC78,"=1"))</f>
        <v>9</v>
      </c>
      <c r="I78" s="12" t="n">
        <f aca="false">IFERROR(ROUND(10-AVERAGE(J78:EC78)*10,0),0)</f>
        <v>8</v>
      </c>
      <c r="J78" s="11" t="n">
        <v>0</v>
      </c>
      <c r="K78" s="11" t="n">
        <v>0</v>
      </c>
      <c r="L78" s="5"/>
      <c r="M78" s="5"/>
      <c r="N78" s="5"/>
      <c r="O78" s="11" t="n">
        <v>1</v>
      </c>
      <c r="P78" s="11" t="n">
        <v>1</v>
      </c>
      <c r="Q78" s="11" t="n">
        <v>0</v>
      </c>
      <c r="R78" s="5"/>
      <c r="S78" s="5"/>
      <c r="T78" s="11" t="n">
        <v>0</v>
      </c>
      <c r="U78" s="11" t="n">
        <v>0</v>
      </c>
      <c r="V78" s="5"/>
      <c r="W78" s="11" t="n">
        <v>0</v>
      </c>
      <c r="X78" s="11" t="n">
        <v>0</v>
      </c>
      <c r="Y78" s="5"/>
      <c r="Z78" s="5"/>
      <c r="AA78" s="5"/>
      <c r="AB78" s="5"/>
    </row>
    <row r="79" customFormat="false" ht="15.75" hidden="false" customHeight="false" outlineLevel="0" collapsed="false">
      <c r="A79" s="5" t="s">
        <v>217</v>
      </c>
      <c r="B79" s="5" t="s">
        <v>217</v>
      </c>
      <c r="C79" s="5" t="s">
        <v>79</v>
      </c>
      <c r="D79" s="5"/>
      <c r="E79" s="5"/>
      <c r="F79" s="5"/>
      <c r="G79" s="9" t="s">
        <v>218</v>
      </c>
      <c r="H79" s="5" t="n">
        <f aca="false">(COUNTIF(J79:EC79,"=0")+COUNTIF(J79:EC79,"=1"))</f>
        <v>13</v>
      </c>
      <c r="I79" s="16" t="n">
        <f aca="false">IFERROR(ROUND(10-AVERAGE(J79:EC79)*10,0),0)</f>
        <v>6</v>
      </c>
      <c r="J79" s="11" t="n">
        <v>0</v>
      </c>
      <c r="K79" s="11" t="n">
        <v>0</v>
      </c>
      <c r="L79" s="11" t="n">
        <v>0</v>
      </c>
      <c r="M79" s="5"/>
      <c r="N79" s="5"/>
      <c r="O79" s="11" t="n">
        <v>0</v>
      </c>
      <c r="P79" s="11" t="n">
        <v>1</v>
      </c>
      <c r="Q79" s="11" t="n">
        <v>1</v>
      </c>
      <c r="R79" s="11" t="n">
        <v>1</v>
      </c>
      <c r="S79" s="11" t="n">
        <v>0</v>
      </c>
      <c r="T79" s="11" t="n">
        <v>0</v>
      </c>
      <c r="U79" s="11" t="n">
        <v>0</v>
      </c>
      <c r="V79" s="5"/>
      <c r="W79" s="11" t="n">
        <v>0</v>
      </c>
      <c r="X79" s="11" t="n">
        <v>1</v>
      </c>
      <c r="Y79" s="5"/>
      <c r="Z79" s="5"/>
      <c r="AA79" s="5"/>
      <c r="AB79" s="5"/>
      <c r="AF79" s="5" t="n">
        <v>1</v>
      </c>
    </row>
    <row r="80" customFormat="false" ht="15.75" hidden="false" customHeight="false" outlineLevel="0" collapsed="false">
      <c r="A80" s="5" t="s">
        <v>219</v>
      </c>
      <c r="B80" s="5" t="s">
        <v>220</v>
      </c>
      <c r="C80" s="5" t="s">
        <v>221</v>
      </c>
      <c r="D80" s="5"/>
      <c r="E80" s="5"/>
      <c r="F80" s="5"/>
      <c r="G80" s="9" t="s">
        <v>222</v>
      </c>
      <c r="H80" s="5" t="n">
        <f aca="false">(COUNTIF(J80:EC80,"=0")+COUNTIF(J80:EC80,"=1"))</f>
        <v>14</v>
      </c>
      <c r="I80" s="16" t="n">
        <f aca="false">IFERROR(ROUND(10-AVERAGE(J80:EC80)*10,0),0)</f>
        <v>7</v>
      </c>
      <c r="J80" s="11" t="n">
        <v>0</v>
      </c>
      <c r="K80" s="11" t="n">
        <v>0</v>
      </c>
      <c r="L80" s="11" t="n">
        <v>0</v>
      </c>
      <c r="M80" s="5"/>
      <c r="N80" s="5"/>
      <c r="O80" s="11" t="n">
        <v>0</v>
      </c>
      <c r="P80" s="11" t="n">
        <v>1</v>
      </c>
      <c r="Q80" s="11" t="n">
        <v>1</v>
      </c>
      <c r="R80" s="11" t="n">
        <v>1</v>
      </c>
      <c r="S80" s="11" t="n">
        <v>0</v>
      </c>
      <c r="T80" s="11" t="n">
        <v>0</v>
      </c>
      <c r="U80" s="11" t="n">
        <v>0</v>
      </c>
      <c r="V80" s="5"/>
      <c r="W80" s="11" t="n">
        <v>1</v>
      </c>
      <c r="X80" s="11" t="n">
        <v>0</v>
      </c>
      <c r="Y80" s="5"/>
      <c r="Z80" s="5"/>
      <c r="AA80" s="5"/>
      <c r="AB80" s="5"/>
      <c r="AD80" s="5" t="n">
        <v>0</v>
      </c>
      <c r="AF80" s="5" t="n">
        <v>0</v>
      </c>
    </row>
    <row r="81" customFormat="false" ht="15.75" hidden="false" customHeight="false" outlineLevel="0" collapsed="false">
      <c r="A81" s="5" t="s">
        <v>219</v>
      </c>
      <c r="B81" s="5" t="s">
        <v>220</v>
      </c>
      <c r="C81" s="5" t="s">
        <v>223</v>
      </c>
      <c r="D81" s="5"/>
      <c r="E81" s="5"/>
      <c r="F81" s="5"/>
      <c r="G81" s="9" t="s">
        <v>224</v>
      </c>
      <c r="H81" s="5" t="n">
        <f aca="false">(COUNTIF(J81:EC81,"=0")+COUNTIF(J81:EC81,"=1"))</f>
        <v>7</v>
      </c>
      <c r="I81" s="17" t="n">
        <f aca="false">IFERROR(ROUND(10-AVERAGE(J81:EC81)*10,0),0)</f>
        <v>9</v>
      </c>
      <c r="J81" s="11" t="n">
        <v>0</v>
      </c>
      <c r="K81" s="11" t="n">
        <v>0</v>
      </c>
      <c r="L81" s="5"/>
      <c r="M81" s="5"/>
      <c r="N81" s="5"/>
      <c r="O81" s="5"/>
      <c r="P81" s="11" t="n">
        <v>0</v>
      </c>
      <c r="Q81" s="5"/>
      <c r="R81" s="5"/>
      <c r="S81" s="5"/>
      <c r="T81" s="11" t="n">
        <v>0</v>
      </c>
      <c r="U81" s="5"/>
      <c r="V81" s="5"/>
      <c r="W81" s="11" t="n">
        <v>1</v>
      </c>
      <c r="X81" s="11" t="n">
        <v>0</v>
      </c>
      <c r="Y81" s="5"/>
      <c r="Z81" s="5"/>
      <c r="AA81" s="11" t="n">
        <v>0</v>
      </c>
      <c r="AB81" s="5"/>
    </row>
    <row r="82" customFormat="false" ht="15.75" hidden="false" customHeight="false" outlineLevel="0" collapsed="false">
      <c r="A82" s="5" t="s">
        <v>219</v>
      </c>
      <c r="B82" s="5" t="s">
        <v>220</v>
      </c>
      <c r="C82" s="5" t="s">
        <v>225</v>
      </c>
      <c r="D82" s="5"/>
      <c r="E82" s="5"/>
      <c r="F82" s="5"/>
      <c r="G82" s="5"/>
      <c r="H82" s="5" t="n">
        <f aca="false">(COUNTIF(J82:EC82,"=0")+COUNTIF(J82:EC82,"=1"))</f>
        <v>4</v>
      </c>
      <c r="I82" s="15" t="n">
        <f aca="false">IFERROR(ROUND(10-AVERAGE(J82:EC82)*10,0),0)</f>
        <v>5</v>
      </c>
      <c r="J82" s="5"/>
      <c r="K82" s="11" t="n">
        <v>0</v>
      </c>
      <c r="L82" s="5" t="n">
        <v>0</v>
      </c>
      <c r="M82" s="5"/>
      <c r="N82" s="5"/>
      <c r="O82" s="5"/>
      <c r="P82" s="5" t="n">
        <v>1</v>
      </c>
      <c r="Q82" s="5"/>
      <c r="R82" s="5"/>
      <c r="S82" s="5"/>
      <c r="T82" s="5"/>
      <c r="U82" s="5"/>
      <c r="V82" s="5"/>
      <c r="W82" s="5" t="n">
        <v>1</v>
      </c>
      <c r="X82" s="5"/>
      <c r="Y82" s="5"/>
      <c r="Z82" s="5"/>
      <c r="AA82" s="5"/>
      <c r="AB82" s="5"/>
    </row>
    <row r="83" customFormat="false" ht="15.75" hidden="false" customHeight="false" outlineLevel="0" collapsed="false">
      <c r="A83" s="5" t="s">
        <v>219</v>
      </c>
      <c r="B83" s="5" t="s">
        <v>220</v>
      </c>
      <c r="C83" s="5" t="s">
        <v>226</v>
      </c>
      <c r="D83" s="5"/>
      <c r="E83" s="5"/>
      <c r="F83" s="5"/>
      <c r="G83" s="5"/>
      <c r="H83" s="5" t="n">
        <f aca="false">(COUNTIF(J83:EC83,"=0")+COUNTIF(J83:EC83,"=1"))</f>
        <v>4</v>
      </c>
      <c r="I83" s="15" t="n">
        <f aca="false">IFERROR(ROUND(10-AVERAGE(J83:EC83)*10,0),0)</f>
        <v>5</v>
      </c>
      <c r="J83" s="5"/>
      <c r="K83" s="11" t="n">
        <v>0</v>
      </c>
      <c r="L83" s="5" t="n">
        <v>0</v>
      </c>
      <c r="M83" s="5"/>
      <c r="N83" s="5"/>
      <c r="O83" s="5"/>
      <c r="P83" s="5" t="n">
        <v>1</v>
      </c>
      <c r="Q83" s="5"/>
      <c r="R83" s="5"/>
      <c r="S83" s="5"/>
      <c r="T83" s="5"/>
      <c r="U83" s="5"/>
      <c r="V83" s="5"/>
      <c r="W83" s="5" t="n">
        <v>1</v>
      </c>
      <c r="X83" s="5"/>
      <c r="Y83" s="5"/>
      <c r="Z83" s="5"/>
      <c r="AA83" s="5"/>
      <c r="AB83" s="5"/>
    </row>
    <row r="84" customFormat="false" ht="15.75" hidden="false" customHeight="false" outlineLevel="0" collapsed="false">
      <c r="A84" s="5" t="s">
        <v>219</v>
      </c>
      <c r="B84" s="5" t="s">
        <v>220</v>
      </c>
      <c r="C84" s="5" t="s">
        <v>227</v>
      </c>
      <c r="D84" s="5"/>
      <c r="E84" s="5"/>
      <c r="F84" s="5"/>
      <c r="G84" s="5"/>
      <c r="H84" s="5" t="n">
        <f aca="false">(COUNTIF(J84:EC84,"=0")+COUNTIF(J84:EC84,"=1"))</f>
        <v>4</v>
      </c>
      <c r="I84" s="15" t="n">
        <f aca="false">IFERROR(ROUND(10-AVERAGE(J84:EC84)*10,0),0)</f>
        <v>5</v>
      </c>
      <c r="J84" s="5"/>
      <c r="K84" s="11" t="n">
        <v>0</v>
      </c>
      <c r="L84" s="5" t="n">
        <v>0</v>
      </c>
      <c r="M84" s="5"/>
      <c r="N84" s="5"/>
      <c r="O84" s="5"/>
      <c r="P84" s="5" t="n">
        <v>1</v>
      </c>
      <c r="Q84" s="5"/>
      <c r="R84" s="5"/>
      <c r="S84" s="5"/>
      <c r="T84" s="5"/>
      <c r="U84" s="5"/>
      <c r="V84" s="5"/>
      <c r="W84" s="5" t="n">
        <v>1</v>
      </c>
      <c r="X84" s="5"/>
      <c r="Y84" s="5"/>
      <c r="Z84" s="5"/>
      <c r="AA84" s="5"/>
      <c r="AB84" s="5"/>
    </row>
    <row r="85" customFormat="false" ht="15.75" hidden="false" customHeight="false" outlineLevel="0" collapsed="false">
      <c r="A85" s="5" t="s">
        <v>219</v>
      </c>
      <c r="B85" s="5" t="s">
        <v>220</v>
      </c>
      <c r="C85" s="5" t="s">
        <v>228</v>
      </c>
      <c r="D85" s="5"/>
      <c r="E85" s="5"/>
      <c r="F85" s="5"/>
      <c r="G85" s="9" t="s">
        <v>229</v>
      </c>
      <c r="H85" s="5" t="n">
        <f aca="false">(COUNTIF(J85:EC85,"=0")+COUNTIF(J85:EC85,"=1"))</f>
        <v>12</v>
      </c>
      <c r="I85" s="12" t="n">
        <f aca="false">IFERROR(ROUND(10-AVERAGE(J85:EC85)*10,0),0)</f>
        <v>8</v>
      </c>
      <c r="J85" s="11" t="n">
        <v>0</v>
      </c>
      <c r="K85" s="11" t="n">
        <v>0</v>
      </c>
      <c r="L85" s="11" t="n">
        <v>0</v>
      </c>
      <c r="M85" s="5"/>
      <c r="N85" s="5"/>
      <c r="O85" s="11" t="n">
        <v>0</v>
      </c>
      <c r="P85" s="11" t="n">
        <v>0</v>
      </c>
      <c r="Q85" s="11" t="n">
        <v>1</v>
      </c>
      <c r="R85" s="11" t="n">
        <v>1</v>
      </c>
      <c r="S85" s="11" t="n">
        <v>0</v>
      </c>
      <c r="T85" s="11" t="n">
        <v>0</v>
      </c>
      <c r="U85" s="11" t="n">
        <v>0</v>
      </c>
      <c r="V85" s="5"/>
      <c r="W85" s="11" t="n">
        <v>1</v>
      </c>
      <c r="X85" s="11" t="n">
        <v>0</v>
      </c>
      <c r="Y85" s="5"/>
      <c r="Z85" s="5"/>
      <c r="AA85" s="5"/>
      <c r="AB85" s="5"/>
    </row>
    <row r="86" customFormat="false" ht="15.75" hidden="false" customHeight="false" outlineLevel="0" collapsed="false">
      <c r="A86" s="5" t="s">
        <v>230</v>
      </c>
      <c r="B86" s="5" t="s">
        <v>230</v>
      </c>
      <c r="C86" s="5" t="s">
        <v>87</v>
      </c>
      <c r="D86" s="5"/>
      <c r="E86" s="5"/>
      <c r="F86" s="5"/>
      <c r="G86" s="9" t="s">
        <v>231</v>
      </c>
      <c r="H86" s="5" t="n">
        <f aca="false">(COUNTIF(J86:EC86,"=0")+COUNTIF(J86:EC86,"=1"))</f>
        <v>7</v>
      </c>
      <c r="I86" s="16" t="n">
        <f aca="false">IFERROR(ROUND(10-AVERAGE(J86:EC86)*10,0),0)</f>
        <v>4</v>
      </c>
      <c r="J86" s="5" t="n">
        <v>1</v>
      </c>
      <c r="K86" s="11" t="n">
        <v>0</v>
      </c>
      <c r="L86" s="5" t="n">
        <v>1</v>
      </c>
      <c r="M86" s="5"/>
      <c r="N86" s="5"/>
      <c r="O86" s="5"/>
      <c r="P86" s="11" t="n">
        <v>1</v>
      </c>
      <c r="Q86" s="5" t="n">
        <v>0</v>
      </c>
      <c r="R86" s="5"/>
      <c r="S86" s="5"/>
      <c r="T86" s="11" t="n">
        <v>0</v>
      </c>
      <c r="U86" s="5"/>
      <c r="V86" s="5"/>
      <c r="W86" s="5" t="n">
        <v>1</v>
      </c>
      <c r="X86" s="5"/>
      <c r="Y86" s="5"/>
      <c r="Z86" s="5"/>
      <c r="AA86" s="5"/>
      <c r="AB86" s="5"/>
    </row>
    <row r="87" customFormat="false" ht="15.75" hidden="false" customHeight="false" outlineLevel="0" collapsed="false">
      <c r="A87" s="5" t="s">
        <v>232</v>
      </c>
      <c r="B87" s="5" t="s">
        <v>233</v>
      </c>
      <c r="C87" s="5" t="s">
        <v>234</v>
      </c>
      <c r="D87" s="5"/>
      <c r="E87" s="5"/>
      <c r="F87" s="5"/>
      <c r="G87" s="14" t="s">
        <v>235</v>
      </c>
      <c r="H87" s="5" t="n">
        <f aca="false">(COUNTIF(J87:EC87,"=0")+COUNTIF(J87:EC87,"=1"))</f>
        <v>8</v>
      </c>
      <c r="I87" s="12" t="n">
        <f aca="false">IFERROR(ROUND(10-AVERAGE(J87:EC87)*10,0),0)</f>
        <v>9</v>
      </c>
      <c r="J87" s="11" t="n">
        <v>0</v>
      </c>
      <c r="K87" s="11" t="n">
        <v>0</v>
      </c>
      <c r="L87" s="5"/>
      <c r="M87" s="5"/>
      <c r="N87" s="5"/>
      <c r="O87" s="5"/>
      <c r="P87" s="11" t="n">
        <v>1</v>
      </c>
      <c r="Q87" s="5" t="n">
        <v>0</v>
      </c>
      <c r="R87" s="5"/>
      <c r="S87" s="5"/>
      <c r="T87" s="11" t="n">
        <v>0</v>
      </c>
      <c r="U87" s="5"/>
      <c r="V87" s="5"/>
      <c r="W87" s="11" t="n">
        <v>0</v>
      </c>
      <c r="X87" s="11" t="n">
        <v>0</v>
      </c>
      <c r="Y87" s="5"/>
      <c r="Z87" s="5"/>
      <c r="AA87" s="5"/>
      <c r="AB87" s="5"/>
      <c r="AC87" s="5" t="n">
        <v>0</v>
      </c>
    </row>
    <row r="88" customFormat="false" ht="15.75" hidden="false" customHeight="false" outlineLevel="0" collapsed="false">
      <c r="A88" s="5" t="s">
        <v>236</v>
      </c>
      <c r="B88" s="5" t="s">
        <v>236</v>
      </c>
      <c r="C88" s="5" t="s">
        <v>237</v>
      </c>
      <c r="D88" s="5"/>
      <c r="E88" s="5"/>
      <c r="F88" s="5"/>
      <c r="G88" s="9" t="s">
        <v>238</v>
      </c>
      <c r="H88" s="5" t="n">
        <f aca="false">(COUNTIF(J88:EC88,"=0")+COUNTIF(J88:EC88,"=1"))</f>
        <v>7</v>
      </c>
      <c r="I88" s="10" t="n">
        <f aca="false">IFERROR(ROUND(10-AVERAGE(J88:EC88)*10,0),0)</f>
        <v>10</v>
      </c>
      <c r="J88" s="5" t="n">
        <v>0</v>
      </c>
      <c r="K88" s="11" t="n">
        <v>0</v>
      </c>
      <c r="L88" s="5"/>
      <c r="M88" s="5"/>
      <c r="N88" s="5"/>
      <c r="O88" s="5"/>
      <c r="P88" s="11" t="n">
        <v>0</v>
      </c>
      <c r="Q88" s="5" t="n">
        <v>0</v>
      </c>
      <c r="R88" s="5"/>
      <c r="S88" s="5" t="n">
        <v>0</v>
      </c>
      <c r="T88" s="11" t="n">
        <v>0</v>
      </c>
      <c r="U88" s="5"/>
      <c r="V88" s="5"/>
      <c r="W88" s="5"/>
      <c r="X88" s="5"/>
      <c r="Y88" s="5"/>
      <c r="Z88" s="11" t="n">
        <v>0</v>
      </c>
      <c r="AA88" s="5"/>
      <c r="AB88" s="5"/>
    </row>
    <row r="89" customFormat="false" ht="15.75" hidden="false" customHeight="false" outlineLevel="0" collapsed="false">
      <c r="A89" s="5" t="s">
        <v>239</v>
      </c>
      <c r="B89" s="5" t="s">
        <v>240</v>
      </c>
      <c r="C89" s="5" t="s">
        <v>241</v>
      </c>
      <c r="D89" s="5"/>
      <c r="E89" s="5"/>
      <c r="F89" s="5"/>
      <c r="G89" s="14" t="s">
        <v>242</v>
      </c>
      <c r="H89" s="5" t="n">
        <f aca="false">(COUNTIF(J89:EC89,"=0")+COUNTIF(J89:EC89,"=1"))</f>
        <v>1</v>
      </c>
      <c r="I89" s="15" t="n">
        <f aca="false">IFERROR(ROUND(10-AVERAGE(J89:EC89)*10,0),0)</f>
        <v>0</v>
      </c>
      <c r="J89" s="5"/>
      <c r="K89" s="5"/>
      <c r="L89" s="5"/>
      <c r="M89" s="5"/>
      <c r="N89" s="5"/>
      <c r="O89" s="5"/>
      <c r="P89" s="5" t="n">
        <v>1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customFormat="false" ht="15.75" hidden="false" customHeight="false" outlineLevel="0" collapsed="false">
      <c r="A90" s="5" t="s">
        <v>243</v>
      </c>
      <c r="B90" s="5" t="s">
        <v>243</v>
      </c>
      <c r="C90" s="5" t="s">
        <v>244</v>
      </c>
      <c r="D90" s="5"/>
      <c r="E90" s="5"/>
      <c r="F90" s="5"/>
      <c r="G90" s="9" t="s">
        <v>245</v>
      </c>
      <c r="H90" s="5" t="n">
        <f aca="false">(COUNTIF(J90:EC90,"=0")+COUNTIF(J90:EC90,"=1"))</f>
        <v>8</v>
      </c>
      <c r="I90" s="16" t="n">
        <f aca="false">IFERROR(ROUND(10-AVERAGE(J90:EC90)*10,0),0)</f>
        <v>8</v>
      </c>
      <c r="J90" s="11" t="n">
        <v>0</v>
      </c>
      <c r="K90" s="11" t="n">
        <v>0</v>
      </c>
      <c r="L90" s="5"/>
      <c r="M90" s="5"/>
      <c r="N90" s="5"/>
      <c r="O90" s="5"/>
      <c r="P90" s="11" t="n">
        <v>1</v>
      </c>
      <c r="Q90" s="5" t="n">
        <v>0</v>
      </c>
      <c r="R90" s="5"/>
      <c r="S90" s="5"/>
      <c r="T90" s="11" t="n">
        <v>0</v>
      </c>
      <c r="U90" s="5"/>
      <c r="V90" s="5"/>
      <c r="W90" s="11" t="n">
        <v>0</v>
      </c>
      <c r="X90" s="11" t="n">
        <v>1</v>
      </c>
      <c r="Y90" s="5"/>
      <c r="Z90" s="5"/>
      <c r="AA90" s="5"/>
      <c r="AB90" s="5"/>
      <c r="AD90" s="5" t="n">
        <v>0</v>
      </c>
    </row>
    <row r="91" customFormat="false" ht="15.75" hidden="false" customHeight="false" outlineLevel="0" collapsed="false">
      <c r="A91" s="5" t="s">
        <v>246</v>
      </c>
      <c r="B91" s="5" t="s">
        <v>246</v>
      </c>
      <c r="C91" s="5" t="s">
        <v>247</v>
      </c>
      <c r="D91" s="5"/>
      <c r="E91" s="5"/>
      <c r="F91" s="5"/>
      <c r="G91" s="9" t="s">
        <v>248</v>
      </c>
      <c r="H91" s="5" t="n">
        <f aca="false">(COUNTIF(J91:EC91,"=0")+COUNTIF(J91:EC91,"=1"))</f>
        <v>11</v>
      </c>
      <c r="I91" s="10" t="n">
        <f aca="false">IFERROR(ROUND(10-AVERAGE(J91:EC91)*10,0),0)</f>
        <v>10</v>
      </c>
      <c r="J91" s="11" t="n">
        <v>0</v>
      </c>
      <c r="K91" s="11" t="n">
        <v>0</v>
      </c>
      <c r="L91" s="11" t="n">
        <v>0</v>
      </c>
      <c r="M91" s="5"/>
      <c r="N91" s="5"/>
      <c r="O91" s="11" t="n">
        <v>0</v>
      </c>
      <c r="P91" s="11" t="n">
        <v>0</v>
      </c>
      <c r="Q91" s="11" t="n">
        <v>0</v>
      </c>
      <c r="R91" s="5"/>
      <c r="S91" s="11" t="n">
        <v>0</v>
      </c>
      <c r="T91" s="11" t="n">
        <v>0</v>
      </c>
      <c r="U91" s="11" t="n">
        <v>0</v>
      </c>
      <c r="V91" s="5"/>
      <c r="W91" s="11" t="n">
        <v>0</v>
      </c>
      <c r="X91" s="11" t="n">
        <v>0</v>
      </c>
      <c r="Y91" s="5"/>
      <c r="Z91" s="5"/>
      <c r="AA91" s="5"/>
      <c r="AB91" s="5"/>
    </row>
    <row r="92" customFormat="false" ht="15.75" hidden="false" customHeight="false" outlineLevel="0" collapsed="false">
      <c r="A92" s="5" t="s">
        <v>246</v>
      </c>
      <c r="B92" s="5" t="s">
        <v>249</v>
      </c>
      <c r="C92" s="5" t="s">
        <v>250</v>
      </c>
      <c r="D92" s="5"/>
      <c r="E92" s="5"/>
      <c r="F92" s="5"/>
      <c r="G92" s="9" t="s">
        <v>251</v>
      </c>
      <c r="H92" s="5" t="n">
        <f aca="false">(COUNTIF(J92:EC92,"=0")+COUNTIF(J92:EC92,"=1"))</f>
        <v>11</v>
      </c>
      <c r="I92" s="17" t="n">
        <f aca="false">IFERROR(ROUND(10-AVERAGE(J92:EC92)*10,0),0)</f>
        <v>9</v>
      </c>
      <c r="J92" s="11" t="n">
        <v>0</v>
      </c>
      <c r="K92" s="11" t="n">
        <v>1</v>
      </c>
      <c r="L92" s="11" t="n">
        <v>0</v>
      </c>
      <c r="M92" s="5"/>
      <c r="N92" s="5"/>
      <c r="O92" s="11" t="n">
        <v>0</v>
      </c>
      <c r="P92" s="11" t="n">
        <v>0</v>
      </c>
      <c r="Q92" s="11" t="n">
        <v>0</v>
      </c>
      <c r="R92" s="5"/>
      <c r="S92" s="11" t="n">
        <v>0</v>
      </c>
      <c r="T92" s="11" t="n">
        <v>0</v>
      </c>
      <c r="U92" s="11" t="n">
        <v>0</v>
      </c>
      <c r="V92" s="5"/>
      <c r="W92" s="11" t="n">
        <v>0</v>
      </c>
      <c r="X92" s="11" t="n">
        <v>0</v>
      </c>
      <c r="Y92" s="5"/>
      <c r="Z92" s="5"/>
      <c r="AA92" s="5"/>
      <c r="AB92" s="5"/>
    </row>
    <row r="93" customFormat="false" ht="15.75" hidden="false" customHeight="false" outlineLevel="0" collapsed="false">
      <c r="A93" s="5" t="s">
        <v>252</v>
      </c>
      <c r="B93" s="5" t="s">
        <v>252</v>
      </c>
      <c r="C93" s="5" t="s">
        <v>253</v>
      </c>
      <c r="D93" s="5" t="s">
        <v>254</v>
      </c>
      <c r="E93" s="9" t="s">
        <v>255</v>
      </c>
      <c r="G93" s="9" t="s">
        <v>256</v>
      </c>
      <c r="H93" s="5" t="n">
        <f aca="false">(COUNTIF(J93:EC93,"=0")+COUNTIF(J93:EC93,"=1"))</f>
        <v>10</v>
      </c>
      <c r="I93" s="17" t="n">
        <f aca="false">IFERROR(ROUND(10-AVERAGE(J93:EC93)*10,0),0)</f>
        <v>9</v>
      </c>
      <c r="J93" s="11" t="n">
        <v>0</v>
      </c>
      <c r="K93" s="11" t="n">
        <v>0</v>
      </c>
      <c r="L93" s="5"/>
      <c r="M93" s="5"/>
      <c r="N93" s="5"/>
      <c r="O93" s="11" t="n">
        <v>0</v>
      </c>
      <c r="P93" s="11" t="n">
        <v>1</v>
      </c>
      <c r="Q93" s="11" t="n">
        <v>0</v>
      </c>
      <c r="R93" s="5"/>
      <c r="S93" s="11" t="n">
        <v>0</v>
      </c>
      <c r="T93" s="11" t="n">
        <v>0</v>
      </c>
      <c r="U93" s="11" t="n">
        <v>0</v>
      </c>
      <c r="V93" s="5"/>
      <c r="W93" s="11" t="n">
        <v>0</v>
      </c>
      <c r="X93" s="11" t="n">
        <v>0</v>
      </c>
      <c r="Y93" s="5"/>
      <c r="Z93" s="5"/>
      <c r="AA93" s="5"/>
      <c r="AB93" s="5"/>
    </row>
    <row r="94" customFormat="false" ht="15.75" hidden="false" customHeight="false" outlineLevel="0" collapsed="false">
      <c r="A94" s="5" t="s">
        <v>252</v>
      </c>
      <c r="B94" s="5" t="s">
        <v>252</v>
      </c>
      <c r="C94" s="5" t="s">
        <v>257</v>
      </c>
      <c r="D94" s="5"/>
      <c r="E94" s="5"/>
      <c r="F94" s="5"/>
      <c r="G94" s="9" t="s">
        <v>258</v>
      </c>
      <c r="H94" s="5" t="n">
        <f aca="false">(COUNTIF(J94:EC94,"=0")+COUNTIF(J94:EC94,"=1"))</f>
        <v>8</v>
      </c>
      <c r="I94" s="17" t="n">
        <f aca="false">IFERROR(ROUND(10-AVERAGE(J94:EC94)*10,0),0)</f>
        <v>9</v>
      </c>
      <c r="J94" s="11" t="n">
        <v>0</v>
      </c>
      <c r="K94" s="11" t="n">
        <v>0</v>
      </c>
      <c r="L94" s="5"/>
      <c r="M94" s="5"/>
      <c r="N94" s="5"/>
      <c r="O94" s="5"/>
      <c r="P94" s="11" t="n">
        <v>1</v>
      </c>
      <c r="Q94" s="5" t="n">
        <v>0</v>
      </c>
      <c r="R94" s="5"/>
      <c r="S94" s="5"/>
      <c r="T94" s="11" t="n">
        <v>0</v>
      </c>
      <c r="U94" s="5"/>
      <c r="V94" s="5"/>
      <c r="W94" s="11" t="n">
        <v>0</v>
      </c>
      <c r="X94" s="11" t="n">
        <v>0</v>
      </c>
      <c r="Y94" s="5"/>
      <c r="Z94" s="5"/>
      <c r="AA94" s="11" t="n">
        <v>0</v>
      </c>
      <c r="AB94" s="5"/>
    </row>
    <row r="95" customFormat="false" ht="15.75" hidden="false" customHeight="false" outlineLevel="0" collapsed="false">
      <c r="A95" s="5" t="s">
        <v>252</v>
      </c>
      <c r="B95" s="5" t="s">
        <v>252</v>
      </c>
      <c r="C95" s="5" t="s">
        <v>259</v>
      </c>
      <c r="D95" s="5"/>
      <c r="E95" s="5"/>
      <c r="F95" s="5"/>
      <c r="G95" s="9" t="s">
        <v>260</v>
      </c>
      <c r="H95" s="5" t="n">
        <f aca="false">(COUNTIF(J95:EC95,"=0")+COUNTIF(J95:EC95,"=1"))</f>
        <v>10</v>
      </c>
      <c r="I95" s="17" t="n">
        <f aca="false">IFERROR(ROUND(10-AVERAGE(J95:EC95)*10,0),0)</f>
        <v>9</v>
      </c>
      <c r="J95" s="11" t="n">
        <v>0</v>
      </c>
      <c r="K95" s="11" t="n">
        <v>0</v>
      </c>
      <c r="L95" s="5"/>
      <c r="M95" s="5"/>
      <c r="N95" s="5"/>
      <c r="O95" s="11" t="n">
        <v>0</v>
      </c>
      <c r="P95" s="11" t="n">
        <v>1</v>
      </c>
      <c r="Q95" s="11" t="n">
        <v>0</v>
      </c>
      <c r="R95" s="5"/>
      <c r="S95" s="11" t="n">
        <v>0</v>
      </c>
      <c r="T95" s="11" t="n">
        <v>0</v>
      </c>
      <c r="U95" s="11" t="n">
        <v>0</v>
      </c>
      <c r="V95" s="5"/>
      <c r="W95" s="11" t="n">
        <v>0</v>
      </c>
      <c r="X95" s="11" t="n">
        <v>0</v>
      </c>
      <c r="Y95" s="5"/>
      <c r="Z95" s="5"/>
      <c r="AA95" s="5"/>
      <c r="AB95" s="5"/>
    </row>
    <row r="96" customFormat="false" ht="15.75" hidden="false" customHeight="false" outlineLevel="0" collapsed="false">
      <c r="A96" s="5" t="s">
        <v>252</v>
      </c>
      <c r="B96" s="5" t="s">
        <v>261</v>
      </c>
      <c r="C96" s="5" t="s">
        <v>262</v>
      </c>
      <c r="D96" s="5" t="s">
        <v>263</v>
      </c>
      <c r="E96" s="14" t="s">
        <v>264</v>
      </c>
      <c r="F96" s="5"/>
      <c r="G96" s="14" t="s">
        <v>265</v>
      </c>
      <c r="H96" s="5" t="n">
        <f aca="false">(COUNTIF(J96:EC96,"=0")+COUNTIF(J96:EC96,"=1"))</f>
        <v>1</v>
      </c>
      <c r="I96" s="15" t="n">
        <f aca="false">IFERROR(ROUND(10-AVERAGE(J96:EC96)*10,0),0)</f>
        <v>0</v>
      </c>
      <c r="J96" s="5"/>
      <c r="K96" s="5"/>
      <c r="L96" s="5"/>
      <c r="M96" s="5"/>
      <c r="N96" s="5"/>
      <c r="O96" s="5"/>
      <c r="P96" s="5" t="n">
        <v>1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customFormat="false" ht="15.75" hidden="false" customHeight="false" outlineLevel="0" collapsed="false">
      <c r="A97" s="5" t="s">
        <v>252</v>
      </c>
      <c r="B97" s="5" t="s">
        <v>261</v>
      </c>
      <c r="C97" s="5" t="s">
        <v>266</v>
      </c>
      <c r="D97" s="5" t="s">
        <v>267</v>
      </c>
      <c r="E97" s="14" t="s">
        <v>268</v>
      </c>
      <c r="F97" s="5"/>
      <c r="G97" s="14" t="s">
        <v>269</v>
      </c>
      <c r="H97" s="5" t="n">
        <f aca="false">(COUNTIF(J97:EC97,"=0")+COUNTIF(J97:EC97,"=1"))</f>
        <v>1</v>
      </c>
      <c r="I97" s="15" t="n">
        <f aca="false">IFERROR(ROUND(10-AVERAGE(J97:EC97)*10,0),0)</f>
        <v>0</v>
      </c>
      <c r="J97" s="5"/>
      <c r="K97" s="5"/>
      <c r="L97" s="5"/>
      <c r="M97" s="5"/>
      <c r="N97" s="5"/>
      <c r="O97" s="5"/>
      <c r="P97" s="5" t="n">
        <v>1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customFormat="false" ht="15.75" hidden="false" customHeight="false" outlineLevel="0" collapsed="false">
      <c r="A98" s="5" t="s">
        <v>252</v>
      </c>
      <c r="B98" s="5" t="s">
        <v>261</v>
      </c>
      <c r="C98" s="5" t="s">
        <v>270</v>
      </c>
      <c r="D98" s="5" t="s">
        <v>271</v>
      </c>
      <c r="E98" s="14" t="s">
        <v>272</v>
      </c>
      <c r="F98" s="5"/>
      <c r="G98" s="14" t="s">
        <v>273</v>
      </c>
      <c r="H98" s="5" t="n">
        <f aca="false">(COUNTIF(J98:EC98,"=0")+COUNTIF(J98:EC98,"=1"))</f>
        <v>1</v>
      </c>
      <c r="I98" s="15" t="n">
        <f aca="false">IFERROR(ROUND(10-AVERAGE(J98:EC98)*10,0),0)</f>
        <v>0</v>
      </c>
      <c r="J98" s="5"/>
      <c r="K98" s="5"/>
      <c r="L98" s="5"/>
      <c r="M98" s="5"/>
      <c r="N98" s="5"/>
      <c r="O98" s="5"/>
      <c r="P98" s="5" t="n">
        <v>1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customFormat="false" ht="15.75" hidden="false" customHeight="false" outlineLevel="0" collapsed="false">
      <c r="A99" s="5" t="s">
        <v>252</v>
      </c>
      <c r="B99" s="5" t="s">
        <v>261</v>
      </c>
      <c r="C99" s="24" t="s">
        <v>274</v>
      </c>
      <c r="D99" s="5"/>
      <c r="E99" s="5"/>
      <c r="F99" s="5"/>
      <c r="G99" s="9" t="s">
        <v>275</v>
      </c>
      <c r="H99" s="5" t="n">
        <f aca="false">(COUNTIF(J99:EC99,"=0")+COUNTIF(J99:EC99,"=1"))</f>
        <v>10</v>
      </c>
      <c r="I99" s="17" t="n">
        <f aca="false">IFERROR(ROUND(10-AVERAGE(J99:EC99)*10,0),0)</f>
        <v>9</v>
      </c>
      <c r="J99" s="11" t="n">
        <v>0</v>
      </c>
      <c r="K99" s="11" t="n">
        <v>0</v>
      </c>
      <c r="L99" s="5"/>
      <c r="M99" s="5"/>
      <c r="N99" s="5"/>
      <c r="O99" s="11" t="n">
        <v>0</v>
      </c>
      <c r="P99" s="11" t="n">
        <v>1</v>
      </c>
      <c r="Q99" s="11" t="n">
        <v>0</v>
      </c>
      <c r="R99" s="5"/>
      <c r="S99" s="11" t="n">
        <v>0</v>
      </c>
      <c r="T99" s="11" t="n">
        <v>0</v>
      </c>
      <c r="U99" s="11" t="n">
        <v>0</v>
      </c>
      <c r="V99" s="5"/>
      <c r="W99" s="11" t="n">
        <v>0</v>
      </c>
      <c r="X99" s="11" t="n">
        <v>0</v>
      </c>
      <c r="Y99" s="5"/>
      <c r="Z99" s="5"/>
      <c r="AA99" s="5"/>
      <c r="AB99" s="5"/>
    </row>
    <row r="100" customFormat="false" ht="15.75" hidden="false" customHeight="false" outlineLevel="0" collapsed="false">
      <c r="A100" s="5" t="s">
        <v>276</v>
      </c>
      <c r="B100" s="5" t="s">
        <v>276</v>
      </c>
      <c r="C100" s="5" t="s">
        <v>277</v>
      </c>
      <c r="D100" s="5" t="s">
        <v>278</v>
      </c>
      <c r="E100" s="14" t="s">
        <v>279</v>
      </c>
      <c r="F100" s="5"/>
      <c r="G100" s="14" t="s">
        <v>280</v>
      </c>
      <c r="H100" s="5" t="n">
        <f aca="false">(COUNTIF(J100:EC100,"=0")+COUNTIF(J100:EC100,"=1"))</f>
        <v>1</v>
      </c>
      <c r="I100" s="15" t="n">
        <f aca="false">IFERROR(ROUND(10-AVERAGE(J100:EC100)*10,0),0)</f>
        <v>0</v>
      </c>
      <c r="J100" s="5"/>
      <c r="K100" s="5"/>
      <c r="L100" s="5"/>
      <c r="M100" s="5"/>
      <c r="N100" s="5"/>
      <c r="O100" s="5"/>
      <c r="P100" s="5" t="n">
        <v>1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customFormat="false" ht="15.75" hidden="false" customHeight="false" outlineLevel="0" collapsed="false">
      <c r="A101" s="5" t="s">
        <v>276</v>
      </c>
      <c r="B101" s="5" t="s">
        <v>276</v>
      </c>
      <c r="C101" s="5" t="s">
        <v>281</v>
      </c>
      <c r="D101" s="5" t="s">
        <v>282</v>
      </c>
      <c r="E101" s="14" t="s">
        <v>283</v>
      </c>
      <c r="F101" s="5"/>
      <c r="G101" s="14" t="s">
        <v>284</v>
      </c>
      <c r="H101" s="5" t="n">
        <f aca="false">(COUNTIF(J101:EC101,"=0")+COUNTIF(J101:EC101,"=1"))</f>
        <v>1</v>
      </c>
      <c r="I101" s="15" t="n">
        <f aca="false">IFERROR(ROUND(10-AVERAGE(J101:EC101)*10,0),0)</f>
        <v>0</v>
      </c>
      <c r="J101" s="5"/>
      <c r="K101" s="5"/>
      <c r="L101" s="5"/>
      <c r="M101" s="5"/>
      <c r="N101" s="5"/>
      <c r="O101" s="5"/>
      <c r="P101" s="5" t="n">
        <v>1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customFormat="false" ht="15.75" hidden="false" customHeight="false" outlineLevel="0" collapsed="false">
      <c r="A102" s="5" t="s">
        <v>276</v>
      </c>
      <c r="B102" s="5" t="s">
        <v>276</v>
      </c>
      <c r="C102" s="5" t="s">
        <v>285</v>
      </c>
      <c r="D102" s="5" t="s">
        <v>286</v>
      </c>
      <c r="E102" s="5"/>
      <c r="F102" s="5"/>
      <c r="G102" s="9" t="s">
        <v>287</v>
      </c>
      <c r="H102" s="5" t="n">
        <f aca="false">(COUNTIF(J102:EC102,"=0")+COUNTIF(J102:EC102,"=1"))</f>
        <v>8</v>
      </c>
      <c r="I102" s="17" t="n">
        <f aca="false">IFERROR(ROUND(10-AVERAGE(J102:EC102)*10,0),0)</f>
        <v>9</v>
      </c>
      <c r="J102" s="11" t="n">
        <v>0</v>
      </c>
      <c r="K102" s="11" t="n">
        <v>0</v>
      </c>
      <c r="L102" s="5"/>
      <c r="M102" s="5"/>
      <c r="N102" s="5"/>
      <c r="O102" s="5"/>
      <c r="P102" s="11" t="n">
        <v>1</v>
      </c>
      <c r="Q102" s="5" t="n">
        <v>0</v>
      </c>
      <c r="R102" s="5"/>
      <c r="S102" s="5"/>
      <c r="T102" s="11" t="n">
        <v>0</v>
      </c>
      <c r="U102" s="11" t="n">
        <v>0</v>
      </c>
      <c r="V102" s="5"/>
      <c r="W102" s="11" t="n">
        <v>0</v>
      </c>
      <c r="X102" s="11" t="n">
        <v>0</v>
      </c>
      <c r="Y102" s="5"/>
      <c r="Z102" s="5"/>
      <c r="AA102" s="5"/>
      <c r="AB102" s="5"/>
    </row>
    <row r="103" customFormat="false" ht="15.75" hidden="false" customHeight="false" outlineLevel="0" collapsed="false">
      <c r="A103" s="5" t="s">
        <v>276</v>
      </c>
      <c r="B103" s="5" t="s">
        <v>288</v>
      </c>
      <c r="C103" s="5" t="s">
        <v>289</v>
      </c>
      <c r="D103" s="5" t="s">
        <v>290</v>
      </c>
      <c r="E103" s="5"/>
      <c r="F103" s="5"/>
      <c r="G103" s="9" t="s">
        <v>291</v>
      </c>
      <c r="H103" s="5" t="n">
        <f aca="false">(COUNTIF(J103:EC103,"=0")+COUNTIF(J103:EC103,"=1"))</f>
        <v>8</v>
      </c>
      <c r="I103" s="17" t="n">
        <f aca="false">IFERROR(ROUND(10-AVERAGE(J103:EC103)*10,0),0)</f>
        <v>9</v>
      </c>
      <c r="J103" s="11" t="n">
        <v>0</v>
      </c>
      <c r="K103" s="11" t="n">
        <v>0</v>
      </c>
      <c r="L103" s="5"/>
      <c r="M103" s="5"/>
      <c r="N103" s="5"/>
      <c r="O103" s="5"/>
      <c r="P103" s="11" t="n">
        <v>1</v>
      </c>
      <c r="Q103" s="5" t="n">
        <v>0</v>
      </c>
      <c r="R103" s="5"/>
      <c r="S103" s="5"/>
      <c r="T103" s="11" t="n">
        <v>0</v>
      </c>
      <c r="U103" s="11" t="n">
        <v>0</v>
      </c>
      <c r="V103" s="5"/>
      <c r="W103" s="11" t="n">
        <v>0</v>
      </c>
      <c r="X103" s="11" t="n">
        <v>0</v>
      </c>
      <c r="Y103" s="5"/>
      <c r="Z103" s="5"/>
      <c r="AA103" s="5"/>
      <c r="AB103" s="5"/>
    </row>
    <row r="104" customFormat="false" ht="15.75" hidden="false" customHeight="false" outlineLevel="0" collapsed="false">
      <c r="A104" s="5" t="s">
        <v>292</v>
      </c>
      <c r="B104" s="5" t="s">
        <v>292</v>
      </c>
      <c r="C104" s="5" t="s">
        <v>293</v>
      </c>
      <c r="D104" s="5"/>
      <c r="E104" s="5"/>
      <c r="F104" s="5"/>
      <c r="G104" s="9" t="s">
        <v>294</v>
      </c>
      <c r="H104" s="5" t="n">
        <f aca="false">(COUNTIF(J104:EC104,"=0")+COUNTIF(J104:EC104,"=1"))</f>
        <v>6</v>
      </c>
      <c r="I104" s="12" t="n">
        <f aca="false">IFERROR(ROUND(10-AVERAGE(J104:EC104)*10,0),0)</f>
        <v>7</v>
      </c>
      <c r="J104" s="11" t="n">
        <v>0</v>
      </c>
      <c r="K104" s="11" t="n">
        <v>0</v>
      </c>
      <c r="L104" s="5"/>
      <c r="M104" s="5"/>
      <c r="N104" s="5"/>
      <c r="O104" s="5"/>
      <c r="P104" s="11" t="n">
        <v>1</v>
      </c>
      <c r="Q104" s="5"/>
      <c r="R104" s="5"/>
      <c r="S104" s="5"/>
      <c r="T104" s="11" t="n">
        <v>0</v>
      </c>
      <c r="U104" s="5"/>
      <c r="V104" s="5"/>
      <c r="W104" s="11" t="n">
        <v>0</v>
      </c>
      <c r="X104" s="11" t="n">
        <v>1</v>
      </c>
      <c r="Y104" s="5"/>
      <c r="Z104" s="5"/>
      <c r="AA104" s="5"/>
      <c r="AB104" s="5"/>
    </row>
    <row r="105" customFormat="false" ht="15.75" hidden="false" customHeight="false" outlineLevel="0" collapsed="false">
      <c r="A105" s="5" t="s">
        <v>292</v>
      </c>
      <c r="B105" s="5" t="s">
        <v>292</v>
      </c>
      <c r="C105" s="5" t="s">
        <v>295</v>
      </c>
      <c r="D105" s="5"/>
      <c r="E105" s="5"/>
      <c r="F105" s="5"/>
      <c r="G105" s="9" t="s">
        <v>296</v>
      </c>
      <c r="H105" s="5" t="n">
        <f aca="false">(COUNTIF(J105:EC105,"=0")+COUNTIF(J105:EC105,"=1"))</f>
        <v>6</v>
      </c>
      <c r="I105" s="12" t="n">
        <f aca="false">IFERROR(ROUND(10-AVERAGE(J105:EC105)*10,0),0)</f>
        <v>7</v>
      </c>
      <c r="J105" s="11" t="n">
        <v>0</v>
      </c>
      <c r="K105" s="11" t="n">
        <v>0</v>
      </c>
      <c r="L105" s="5"/>
      <c r="M105" s="5"/>
      <c r="N105" s="5"/>
      <c r="O105" s="5"/>
      <c r="P105" s="11" t="n">
        <v>1</v>
      </c>
      <c r="Q105" s="5"/>
      <c r="R105" s="5"/>
      <c r="S105" s="5"/>
      <c r="T105" s="11" t="n">
        <v>0</v>
      </c>
      <c r="U105" s="5"/>
      <c r="V105" s="5"/>
      <c r="W105" s="11" t="n">
        <v>0</v>
      </c>
      <c r="X105" s="11" t="n">
        <v>1</v>
      </c>
      <c r="Y105" s="5"/>
      <c r="Z105" s="5"/>
      <c r="AA105" s="5"/>
      <c r="AB105" s="5"/>
    </row>
    <row r="106" customFormat="false" ht="15.75" hidden="false" customHeight="false" outlineLevel="0" collapsed="false">
      <c r="A106" s="5" t="s">
        <v>292</v>
      </c>
      <c r="B106" s="5" t="s">
        <v>292</v>
      </c>
      <c r="C106" s="5" t="s">
        <v>297</v>
      </c>
      <c r="D106" s="5"/>
      <c r="E106" s="5"/>
      <c r="F106" s="5"/>
      <c r="G106" s="9" t="s">
        <v>298</v>
      </c>
      <c r="H106" s="5" t="n">
        <f aca="false">(COUNTIF(J106:EC106,"=0")+COUNTIF(J106:EC106,"=1"))</f>
        <v>6</v>
      </c>
      <c r="I106" s="12" t="n">
        <f aca="false">IFERROR(ROUND(10-AVERAGE(J106:EC106)*10,0),0)</f>
        <v>7</v>
      </c>
      <c r="J106" s="11" t="n">
        <v>0</v>
      </c>
      <c r="K106" s="11" t="n">
        <v>0</v>
      </c>
      <c r="L106" s="5"/>
      <c r="M106" s="5"/>
      <c r="N106" s="5"/>
      <c r="O106" s="5"/>
      <c r="P106" s="11" t="n">
        <v>1</v>
      </c>
      <c r="Q106" s="5"/>
      <c r="R106" s="5"/>
      <c r="S106" s="5"/>
      <c r="T106" s="11" t="n">
        <v>0</v>
      </c>
      <c r="U106" s="5"/>
      <c r="V106" s="5"/>
      <c r="W106" s="11" t="n">
        <v>0</v>
      </c>
      <c r="X106" s="11" t="n">
        <v>1</v>
      </c>
      <c r="Y106" s="5"/>
      <c r="Z106" s="5"/>
      <c r="AA106" s="5"/>
      <c r="AB106" s="5"/>
    </row>
    <row r="107" customFormat="false" ht="15.75" hidden="false" customHeight="false" outlineLevel="0" collapsed="false">
      <c r="A107" s="5" t="s">
        <v>292</v>
      </c>
      <c r="B107" s="5" t="s">
        <v>292</v>
      </c>
      <c r="C107" s="5" t="s">
        <v>299</v>
      </c>
      <c r="D107" s="5"/>
      <c r="E107" s="5"/>
      <c r="F107" s="5"/>
      <c r="G107" s="9" t="s">
        <v>300</v>
      </c>
      <c r="H107" s="5" t="n">
        <f aca="false">(COUNTIF(J107:EC107,"=0")+COUNTIF(J107:EC107,"=1"))</f>
        <v>6</v>
      </c>
      <c r="I107" s="12" t="n">
        <f aca="false">IFERROR(ROUND(10-AVERAGE(J107:EC107)*10,0),0)</f>
        <v>7</v>
      </c>
      <c r="J107" s="11" t="n">
        <v>0</v>
      </c>
      <c r="K107" s="11" t="n">
        <v>0</v>
      </c>
      <c r="L107" s="5"/>
      <c r="M107" s="5"/>
      <c r="N107" s="5"/>
      <c r="O107" s="5"/>
      <c r="P107" s="11" t="n">
        <v>1</v>
      </c>
      <c r="Q107" s="5"/>
      <c r="R107" s="5"/>
      <c r="S107" s="5"/>
      <c r="T107" s="11" t="n">
        <v>0</v>
      </c>
      <c r="U107" s="5"/>
      <c r="V107" s="5"/>
      <c r="W107" s="11" t="n">
        <v>0</v>
      </c>
      <c r="X107" s="11" t="n">
        <v>1</v>
      </c>
      <c r="Y107" s="5"/>
      <c r="Z107" s="5"/>
      <c r="AA107" s="5"/>
      <c r="AB107" s="5"/>
    </row>
    <row r="108" customFormat="false" ht="15.75" hidden="false" customHeight="false" outlineLevel="0" collapsed="false">
      <c r="A108" s="5" t="s">
        <v>292</v>
      </c>
      <c r="B108" s="5" t="s">
        <v>292</v>
      </c>
      <c r="C108" s="5" t="s">
        <v>301</v>
      </c>
      <c r="D108" s="5"/>
      <c r="E108" s="14" t="s">
        <v>302</v>
      </c>
      <c r="F108" s="5"/>
      <c r="G108" s="5"/>
      <c r="H108" s="5" t="n">
        <f aca="false">(COUNTIF(J108:EC108,"=0")+COUNTIF(J108:EC108,"=1"))</f>
        <v>1</v>
      </c>
      <c r="I108" s="21" t="n">
        <f aca="false">IFERROR(ROUND(10-AVERAGE(J108:EC108)*10,0),0)</f>
        <v>0</v>
      </c>
      <c r="J108" s="5"/>
      <c r="K108" s="5"/>
      <c r="L108" s="5"/>
      <c r="M108" s="5"/>
      <c r="N108" s="5"/>
      <c r="O108" s="5"/>
      <c r="P108" s="5" t="n">
        <v>1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customFormat="false" ht="15.75" hidden="false" customHeight="false" outlineLevel="0" collapsed="false">
      <c r="A109" s="5" t="s">
        <v>292</v>
      </c>
      <c r="B109" s="5" t="s">
        <v>292</v>
      </c>
      <c r="C109" s="5" t="s">
        <v>303</v>
      </c>
      <c r="D109" s="5"/>
      <c r="E109" s="5"/>
      <c r="F109" s="5"/>
      <c r="G109" s="9" t="s">
        <v>304</v>
      </c>
      <c r="H109" s="5" t="n">
        <f aca="false">(COUNTIF(J109:EC109,"=0")+COUNTIF(J109:EC109,"=1"))</f>
        <v>7</v>
      </c>
      <c r="I109" s="12" t="n">
        <f aca="false">IFERROR(ROUND(10-AVERAGE(J109:EC109)*10,0),0)</f>
        <v>7</v>
      </c>
      <c r="J109" s="11" t="n">
        <v>0</v>
      </c>
      <c r="K109" s="11" t="n">
        <v>0</v>
      </c>
      <c r="L109" s="5"/>
      <c r="M109" s="5"/>
      <c r="N109" s="5"/>
      <c r="O109" s="5"/>
      <c r="P109" s="11" t="n">
        <v>1</v>
      </c>
      <c r="Q109" s="5" t="n">
        <v>0</v>
      </c>
      <c r="R109" s="5"/>
      <c r="S109" s="5"/>
      <c r="T109" s="11" t="n">
        <v>0</v>
      </c>
      <c r="U109" s="5"/>
      <c r="V109" s="5"/>
      <c r="W109" s="11" t="n">
        <v>0</v>
      </c>
      <c r="X109" s="11" t="n">
        <v>1</v>
      </c>
      <c r="Y109" s="5"/>
      <c r="Z109" s="5"/>
      <c r="AA109" s="5"/>
      <c r="AB109" s="5"/>
    </row>
    <row r="110" customFormat="false" ht="15.75" hidden="false" customHeight="false" outlineLevel="0" collapsed="false">
      <c r="A110" s="5" t="s">
        <v>292</v>
      </c>
      <c r="B110" s="5" t="s">
        <v>292</v>
      </c>
      <c r="C110" s="5" t="s">
        <v>305</v>
      </c>
      <c r="D110" s="5"/>
      <c r="E110" s="5"/>
      <c r="F110" s="5"/>
      <c r="G110" s="9" t="s">
        <v>306</v>
      </c>
      <c r="H110" s="5" t="n">
        <f aca="false">(COUNTIF(J110:EC110,"=0")+COUNTIF(J110:EC110,"=1"))</f>
        <v>7</v>
      </c>
      <c r="I110" s="12" t="n">
        <f aca="false">IFERROR(ROUND(10-AVERAGE(J110:EC110)*10,0),0)</f>
        <v>7</v>
      </c>
      <c r="J110" s="11" t="n">
        <v>0</v>
      </c>
      <c r="K110" s="11" t="n">
        <v>0</v>
      </c>
      <c r="L110" s="5"/>
      <c r="M110" s="5"/>
      <c r="N110" s="5"/>
      <c r="O110" s="5"/>
      <c r="P110" s="11" t="n">
        <v>1</v>
      </c>
      <c r="Q110" s="5" t="n">
        <v>0</v>
      </c>
      <c r="R110" s="5"/>
      <c r="S110" s="5"/>
      <c r="T110" s="11" t="n">
        <v>0</v>
      </c>
      <c r="U110" s="5"/>
      <c r="V110" s="5"/>
      <c r="W110" s="11" t="n">
        <v>0</v>
      </c>
      <c r="X110" s="11" t="n">
        <v>1</v>
      </c>
      <c r="Y110" s="5"/>
      <c r="Z110" s="5"/>
      <c r="AA110" s="5"/>
      <c r="AB110" s="5"/>
    </row>
    <row r="111" customFormat="false" ht="15.75" hidden="false" customHeight="false" outlineLevel="0" collapsed="false">
      <c r="A111" s="5" t="s">
        <v>307</v>
      </c>
      <c r="B111" s="5" t="s">
        <v>308</v>
      </c>
      <c r="C111" s="5" t="s">
        <v>309</v>
      </c>
      <c r="D111" s="5"/>
      <c r="E111" s="5"/>
      <c r="F111" s="5"/>
      <c r="G111" s="9" t="s">
        <v>310</v>
      </c>
      <c r="H111" s="5" t="n">
        <f aca="false">(COUNTIF(J111:EC111,"=0")+COUNTIF(J111:EC111,"=1"))</f>
        <v>7</v>
      </c>
      <c r="I111" s="15" t="n">
        <f aca="false">IFERROR(ROUND(10-AVERAGE(J111:EC111)*10,0),0)</f>
        <v>6</v>
      </c>
      <c r="J111" s="11" t="n">
        <v>0</v>
      </c>
      <c r="K111" s="11" t="n">
        <v>0</v>
      </c>
      <c r="L111" s="5"/>
      <c r="M111" s="5"/>
      <c r="N111" s="5"/>
      <c r="O111" s="5"/>
      <c r="P111" s="11" t="n">
        <v>1</v>
      </c>
      <c r="Q111" s="5"/>
      <c r="R111" s="5"/>
      <c r="S111" s="5"/>
      <c r="T111" s="11" t="n">
        <v>1</v>
      </c>
      <c r="U111" s="11" t="n">
        <v>1</v>
      </c>
      <c r="V111" s="5"/>
      <c r="W111" s="11" t="n">
        <v>0</v>
      </c>
      <c r="X111" s="11" t="n">
        <v>0</v>
      </c>
      <c r="Y111" s="5"/>
      <c r="Z111" s="5"/>
      <c r="AA111" s="5"/>
      <c r="AB111" s="5"/>
    </row>
    <row r="112" customFormat="false" ht="15.75" hidden="false" customHeight="false" outlineLevel="0" collapsed="false">
      <c r="A112" s="5" t="s">
        <v>307</v>
      </c>
      <c r="B112" s="5" t="s">
        <v>308</v>
      </c>
      <c r="C112" s="5" t="s">
        <v>311</v>
      </c>
      <c r="D112" s="5"/>
      <c r="E112" s="5"/>
      <c r="F112" s="5"/>
      <c r="G112" s="9" t="s">
        <v>312</v>
      </c>
      <c r="H112" s="5" t="n">
        <f aca="false">(COUNTIF(J112:EC112,"=0")+COUNTIF(J112:EC112,"=1"))</f>
        <v>7</v>
      </c>
      <c r="I112" s="15" t="n">
        <f aca="false">IFERROR(ROUND(10-AVERAGE(J112:EC112)*10,0),0)</f>
        <v>6</v>
      </c>
      <c r="J112" s="11" t="n">
        <v>0</v>
      </c>
      <c r="K112" s="11" t="n">
        <v>0</v>
      </c>
      <c r="L112" s="5"/>
      <c r="M112" s="5"/>
      <c r="N112" s="5"/>
      <c r="O112" s="5"/>
      <c r="P112" s="11" t="n">
        <v>1</v>
      </c>
      <c r="Q112" s="5"/>
      <c r="R112" s="5"/>
      <c r="S112" s="5"/>
      <c r="T112" s="11" t="n">
        <v>1</v>
      </c>
      <c r="U112" s="11" t="n">
        <v>1</v>
      </c>
      <c r="V112" s="5"/>
      <c r="W112" s="11" t="n">
        <v>0</v>
      </c>
      <c r="X112" s="11" t="n">
        <v>0</v>
      </c>
      <c r="Y112" s="5"/>
      <c r="Z112" s="5"/>
      <c r="AA112" s="5"/>
      <c r="AB112" s="5"/>
    </row>
    <row r="113" customFormat="false" ht="15.75" hidden="false" customHeight="false" outlineLevel="0" collapsed="false">
      <c r="A113" s="5" t="s">
        <v>307</v>
      </c>
      <c r="B113" s="5" t="s">
        <v>308</v>
      </c>
      <c r="C113" s="5" t="s">
        <v>313</v>
      </c>
      <c r="D113" s="5"/>
      <c r="E113" s="5"/>
      <c r="F113" s="5"/>
      <c r="G113" s="9" t="s">
        <v>314</v>
      </c>
      <c r="H113" s="5" t="n">
        <f aca="false">(COUNTIF(J113:EC113,"=0")+COUNTIF(J113:EC113,"=1"))</f>
        <v>8</v>
      </c>
      <c r="I113" s="15" t="n">
        <f aca="false">IFERROR(ROUND(10-AVERAGE(J113:EC113)*10,0),0)</f>
        <v>6</v>
      </c>
      <c r="J113" s="11" t="n">
        <v>0</v>
      </c>
      <c r="K113" s="11" t="n">
        <v>0</v>
      </c>
      <c r="L113" s="5"/>
      <c r="M113" s="5"/>
      <c r="N113" s="5"/>
      <c r="O113" s="5"/>
      <c r="P113" s="11" t="n">
        <v>1</v>
      </c>
      <c r="Q113" s="5" t="n">
        <v>0</v>
      </c>
      <c r="R113" s="5"/>
      <c r="S113" s="5"/>
      <c r="T113" s="11" t="n">
        <v>1</v>
      </c>
      <c r="U113" s="11" t="n">
        <v>1</v>
      </c>
      <c r="V113" s="5"/>
      <c r="W113" s="11" t="n">
        <v>0</v>
      </c>
      <c r="X113" s="11" t="n">
        <v>0</v>
      </c>
      <c r="Y113" s="5"/>
      <c r="Z113" s="5"/>
      <c r="AA113" s="5"/>
      <c r="AB113" s="5"/>
    </row>
    <row r="114" customFormat="false" ht="15.75" hidden="false" customHeight="false" outlineLevel="0" collapsed="false">
      <c r="A114" s="5" t="s">
        <v>307</v>
      </c>
      <c r="B114" s="5" t="s">
        <v>308</v>
      </c>
      <c r="C114" s="5" t="s">
        <v>315</v>
      </c>
      <c r="D114" s="5"/>
      <c r="E114" s="5"/>
      <c r="F114" s="5"/>
      <c r="G114" s="9" t="s">
        <v>316</v>
      </c>
      <c r="H114" s="5" t="n">
        <f aca="false">(COUNTIF(J114:EC114,"=0")+COUNTIF(J114:EC114,"=1"))</f>
        <v>7</v>
      </c>
      <c r="I114" s="15" t="n">
        <f aca="false">IFERROR(ROUND(10-AVERAGE(J114:EC114)*10,0),0)</f>
        <v>6</v>
      </c>
      <c r="J114" s="11" t="n">
        <v>0</v>
      </c>
      <c r="K114" s="11" t="n">
        <v>0</v>
      </c>
      <c r="L114" s="5"/>
      <c r="M114" s="5"/>
      <c r="N114" s="5"/>
      <c r="O114" s="5"/>
      <c r="P114" s="11" t="n">
        <v>1</v>
      </c>
      <c r="Q114" s="5"/>
      <c r="R114" s="5"/>
      <c r="S114" s="5"/>
      <c r="T114" s="11" t="n">
        <v>1</v>
      </c>
      <c r="U114" s="11" t="n">
        <v>1</v>
      </c>
      <c r="V114" s="5"/>
      <c r="W114" s="11" t="n">
        <v>0</v>
      </c>
      <c r="X114" s="11" t="n">
        <v>0</v>
      </c>
      <c r="Y114" s="5"/>
      <c r="Z114" s="5"/>
      <c r="AA114" s="5"/>
      <c r="AB114" s="5"/>
    </row>
    <row r="115" customFormat="false" ht="15.75" hidden="false" customHeight="false" outlineLevel="0" collapsed="false">
      <c r="A115" s="5" t="s">
        <v>307</v>
      </c>
      <c r="B115" s="5" t="s">
        <v>308</v>
      </c>
      <c r="C115" s="5" t="s">
        <v>317</v>
      </c>
      <c r="D115" s="5"/>
      <c r="E115" s="5"/>
      <c r="F115" s="5"/>
      <c r="G115" s="9" t="s">
        <v>318</v>
      </c>
      <c r="H115" s="5" t="n">
        <f aca="false">(COUNTIF(J115:EC115,"=0")+COUNTIF(J115:EC115,"=1"))</f>
        <v>8</v>
      </c>
      <c r="I115" s="15" t="n">
        <f aca="false">IFERROR(ROUND(10-AVERAGE(J115:EC115)*10,0),0)</f>
        <v>6</v>
      </c>
      <c r="J115" s="11" t="n">
        <v>0</v>
      </c>
      <c r="K115" s="11" t="n">
        <v>0</v>
      </c>
      <c r="L115" s="5"/>
      <c r="M115" s="5"/>
      <c r="N115" s="5"/>
      <c r="O115" s="5"/>
      <c r="P115" s="11" t="n">
        <v>1</v>
      </c>
      <c r="Q115" s="5"/>
      <c r="R115" s="5"/>
      <c r="S115" s="5"/>
      <c r="T115" s="11" t="n">
        <v>1</v>
      </c>
      <c r="U115" s="11" t="n">
        <v>1</v>
      </c>
      <c r="V115" s="5"/>
      <c r="W115" s="11" t="n">
        <v>0</v>
      </c>
      <c r="X115" s="11" t="n">
        <v>0</v>
      </c>
      <c r="Y115" s="5"/>
      <c r="Z115" s="5"/>
      <c r="AA115" s="11" t="n">
        <v>0</v>
      </c>
      <c r="AB115" s="5"/>
    </row>
    <row r="116" customFormat="false" ht="15.75" hidden="false" customHeight="false" outlineLevel="0" collapsed="false">
      <c r="A116" s="5" t="s">
        <v>307</v>
      </c>
      <c r="B116" s="5" t="s">
        <v>308</v>
      </c>
      <c r="C116" s="5" t="s">
        <v>319</v>
      </c>
      <c r="D116" s="5"/>
      <c r="E116" s="5"/>
      <c r="F116" s="5"/>
      <c r="G116" s="9" t="s">
        <v>320</v>
      </c>
      <c r="H116" s="5" t="n">
        <f aca="false">(COUNTIF(J116:EC116,"=0")+COUNTIF(J116:EC116,"=1"))</f>
        <v>8</v>
      </c>
      <c r="I116" s="15" t="n">
        <f aca="false">IFERROR(ROUND(10-AVERAGE(J116:EC116)*10,0),0)</f>
        <v>5</v>
      </c>
      <c r="J116" s="11" t="n">
        <v>0</v>
      </c>
      <c r="K116" s="11" t="n">
        <v>0</v>
      </c>
      <c r="L116" s="5"/>
      <c r="M116" s="5"/>
      <c r="N116" s="5"/>
      <c r="O116" s="5"/>
      <c r="P116" s="11" t="n">
        <v>1</v>
      </c>
      <c r="Q116" s="5"/>
      <c r="R116" s="5"/>
      <c r="S116" s="5"/>
      <c r="T116" s="11" t="n">
        <v>1</v>
      </c>
      <c r="U116" s="11" t="n">
        <v>1</v>
      </c>
      <c r="V116" s="5"/>
      <c r="W116" s="11" t="n">
        <v>0</v>
      </c>
      <c r="X116" s="11" t="n">
        <v>0</v>
      </c>
      <c r="Y116" s="5"/>
      <c r="Z116" s="5"/>
      <c r="AA116" s="5"/>
      <c r="AB116" s="5"/>
      <c r="AF116" s="5" t="n">
        <v>1</v>
      </c>
    </row>
    <row r="117" customFormat="false" ht="15.75" hidden="false" customHeight="false" outlineLevel="0" collapsed="false">
      <c r="A117" s="5" t="s">
        <v>321</v>
      </c>
      <c r="B117" s="5" t="s">
        <v>321</v>
      </c>
      <c r="C117" s="5" t="s">
        <v>322</v>
      </c>
      <c r="D117" s="5" t="s">
        <v>323</v>
      </c>
      <c r="E117" s="14" t="s">
        <v>324</v>
      </c>
      <c r="F117" s="5"/>
      <c r="G117" s="14" t="s">
        <v>325</v>
      </c>
      <c r="H117" s="5" t="n">
        <f aca="false">(COUNTIF(J117:EC117,"=0")+COUNTIF(J117:EC117,"=1"))</f>
        <v>8</v>
      </c>
      <c r="I117" s="12" t="n">
        <f aca="false">IFERROR(ROUND(10-AVERAGE(J117:EC117)*10,0),0)</f>
        <v>6</v>
      </c>
      <c r="J117" s="5" t="n">
        <v>0</v>
      </c>
      <c r="K117" s="11" t="n">
        <v>0</v>
      </c>
      <c r="L117" s="5"/>
      <c r="M117" s="5"/>
      <c r="N117" s="5"/>
      <c r="O117" s="5"/>
      <c r="P117" s="11" t="n">
        <v>1</v>
      </c>
      <c r="Q117" s="5" t="n">
        <v>1</v>
      </c>
      <c r="R117" s="5"/>
      <c r="S117" s="5"/>
      <c r="T117" s="11" t="n">
        <v>0</v>
      </c>
      <c r="U117" s="5"/>
      <c r="V117" s="5"/>
      <c r="W117" s="5" t="n">
        <v>1</v>
      </c>
      <c r="X117" s="5"/>
      <c r="Y117" s="5"/>
      <c r="Z117" s="11" t="n">
        <v>0</v>
      </c>
      <c r="AA117" s="5"/>
      <c r="AB117" s="5"/>
      <c r="AF117" s="5" t="n">
        <v>0</v>
      </c>
    </row>
    <row r="118" customFormat="false" ht="15.75" hidden="false" customHeight="false" outlineLevel="0" collapsed="false">
      <c r="A118" s="5" t="s">
        <v>321</v>
      </c>
      <c r="B118" s="5" t="s">
        <v>326</v>
      </c>
      <c r="C118" s="5" t="s">
        <v>327</v>
      </c>
      <c r="D118" s="5"/>
      <c r="E118" s="5"/>
      <c r="F118" s="5"/>
      <c r="G118" s="5"/>
      <c r="H118" s="5" t="n">
        <f aca="false">(COUNTIF(J118:EC118,"=0")+COUNTIF(J118:EC118,"=1"))</f>
        <v>6</v>
      </c>
      <c r="I118" s="10" t="n">
        <f aca="false">IFERROR(ROUND(10-AVERAGE(J118:EC118)*10,0),0)</f>
        <v>8</v>
      </c>
      <c r="J118" s="5" t="n">
        <v>0</v>
      </c>
      <c r="K118" s="11" t="n">
        <v>0</v>
      </c>
      <c r="L118" s="5"/>
      <c r="M118" s="5"/>
      <c r="N118" s="5"/>
      <c r="O118" s="5"/>
      <c r="P118" s="11" t="n">
        <v>0</v>
      </c>
      <c r="Q118" s="5" t="n">
        <v>1</v>
      </c>
      <c r="R118" s="5"/>
      <c r="S118" s="5"/>
      <c r="T118" s="11" t="n">
        <v>0</v>
      </c>
      <c r="U118" s="5"/>
      <c r="V118" s="5"/>
      <c r="W118" s="5"/>
      <c r="X118" s="5"/>
      <c r="Y118" s="5"/>
      <c r="Z118" s="11" t="n">
        <v>0</v>
      </c>
      <c r="AA118" s="5"/>
      <c r="AB118" s="5"/>
    </row>
    <row r="119" customFormat="false" ht="15.75" hidden="false" customHeight="false" outlineLevel="0" collapsed="false">
      <c r="A119" s="5" t="s">
        <v>328</v>
      </c>
      <c r="B119" s="5" t="s">
        <v>328</v>
      </c>
      <c r="C119" s="5" t="s">
        <v>329</v>
      </c>
      <c r="D119" s="5"/>
      <c r="E119" s="5"/>
      <c r="F119" s="5"/>
      <c r="G119" s="14" t="s">
        <v>330</v>
      </c>
      <c r="H119" s="5" t="n">
        <f aca="false">(COUNTIF(J119:EC119,"=0")+COUNTIF(J119:EC119,"=1"))</f>
        <v>1</v>
      </c>
      <c r="I119" s="15" t="n">
        <f aca="false">IFERROR(ROUND(10-AVERAGE(J119:EC119)*10,0),0)</f>
        <v>10</v>
      </c>
      <c r="J119" s="5"/>
      <c r="K119" s="5"/>
      <c r="L119" s="5"/>
      <c r="M119" s="5"/>
      <c r="N119" s="5"/>
      <c r="O119" s="5"/>
      <c r="P119" s="5" t="n"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customFormat="false" ht="15.75" hidden="false" customHeight="false" outlineLevel="0" collapsed="false">
      <c r="A120" s="5" t="s">
        <v>331</v>
      </c>
      <c r="B120" s="5" t="s">
        <v>331</v>
      </c>
      <c r="C120" s="5" t="s">
        <v>332</v>
      </c>
      <c r="D120" s="5"/>
      <c r="E120" s="5"/>
      <c r="F120" s="5"/>
      <c r="G120" s="9" t="s">
        <v>333</v>
      </c>
      <c r="H120" s="5" t="n">
        <f aca="false">(COUNTIF(J120:EC120,"=0")+COUNTIF(J120:EC120,"=1"))</f>
        <v>9</v>
      </c>
      <c r="I120" s="17" t="n">
        <f aca="false">IFERROR(ROUND(10-AVERAGE(J120:EC120)*10,0),0)</f>
        <v>9</v>
      </c>
      <c r="J120" s="11" t="n">
        <v>0</v>
      </c>
      <c r="K120" s="11" t="n">
        <v>0</v>
      </c>
      <c r="L120" s="5"/>
      <c r="M120" s="5"/>
      <c r="N120" s="5"/>
      <c r="O120" s="11" t="n">
        <v>1</v>
      </c>
      <c r="P120" s="11" t="n">
        <v>0</v>
      </c>
      <c r="Q120" s="5" t="n">
        <v>0</v>
      </c>
      <c r="R120" s="5"/>
      <c r="S120" s="5"/>
      <c r="T120" s="11" t="n">
        <v>0</v>
      </c>
      <c r="U120" s="11" t="n">
        <v>0</v>
      </c>
      <c r="V120" s="5"/>
      <c r="W120" s="11" t="n">
        <v>0</v>
      </c>
      <c r="X120" s="11" t="n">
        <v>0</v>
      </c>
      <c r="Y120" s="5"/>
      <c r="Z120" s="5"/>
      <c r="AA120" s="5"/>
      <c r="AB120" s="5"/>
    </row>
    <row r="121" customFormat="false" ht="15.75" hidden="false" customHeight="false" outlineLevel="0" collapsed="false">
      <c r="A121" s="5" t="s">
        <v>334</v>
      </c>
      <c r="B121" s="5" t="s">
        <v>335</v>
      </c>
      <c r="C121" s="5" t="s">
        <v>72</v>
      </c>
      <c r="D121" s="5"/>
      <c r="E121" s="5"/>
      <c r="F121" s="5"/>
      <c r="G121" s="9" t="s">
        <v>336</v>
      </c>
      <c r="H121" s="5" t="n">
        <f aca="false">(COUNTIF(J121:EC121,"=0")+COUNTIF(J121:EC121,"=1"))</f>
        <v>11</v>
      </c>
      <c r="I121" s="16" t="n">
        <f aca="false">IFERROR(ROUND(10-AVERAGE(J121:EC121)*10,0),0)</f>
        <v>6</v>
      </c>
      <c r="J121" s="11" t="n">
        <v>1</v>
      </c>
      <c r="K121" s="11" t="n">
        <v>0</v>
      </c>
      <c r="L121" s="5"/>
      <c r="M121" s="5"/>
      <c r="N121" s="5"/>
      <c r="O121" s="11" t="n">
        <v>1</v>
      </c>
      <c r="P121" s="11" t="n">
        <v>1</v>
      </c>
      <c r="Q121" s="11" t="n">
        <v>0</v>
      </c>
      <c r="R121" s="5"/>
      <c r="S121" s="11" t="n">
        <v>0</v>
      </c>
      <c r="T121" s="11" t="n">
        <v>0</v>
      </c>
      <c r="U121" s="11" t="n">
        <v>0</v>
      </c>
      <c r="V121" s="5"/>
      <c r="W121" s="11" t="n">
        <v>0</v>
      </c>
      <c r="X121" s="11" t="n">
        <v>0</v>
      </c>
      <c r="Y121" s="5"/>
      <c r="Z121" s="5"/>
      <c r="AA121" s="5"/>
      <c r="AB121" s="5"/>
      <c r="AF121" s="5" t="n">
        <v>1</v>
      </c>
    </row>
    <row r="122" customFormat="false" ht="15.75" hidden="false" customHeight="false" outlineLevel="0" collapsed="false">
      <c r="A122" s="5" t="s">
        <v>337</v>
      </c>
      <c r="B122" s="5" t="s">
        <v>337</v>
      </c>
      <c r="C122" s="5" t="s">
        <v>338</v>
      </c>
      <c r="D122" s="5"/>
      <c r="E122" s="5"/>
      <c r="F122" s="5"/>
      <c r="G122" s="5"/>
      <c r="H122" s="5" t="n">
        <f aca="false">(COUNTIF(J122:EC122,"=0")+COUNTIF(J122:EC122,"=1"))</f>
        <v>4</v>
      </c>
      <c r="I122" s="15" t="n">
        <f aca="false">IFERROR(ROUND(10-AVERAGE(J122:EC122)*10,0),0)</f>
        <v>8</v>
      </c>
      <c r="J122" s="11" t="n">
        <v>1</v>
      </c>
      <c r="K122" s="11" t="n">
        <v>0</v>
      </c>
      <c r="L122" s="5"/>
      <c r="M122" s="5"/>
      <c r="N122" s="5"/>
      <c r="O122" s="11"/>
      <c r="P122" s="11" t="n">
        <v>0</v>
      </c>
      <c r="Q122" s="11"/>
      <c r="R122" s="5"/>
      <c r="S122" s="5"/>
      <c r="T122" s="11"/>
      <c r="U122" s="5"/>
      <c r="V122" s="5"/>
      <c r="W122" s="5" t="n">
        <v>0</v>
      </c>
      <c r="X122" s="5"/>
      <c r="Y122" s="5"/>
      <c r="Z122" s="5"/>
      <c r="AA122" s="5"/>
      <c r="AB122" s="5"/>
    </row>
    <row r="123" customFormat="false" ht="15.75" hidden="false" customHeight="false" outlineLevel="0" collapsed="false">
      <c r="A123" s="5" t="s">
        <v>337</v>
      </c>
      <c r="B123" s="5" t="s">
        <v>337</v>
      </c>
      <c r="C123" s="5" t="s">
        <v>339</v>
      </c>
      <c r="D123" s="5"/>
      <c r="E123" s="5"/>
      <c r="F123" s="5"/>
      <c r="G123" s="5"/>
      <c r="H123" s="5" t="n">
        <f aca="false">(COUNTIF(J123:EC123,"=0")+COUNTIF(J123:EC123,"=1"))</f>
        <v>4</v>
      </c>
      <c r="I123" s="15" t="n">
        <f aca="false">IFERROR(ROUND(10-AVERAGE(J123:EC123)*10,0),0)</f>
        <v>5</v>
      </c>
      <c r="J123" s="11" t="n">
        <v>1</v>
      </c>
      <c r="K123" s="11" t="n">
        <v>0</v>
      </c>
      <c r="L123" s="5"/>
      <c r="M123" s="5"/>
      <c r="N123" s="5"/>
      <c r="O123" s="11"/>
      <c r="P123" s="11" t="n">
        <v>1</v>
      </c>
      <c r="Q123" s="11"/>
      <c r="R123" s="5"/>
      <c r="S123" s="5"/>
      <c r="T123" s="11"/>
      <c r="U123" s="5"/>
      <c r="V123" s="5"/>
      <c r="W123" s="5" t="n">
        <v>0</v>
      </c>
      <c r="X123" s="5"/>
      <c r="Y123" s="5"/>
      <c r="Z123" s="5"/>
      <c r="AA123" s="5"/>
      <c r="AB123" s="5"/>
    </row>
    <row r="124" customFormat="false" ht="15.75" hidden="false" customHeight="false" outlineLevel="0" collapsed="false">
      <c r="A124" s="5" t="s">
        <v>340</v>
      </c>
      <c r="B124" s="5" t="s">
        <v>340</v>
      </c>
      <c r="C124" s="5" t="s">
        <v>341</v>
      </c>
      <c r="D124" s="5"/>
      <c r="E124" s="5"/>
      <c r="F124" s="5"/>
      <c r="G124" s="9" t="s">
        <v>342</v>
      </c>
      <c r="H124" s="5" t="n">
        <f aca="false">(COUNTIF(J124:EC124,"=0")+COUNTIF(J124:EC124,"=1"))</f>
        <v>13</v>
      </c>
      <c r="I124" s="12" t="n">
        <f aca="false">IFERROR(ROUND(10-AVERAGE(J124:EC124)*10,0),0)</f>
        <v>8</v>
      </c>
      <c r="J124" s="11" t="n">
        <v>0</v>
      </c>
      <c r="K124" s="11" t="n">
        <v>0</v>
      </c>
      <c r="L124" s="11" t="n">
        <v>0</v>
      </c>
      <c r="M124" s="5"/>
      <c r="N124" s="5"/>
      <c r="O124" s="11" t="n">
        <v>1</v>
      </c>
      <c r="P124" s="11" t="n">
        <v>0</v>
      </c>
      <c r="Q124" s="11" t="n">
        <v>0</v>
      </c>
      <c r="R124" s="5"/>
      <c r="S124" s="11" t="n">
        <v>0</v>
      </c>
      <c r="T124" s="11" t="n">
        <v>0</v>
      </c>
      <c r="U124" s="11" t="n">
        <v>1</v>
      </c>
      <c r="V124" s="5"/>
      <c r="W124" s="11" t="n">
        <v>0</v>
      </c>
      <c r="X124" s="11" t="n">
        <v>0</v>
      </c>
      <c r="Y124" s="5"/>
      <c r="Z124" s="5"/>
      <c r="AA124" s="5"/>
      <c r="AB124" s="5"/>
      <c r="AC124" s="5" t="n">
        <v>0</v>
      </c>
      <c r="AF124" s="5" t="n">
        <v>0</v>
      </c>
    </row>
    <row r="125" customFormat="false" ht="15.75" hidden="false" customHeight="false" outlineLevel="0" collapsed="false">
      <c r="A125" s="5" t="s">
        <v>343</v>
      </c>
      <c r="B125" s="5" t="s">
        <v>343</v>
      </c>
      <c r="C125" s="5" t="s">
        <v>344</v>
      </c>
      <c r="D125" s="5"/>
      <c r="E125" s="5"/>
      <c r="F125" s="5"/>
      <c r="G125" s="9" t="s">
        <v>345</v>
      </c>
      <c r="H125" s="5" t="n">
        <f aca="false">(COUNTIF(J125:EC125,"=0")+COUNTIF(J125:EC125,"=1"))</f>
        <v>11</v>
      </c>
      <c r="I125" s="12" t="n">
        <f aca="false">IFERROR(ROUND(10-AVERAGE(J125:EC125)*10,0),0)</f>
        <v>8</v>
      </c>
      <c r="J125" s="11" t="n">
        <v>1</v>
      </c>
      <c r="K125" s="11" t="n">
        <v>0</v>
      </c>
      <c r="L125" s="11" t="n">
        <v>0</v>
      </c>
      <c r="M125" s="5"/>
      <c r="N125" s="5"/>
      <c r="O125" s="11" t="n">
        <v>1</v>
      </c>
      <c r="P125" s="11" t="n">
        <v>0</v>
      </c>
      <c r="Q125" s="11" t="n">
        <v>0</v>
      </c>
      <c r="R125" s="5"/>
      <c r="S125" s="11" t="n">
        <v>0</v>
      </c>
      <c r="T125" s="11" t="n">
        <v>0</v>
      </c>
      <c r="U125" s="11" t="n">
        <v>0</v>
      </c>
      <c r="V125" s="5"/>
      <c r="W125" s="11" t="n">
        <v>0</v>
      </c>
      <c r="X125" s="11" t="n">
        <v>0</v>
      </c>
      <c r="Y125" s="5"/>
      <c r="Z125" s="5"/>
      <c r="AA125" s="5"/>
      <c r="AB125" s="5"/>
    </row>
    <row r="126" customFormat="false" ht="15.75" hidden="false" customHeight="false" outlineLevel="0" collapsed="false">
      <c r="A126" s="5" t="s">
        <v>346</v>
      </c>
      <c r="B126" s="5" t="s">
        <v>346</v>
      </c>
      <c r="C126" s="5" t="s">
        <v>347</v>
      </c>
      <c r="D126" s="5"/>
      <c r="E126" s="5"/>
      <c r="F126" s="5"/>
      <c r="G126" s="9" t="s">
        <v>348</v>
      </c>
      <c r="H126" s="5" t="n">
        <f aca="false">(COUNTIF(J126:EC126,"=0")+COUNTIF(J126:EC126,"=1"))</f>
        <v>10</v>
      </c>
      <c r="I126" s="17" t="n">
        <f aca="false">IFERROR(ROUND(10-AVERAGE(J126:EC126)*10,0),0)</f>
        <v>9</v>
      </c>
      <c r="J126" s="11" t="n">
        <v>0</v>
      </c>
      <c r="K126" s="11" t="n">
        <v>0</v>
      </c>
      <c r="L126" s="5"/>
      <c r="M126" s="11" t="n">
        <v>0</v>
      </c>
      <c r="N126" s="5"/>
      <c r="O126" s="11" t="n">
        <v>1</v>
      </c>
      <c r="P126" s="11" t="n">
        <v>0</v>
      </c>
      <c r="Q126" s="11" t="n">
        <v>0</v>
      </c>
      <c r="R126" s="5"/>
      <c r="S126" s="5"/>
      <c r="T126" s="11" t="n">
        <v>0</v>
      </c>
      <c r="U126" s="11" t="n">
        <v>0</v>
      </c>
      <c r="V126" s="5"/>
      <c r="W126" s="11" t="n">
        <v>0</v>
      </c>
      <c r="X126" s="11" t="n">
        <v>0</v>
      </c>
      <c r="Y126" s="5"/>
      <c r="Z126" s="5"/>
      <c r="AA126" s="5"/>
      <c r="AB126" s="5"/>
    </row>
    <row r="127" customFormat="false" ht="15.75" hidden="false" customHeight="false" outlineLevel="0" collapsed="false">
      <c r="A127" s="5" t="s">
        <v>346</v>
      </c>
      <c r="B127" s="5" t="s">
        <v>346</v>
      </c>
      <c r="C127" s="5" t="s">
        <v>349</v>
      </c>
      <c r="D127" s="5"/>
      <c r="E127" s="5"/>
      <c r="F127" s="5"/>
      <c r="G127" s="5"/>
      <c r="H127" s="5" t="n">
        <f aca="false">(COUNTIF(J127:EC127,"=0")+COUNTIF(J127:EC127,"=1"))</f>
        <v>5</v>
      </c>
      <c r="I127" s="12" t="n">
        <f aca="false">IFERROR(ROUND(10-AVERAGE(J127:EC127)*10,0),0)</f>
        <v>8</v>
      </c>
      <c r="J127" s="11" t="n">
        <v>1</v>
      </c>
      <c r="K127" s="11" t="n">
        <v>0</v>
      </c>
      <c r="L127" s="11"/>
      <c r="M127" s="11"/>
      <c r="N127" s="5"/>
      <c r="O127" s="11"/>
      <c r="P127" s="11" t="n">
        <v>0</v>
      </c>
      <c r="Q127" s="11" t="n">
        <v>0</v>
      </c>
      <c r="R127" s="5"/>
      <c r="S127" s="11"/>
      <c r="T127" s="11"/>
      <c r="U127" s="11"/>
      <c r="V127" s="5"/>
      <c r="W127" s="11"/>
      <c r="X127" s="11"/>
      <c r="Y127" s="5"/>
      <c r="Z127" s="5"/>
      <c r="AA127" s="5"/>
      <c r="AB127" s="5"/>
      <c r="AD127" s="5" t="n">
        <v>0</v>
      </c>
    </row>
    <row r="128" customFormat="false" ht="15.75" hidden="false" customHeight="false" outlineLevel="0" collapsed="false">
      <c r="A128" s="5" t="s">
        <v>346</v>
      </c>
      <c r="B128" s="5" t="s">
        <v>346</v>
      </c>
      <c r="C128" s="5" t="s">
        <v>350</v>
      </c>
      <c r="D128" s="5"/>
      <c r="E128" s="5"/>
      <c r="F128" s="5"/>
      <c r="G128" s="9" t="s">
        <v>351</v>
      </c>
      <c r="H128" s="5" t="n">
        <f aca="false">(COUNTIF(J128:EC128,"=0")+COUNTIF(J128:EC128,"=1"))</f>
        <v>12</v>
      </c>
      <c r="I128" s="12" t="n">
        <f aca="false">IFERROR(ROUND(10-AVERAGE(J128:EC128)*10,0),0)</f>
        <v>8</v>
      </c>
      <c r="J128" s="11" t="n">
        <v>1</v>
      </c>
      <c r="K128" s="11" t="n">
        <v>0</v>
      </c>
      <c r="L128" s="11" t="n">
        <v>0</v>
      </c>
      <c r="M128" s="11" t="n">
        <v>0</v>
      </c>
      <c r="N128" s="5"/>
      <c r="O128" s="11" t="n">
        <v>1</v>
      </c>
      <c r="P128" s="11" t="n">
        <v>0</v>
      </c>
      <c r="Q128" s="11" t="n">
        <v>0</v>
      </c>
      <c r="R128" s="5"/>
      <c r="S128" s="11" t="n">
        <v>0</v>
      </c>
      <c r="T128" s="11" t="n">
        <v>0</v>
      </c>
      <c r="U128" s="11" t="n">
        <v>0</v>
      </c>
      <c r="V128" s="5"/>
      <c r="W128" s="11" t="n">
        <v>0</v>
      </c>
      <c r="X128" s="11" t="n">
        <v>0</v>
      </c>
      <c r="Y128" s="5"/>
      <c r="Z128" s="5"/>
      <c r="AA128" s="5"/>
      <c r="AB128" s="5"/>
    </row>
    <row r="129" customFormat="false" ht="15.75" hidden="false" customHeight="false" outlineLevel="0" collapsed="false">
      <c r="A129" s="5" t="s">
        <v>346</v>
      </c>
      <c r="B129" s="5" t="s">
        <v>346</v>
      </c>
      <c r="C129" s="5" t="s">
        <v>352</v>
      </c>
      <c r="D129" s="5"/>
      <c r="E129" s="22"/>
      <c r="F129" s="22"/>
      <c r="G129" s="22"/>
      <c r="H129" s="5" t="n">
        <f aca="false">(COUNTIF(J129:EC129,"=0")+COUNTIF(J129:EC129,"=1"))</f>
        <v>10</v>
      </c>
      <c r="I129" s="12" t="n">
        <f aca="false">IFERROR(ROUND(10-AVERAGE(J129:EC129)*10,0),0)</f>
        <v>8</v>
      </c>
      <c r="J129" s="11" t="n">
        <v>1</v>
      </c>
      <c r="K129" s="11" t="n">
        <v>0</v>
      </c>
      <c r="L129" s="5"/>
      <c r="M129" s="11" t="n">
        <v>0</v>
      </c>
      <c r="N129" s="5"/>
      <c r="O129" s="11" t="n">
        <v>1</v>
      </c>
      <c r="P129" s="11" t="n">
        <v>0</v>
      </c>
      <c r="Q129" s="11" t="n">
        <v>0</v>
      </c>
      <c r="R129" s="5"/>
      <c r="S129" s="5"/>
      <c r="T129" s="11" t="n">
        <v>0</v>
      </c>
      <c r="U129" s="11" t="n">
        <v>0</v>
      </c>
      <c r="V129" s="5"/>
      <c r="W129" s="11" t="n">
        <v>0</v>
      </c>
      <c r="X129" s="11" t="n">
        <v>0</v>
      </c>
      <c r="Y129" s="5"/>
      <c r="Z129" s="5"/>
      <c r="AA129" s="5"/>
      <c r="AB129" s="5"/>
    </row>
    <row r="130" customFormat="false" ht="15.75" hidden="false" customHeight="false" outlineLevel="0" collapsed="false">
      <c r="A130" s="5" t="s">
        <v>346</v>
      </c>
      <c r="B130" s="5" t="s">
        <v>346</v>
      </c>
      <c r="C130" s="5" t="s">
        <v>353</v>
      </c>
      <c r="D130" s="5"/>
      <c r="E130" s="22"/>
      <c r="F130" s="22"/>
      <c r="G130" s="22"/>
      <c r="H130" s="5" t="n">
        <f aca="false">(COUNTIF(J130:EC130,"=0")+COUNTIF(J130:EC130,"=1"))</f>
        <v>12</v>
      </c>
      <c r="I130" s="12" t="n">
        <f aca="false">IFERROR(ROUND(10-AVERAGE(J130:EC130)*10,0),0)</f>
        <v>8</v>
      </c>
      <c r="J130" s="11" t="n">
        <v>1</v>
      </c>
      <c r="K130" s="11" t="n">
        <v>0</v>
      </c>
      <c r="L130" s="11" t="n">
        <v>0</v>
      </c>
      <c r="M130" s="11" t="n">
        <v>0</v>
      </c>
      <c r="N130" s="5"/>
      <c r="O130" s="11" t="n">
        <v>1</v>
      </c>
      <c r="P130" s="11" t="n">
        <v>0</v>
      </c>
      <c r="Q130" s="11" t="n">
        <v>0</v>
      </c>
      <c r="R130" s="5"/>
      <c r="S130" s="11" t="n">
        <v>0</v>
      </c>
      <c r="T130" s="11" t="n">
        <v>0</v>
      </c>
      <c r="U130" s="11" t="n">
        <v>0</v>
      </c>
      <c r="V130" s="5"/>
      <c r="W130" s="11" t="n">
        <v>0</v>
      </c>
      <c r="X130" s="11" t="n">
        <v>0</v>
      </c>
      <c r="Y130" s="5"/>
      <c r="Z130" s="5"/>
      <c r="AA130" s="5"/>
      <c r="AB130" s="5"/>
    </row>
    <row r="131" customFormat="false" ht="15.75" hidden="false" customHeight="false" outlineLevel="0" collapsed="false">
      <c r="A131" s="5" t="s">
        <v>354</v>
      </c>
      <c r="B131" s="5" t="s">
        <v>355</v>
      </c>
      <c r="C131" s="5" t="s">
        <v>356</v>
      </c>
      <c r="D131" s="5" t="s">
        <v>357</v>
      </c>
      <c r="E131" s="5"/>
      <c r="F131" s="5"/>
      <c r="G131" s="9" t="s">
        <v>358</v>
      </c>
      <c r="H131" s="5" t="n">
        <f aca="false">(COUNTIF(J131:EC131,"=0")+COUNTIF(J131:EC131,"=1"))</f>
        <v>6</v>
      </c>
      <c r="I131" s="15" t="n">
        <f aca="false">IFERROR(ROUND(10-AVERAGE(J131:EC131)*10,0),0)</f>
        <v>7</v>
      </c>
      <c r="J131" s="11" t="n">
        <v>0</v>
      </c>
      <c r="K131" s="11" t="n">
        <v>0</v>
      </c>
      <c r="L131" s="5" t="n">
        <v>0</v>
      </c>
      <c r="M131" s="5"/>
      <c r="N131" s="5"/>
      <c r="O131" s="5"/>
      <c r="P131" s="11" t="n">
        <v>1</v>
      </c>
      <c r="Q131" s="5"/>
      <c r="R131" s="5"/>
      <c r="S131" s="5"/>
      <c r="T131" s="11" t="n">
        <v>0</v>
      </c>
      <c r="U131" s="5"/>
      <c r="V131" s="5"/>
      <c r="W131" s="5"/>
      <c r="X131" s="11" t="n">
        <v>1</v>
      </c>
      <c r="Y131" s="5"/>
      <c r="Z131" s="5"/>
      <c r="AA131" s="5"/>
      <c r="AB131" s="5"/>
    </row>
    <row r="132" customFormat="false" ht="15.75" hidden="false" customHeight="false" outlineLevel="0" collapsed="false">
      <c r="A132" s="5" t="s">
        <v>354</v>
      </c>
      <c r="B132" s="5" t="s">
        <v>355</v>
      </c>
      <c r="C132" s="5" t="s">
        <v>359</v>
      </c>
      <c r="D132" s="5" t="s">
        <v>360</v>
      </c>
      <c r="E132" s="5"/>
      <c r="F132" s="5"/>
      <c r="G132" s="9" t="s">
        <v>361</v>
      </c>
      <c r="H132" s="5" t="n">
        <f aca="false">(COUNTIF(J132:EC132,"=0")+COUNTIF(J132:EC132,"=1"))</f>
        <v>5</v>
      </c>
      <c r="I132" s="19" t="n">
        <f aca="false">IFERROR(ROUND(10-AVERAGE(J132:EC132)*10,0),0)</f>
        <v>6</v>
      </c>
      <c r="J132" s="11" t="n">
        <v>0</v>
      </c>
      <c r="K132" s="11" t="n">
        <v>0</v>
      </c>
      <c r="L132" s="5" t="n">
        <v>0</v>
      </c>
      <c r="M132" s="5"/>
      <c r="N132" s="5"/>
      <c r="O132" s="5"/>
      <c r="P132" s="11" t="n">
        <v>1</v>
      </c>
      <c r="Q132" s="5"/>
      <c r="R132" s="5"/>
      <c r="S132" s="5"/>
      <c r="T132" s="5"/>
      <c r="U132" s="5"/>
      <c r="V132" s="5"/>
      <c r="W132" s="5"/>
      <c r="X132" s="11" t="n">
        <v>1</v>
      </c>
      <c r="Y132" s="5"/>
      <c r="Z132" s="5"/>
      <c r="AA132" s="5"/>
      <c r="AB132" s="5"/>
    </row>
    <row r="133" customFormat="false" ht="15.75" hidden="false" customHeight="false" outlineLevel="0" collapsed="false">
      <c r="A133" s="5" t="s">
        <v>354</v>
      </c>
      <c r="B133" s="5" t="s">
        <v>362</v>
      </c>
      <c r="C133" s="5" t="s">
        <v>363</v>
      </c>
      <c r="D133" s="5"/>
      <c r="E133" s="5"/>
      <c r="F133" s="5"/>
      <c r="G133" s="9" t="s">
        <v>364</v>
      </c>
      <c r="H133" s="5" t="n">
        <f aca="false">(COUNTIF(J133:EC133,"=0")+COUNTIF(J133:EC133,"=1"))</f>
        <v>6</v>
      </c>
      <c r="I133" s="12" t="n">
        <f aca="false">IFERROR(ROUND(10-AVERAGE(J133:EC133)*10,0),0)</f>
        <v>8</v>
      </c>
      <c r="J133" s="11" t="n">
        <v>0</v>
      </c>
      <c r="K133" s="11" t="n">
        <v>0</v>
      </c>
      <c r="L133" s="5" t="n">
        <v>0</v>
      </c>
      <c r="M133" s="5"/>
      <c r="N133" s="5"/>
      <c r="O133" s="5"/>
      <c r="P133" s="11" t="n">
        <v>1</v>
      </c>
      <c r="Q133" s="5" t="n">
        <v>0</v>
      </c>
      <c r="R133" s="5"/>
      <c r="S133" s="5"/>
      <c r="T133" s="5"/>
      <c r="U133" s="5"/>
      <c r="V133" s="5"/>
      <c r="W133" s="5"/>
      <c r="X133" s="5"/>
      <c r="Y133" s="5"/>
      <c r="Z133" s="11" t="n">
        <v>0</v>
      </c>
      <c r="AA133" s="5"/>
      <c r="AB133" s="5"/>
    </row>
    <row r="134" customFormat="false" ht="15.75" hidden="false" customHeight="false" outlineLevel="0" collapsed="false">
      <c r="A134" s="5" t="s">
        <v>354</v>
      </c>
      <c r="B134" s="5" t="s">
        <v>365</v>
      </c>
      <c r="C134" s="5" t="s">
        <v>366</v>
      </c>
      <c r="D134" s="5"/>
      <c r="E134" s="5"/>
      <c r="F134" s="5"/>
      <c r="G134" s="9" t="s">
        <v>367</v>
      </c>
      <c r="H134" s="5" t="n">
        <f aca="false">(COUNTIF(J134:EC134,"=0")+COUNTIF(J134:EC134,"=1"))</f>
        <v>5</v>
      </c>
      <c r="I134" s="19" t="n">
        <f aca="false">IFERROR(ROUND(10-AVERAGE(J134:EC134)*10,0),0)</f>
        <v>6</v>
      </c>
      <c r="J134" s="11" t="n">
        <v>1</v>
      </c>
      <c r="K134" s="11" t="n">
        <v>0</v>
      </c>
      <c r="L134" s="5" t="n">
        <v>0</v>
      </c>
      <c r="M134" s="5"/>
      <c r="N134" s="5"/>
      <c r="O134" s="5"/>
      <c r="P134" s="11" t="n">
        <v>1</v>
      </c>
      <c r="Q134" s="5"/>
      <c r="R134" s="5"/>
      <c r="S134" s="5"/>
      <c r="T134" s="5"/>
      <c r="U134" s="5"/>
      <c r="V134" s="5"/>
      <c r="W134" s="5"/>
      <c r="X134" s="5"/>
      <c r="Y134" s="5"/>
      <c r="Z134" s="11" t="n">
        <v>0</v>
      </c>
      <c r="AA134" s="5"/>
      <c r="AB134" s="5"/>
    </row>
    <row r="135" customFormat="false" ht="15.75" hidden="false" customHeight="false" outlineLevel="0" collapsed="false">
      <c r="A135" s="5" t="s">
        <v>354</v>
      </c>
      <c r="B135" s="5" t="s">
        <v>365</v>
      </c>
      <c r="C135" s="5" t="s">
        <v>368</v>
      </c>
      <c r="D135" s="5"/>
      <c r="E135" s="5"/>
      <c r="F135" s="5"/>
      <c r="G135" s="9" t="s">
        <v>369</v>
      </c>
      <c r="H135" s="5" t="n">
        <f aca="false">(COUNTIF(J135:EC135,"=0")+COUNTIF(J135:EC135,"=1"))</f>
        <v>5</v>
      </c>
      <c r="I135" s="12" t="n">
        <f aca="false">IFERROR(ROUND(10-AVERAGE(J135:EC135)*10,0),0)</f>
        <v>8</v>
      </c>
      <c r="J135" s="11" t="n">
        <v>0</v>
      </c>
      <c r="K135" s="11" t="n">
        <v>0</v>
      </c>
      <c r="L135" s="5" t="n">
        <v>0</v>
      </c>
      <c r="M135" s="5"/>
      <c r="N135" s="5"/>
      <c r="O135" s="5"/>
      <c r="P135" s="11" t="n">
        <v>1</v>
      </c>
      <c r="Q135" s="5"/>
      <c r="R135" s="5"/>
      <c r="S135" s="5"/>
      <c r="T135" s="5"/>
      <c r="U135" s="5"/>
      <c r="V135" s="5"/>
      <c r="W135" s="5"/>
      <c r="X135" s="5"/>
      <c r="Y135" s="5"/>
      <c r="Z135" s="11" t="n">
        <v>0</v>
      </c>
      <c r="AA135" s="5"/>
      <c r="AB135" s="5"/>
    </row>
    <row r="136" customFormat="false" ht="15.75" hidden="false" customHeight="false" outlineLevel="0" collapsed="false">
      <c r="A136" s="5" t="s">
        <v>354</v>
      </c>
      <c r="B136" s="5" t="s">
        <v>365</v>
      </c>
      <c r="C136" s="5" t="s">
        <v>370</v>
      </c>
      <c r="D136" s="5"/>
      <c r="E136" s="5"/>
      <c r="F136" s="5"/>
      <c r="G136" s="9" t="s">
        <v>371</v>
      </c>
      <c r="H136" s="5" t="n">
        <f aca="false">(COUNTIF(J136:EC136,"=0")+COUNTIF(J136:EC136,"=1"))</f>
        <v>6</v>
      </c>
      <c r="I136" s="23" t="n">
        <f aca="false">IFERROR(ROUND(10-AVERAGE(J136:EC136)*10,0),0)</f>
        <v>5</v>
      </c>
      <c r="J136" s="11" t="n">
        <v>1</v>
      </c>
      <c r="K136" s="11" t="n">
        <v>0</v>
      </c>
      <c r="L136" s="5" t="n">
        <v>0</v>
      </c>
      <c r="M136" s="5"/>
      <c r="N136" s="5"/>
      <c r="O136" s="5"/>
      <c r="P136" s="11" t="n">
        <v>1</v>
      </c>
      <c r="Q136" s="5"/>
      <c r="R136" s="5"/>
      <c r="S136" s="5"/>
      <c r="T136" s="5"/>
      <c r="U136" s="5"/>
      <c r="V136" s="5"/>
      <c r="W136" s="5"/>
      <c r="X136" s="11" t="n">
        <v>1</v>
      </c>
      <c r="Y136" s="5"/>
      <c r="Z136" s="11" t="n">
        <v>0</v>
      </c>
      <c r="AA136" s="5"/>
      <c r="AB136" s="5"/>
    </row>
    <row r="137" customFormat="false" ht="15.75" hidden="false" customHeight="false" outlineLevel="0" collapsed="false">
      <c r="A137" s="5" t="s">
        <v>354</v>
      </c>
      <c r="B137" s="5" t="s">
        <v>365</v>
      </c>
      <c r="C137" s="5" t="s">
        <v>372</v>
      </c>
      <c r="D137" s="5"/>
      <c r="E137" s="5"/>
      <c r="F137" s="5"/>
      <c r="G137" s="9" t="s">
        <v>373</v>
      </c>
      <c r="H137" s="5" t="n">
        <f aca="false">(COUNTIF(J137:EC137,"=0")+COUNTIF(J137:EC137,"=1"))</f>
        <v>6</v>
      </c>
      <c r="I137" s="15" t="n">
        <f aca="false">IFERROR(ROUND(10-AVERAGE(J137:EC137)*10,0),0)</f>
        <v>7</v>
      </c>
      <c r="J137" s="11" t="n">
        <v>0</v>
      </c>
      <c r="K137" s="11" t="n">
        <v>0</v>
      </c>
      <c r="L137" s="5" t="n">
        <v>0</v>
      </c>
      <c r="M137" s="5"/>
      <c r="N137" s="5"/>
      <c r="O137" s="5"/>
      <c r="P137" s="11" t="n">
        <v>1</v>
      </c>
      <c r="Q137" s="5"/>
      <c r="R137" s="5"/>
      <c r="S137" s="5"/>
      <c r="T137" s="11" t="n">
        <v>0</v>
      </c>
      <c r="U137" s="5"/>
      <c r="V137" s="5"/>
      <c r="W137" s="5"/>
      <c r="X137" s="11" t="n">
        <v>1</v>
      </c>
      <c r="Y137" s="5"/>
      <c r="Z137" s="5"/>
      <c r="AA137" s="5"/>
      <c r="AB137" s="5"/>
    </row>
    <row r="138" customFormat="false" ht="15.75" hidden="false" customHeight="false" outlineLevel="0" collapsed="false">
      <c r="A138" s="5" t="s">
        <v>354</v>
      </c>
      <c r="B138" s="5" t="s">
        <v>365</v>
      </c>
      <c r="C138" s="5" t="s">
        <v>374</v>
      </c>
      <c r="D138" s="5"/>
      <c r="E138" s="5"/>
      <c r="F138" s="5"/>
      <c r="G138" s="9" t="s">
        <v>375</v>
      </c>
      <c r="H138" s="5" t="n">
        <f aca="false">(COUNTIF(J138:EC138,"=0")+COUNTIF(J138:EC138,"=1"))</f>
        <v>6</v>
      </c>
      <c r="I138" s="15" t="n">
        <f aca="false">IFERROR(ROUND(10-AVERAGE(J138:EC138)*10,0),0)</f>
        <v>7</v>
      </c>
      <c r="J138" s="11" t="n">
        <v>0</v>
      </c>
      <c r="K138" s="11" t="n">
        <v>0</v>
      </c>
      <c r="L138" s="5" t="n">
        <v>0</v>
      </c>
      <c r="M138" s="5"/>
      <c r="N138" s="5"/>
      <c r="O138" s="5"/>
      <c r="P138" s="11" t="n">
        <v>1</v>
      </c>
      <c r="Q138" s="5"/>
      <c r="R138" s="5"/>
      <c r="S138" s="5"/>
      <c r="T138" s="5"/>
      <c r="U138" s="5"/>
      <c r="V138" s="5"/>
      <c r="W138" s="5"/>
      <c r="X138" s="11" t="n">
        <v>1</v>
      </c>
      <c r="Y138" s="5"/>
      <c r="Z138" s="11" t="n">
        <v>0</v>
      </c>
      <c r="AA138" s="5"/>
      <c r="AB138" s="5"/>
    </row>
    <row r="139" customFormat="false" ht="15.75" hidden="false" customHeight="false" outlineLevel="0" collapsed="false">
      <c r="A139" s="5" t="s">
        <v>354</v>
      </c>
      <c r="B139" s="5" t="s">
        <v>365</v>
      </c>
      <c r="C139" s="5" t="s">
        <v>376</v>
      </c>
      <c r="D139" s="5"/>
      <c r="E139" s="5"/>
      <c r="F139" s="5"/>
      <c r="G139" s="9" t="s">
        <v>377</v>
      </c>
      <c r="H139" s="5" t="n">
        <f aca="false">(COUNTIF(J139:EC139,"=0")+COUNTIF(J139:EC139,"=1"))</f>
        <v>6</v>
      </c>
      <c r="I139" s="15" t="n">
        <f aca="false">IFERROR(ROUND(10-AVERAGE(J139:EC139)*10,0),0)</f>
        <v>7</v>
      </c>
      <c r="J139" s="11" t="n">
        <v>0</v>
      </c>
      <c r="K139" s="11" t="n">
        <v>0</v>
      </c>
      <c r="L139" s="5" t="n">
        <v>0</v>
      </c>
      <c r="M139" s="5"/>
      <c r="N139" s="5"/>
      <c r="O139" s="5"/>
      <c r="P139" s="11" t="n">
        <v>1</v>
      </c>
      <c r="Q139" s="5"/>
      <c r="R139" s="5"/>
      <c r="S139" s="5"/>
      <c r="T139" s="11" t="n">
        <v>0</v>
      </c>
      <c r="U139" s="5"/>
      <c r="V139" s="5"/>
      <c r="W139" s="5"/>
      <c r="X139" s="11" t="n">
        <v>1</v>
      </c>
      <c r="Y139" s="5"/>
      <c r="Z139" s="5"/>
      <c r="AA139" s="5"/>
      <c r="AB139" s="5"/>
    </row>
    <row r="140" customFormat="false" ht="15.75" hidden="false" customHeight="false" outlineLevel="0" collapsed="false">
      <c r="A140" s="5" t="s">
        <v>354</v>
      </c>
      <c r="B140" s="5" t="s">
        <v>365</v>
      </c>
      <c r="C140" s="5" t="s">
        <v>378</v>
      </c>
      <c r="D140" s="5"/>
      <c r="E140" s="5"/>
      <c r="F140" s="5"/>
      <c r="G140" s="9" t="s">
        <v>379</v>
      </c>
      <c r="H140" s="5" t="n">
        <f aca="false">(COUNTIF(J140:EC140,"=0")+COUNTIF(J140:EC140,"=1"))</f>
        <v>5</v>
      </c>
      <c r="I140" s="12" t="n">
        <f aca="false">IFERROR(ROUND(10-AVERAGE(J140:EC140)*10,0),0)</f>
        <v>8</v>
      </c>
      <c r="J140" s="11" t="n">
        <v>0</v>
      </c>
      <c r="K140" s="11" t="n">
        <v>0</v>
      </c>
      <c r="L140" s="5" t="n">
        <v>0</v>
      </c>
      <c r="M140" s="5"/>
      <c r="N140" s="5"/>
      <c r="O140" s="5"/>
      <c r="P140" s="11" t="n">
        <v>1</v>
      </c>
      <c r="Q140" s="5"/>
      <c r="R140" s="5"/>
      <c r="S140" s="5"/>
      <c r="T140" s="5"/>
      <c r="U140" s="5"/>
      <c r="V140" s="5"/>
      <c r="W140" s="5"/>
      <c r="X140" s="5"/>
      <c r="Y140" s="5"/>
      <c r="Z140" s="11" t="n">
        <v>0</v>
      </c>
      <c r="AA140" s="5"/>
      <c r="AB140" s="5"/>
    </row>
    <row r="141" customFormat="false" ht="15.75" hidden="false" customHeight="false" outlineLevel="0" collapsed="false">
      <c r="A141" s="5" t="s">
        <v>354</v>
      </c>
      <c r="B141" s="5" t="s">
        <v>380</v>
      </c>
      <c r="C141" s="5" t="s">
        <v>381</v>
      </c>
      <c r="D141" s="5"/>
      <c r="E141" s="5"/>
      <c r="F141" s="5"/>
      <c r="G141" s="9" t="s">
        <v>382</v>
      </c>
      <c r="H141" s="5" t="n">
        <f aca="false">(COUNTIF(J141:EC141,"=0")+COUNTIF(J141:EC141,"=1"))</f>
        <v>5</v>
      </c>
      <c r="I141" s="12" t="n">
        <f aca="false">IFERROR(ROUND(10-AVERAGE(J141:EC141)*10,0),0)</f>
        <v>8</v>
      </c>
      <c r="J141" s="11" t="n">
        <v>0</v>
      </c>
      <c r="K141" s="11" t="n">
        <v>0</v>
      </c>
      <c r="L141" s="5" t="n">
        <v>0</v>
      </c>
      <c r="M141" s="5"/>
      <c r="N141" s="5"/>
      <c r="O141" s="5"/>
      <c r="P141" s="11" t="n">
        <v>1</v>
      </c>
      <c r="Q141" s="5"/>
      <c r="R141" s="5"/>
      <c r="S141" s="5"/>
      <c r="T141" s="5"/>
      <c r="U141" s="5"/>
      <c r="V141" s="5"/>
      <c r="W141" s="5"/>
      <c r="X141" s="5"/>
      <c r="Y141" s="5"/>
      <c r="Z141" s="11" t="n">
        <v>0</v>
      </c>
      <c r="AA141" s="5"/>
      <c r="AB141" s="5"/>
    </row>
    <row r="142" customFormat="false" ht="15.75" hidden="false" customHeight="false" outlineLevel="0" collapsed="false">
      <c r="A142" s="5" t="s">
        <v>354</v>
      </c>
      <c r="B142" s="5" t="s">
        <v>380</v>
      </c>
      <c r="C142" s="5" t="s">
        <v>383</v>
      </c>
      <c r="D142" s="5"/>
      <c r="E142" s="5"/>
      <c r="F142" s="5"/>
      <c r="G142" s="9" t="s">
        <v>384</v>
      </c>
      <c r="H142" s="5" t="n">
        <f aca="false">(COUNTIF(J142:EC142,"=0")+COUNTIF(J142:EC142,"=1"))</f>
        <v>8</v>
      </c>
      <c r="I142" s="16" t="n">
        <f aca="false">IFERROR(ROUND(10-AVERAGE(J142:EC142)*10,0),0)</f>
        <v>8</v>
      </c>
      <c r="J142" s="11" t="n">
        <v>0</v>
      </c>
      <c r="K142" s="11" t="n">
        <v>0</v>
      </c>
      <c r="L142" s="5" t="n">
        <v>0</v>
      </c>
      <c r="M142" s="5"/>
      <c r="N142" s="5"/>
      <c r="O142" s="5"/>
      <c r="P142" s="11" t="n">
        <v>1</v>
      </c>
      <c r="Q142" s="5"/>
      <c r="R142" s="5"/>
      <c r="S142" s="5"/>
      <c r="T142" s="5"/>
      <c r="U142" s="5"/>
      <c r="V142" s="5"/>
      <c r="W142" s="5"/>
      <c r="X142" s="11" t="n">
        <v>1</v>
      </c>
      <c r="Y142" s="5"/>
      <c r="Z142" s="11" t="n">
        <v>0</v>
      </c>
      <c r="AA142" s="11" t="n">
        <v>0</v>
      </c>
      <c r="AB142" s="5"/>
      <c r="AF142" s="5" t="n">
        <v>0</v>
      </c>
    </row>
    <row r="143" customFormat="false" ht="15.75" hidden="false" customHeight="false" outlineLevel="0" collapsed="false">
      <c r="A143" s="5" t="s">
        <v>354</v>
      </c>
      <c r="B143" s="5" t="s">
        <v>380</v>
      </c>
      <c r="C143" s="5" t="s">
        <v>385</v>
      </c>
      <c r="D143" s="5"/>
      <c r="E143" s="5"/>
      <c r="F143" s="5"/>
      <c r="G143" s="9" t="s">
        <v>386</v>
      </c>
      <c r="H143" s="5" t="n">
        <f aca="false">(COUNTIF(J143:EC143,"=0")+COUNTIF(J143:EC143,"=1"))</f>
        <v>5</v>
      </c>
      <c r="I143" s="12" t="n">
        <f aca="false">IFERROR(ROUND(10-AVERAGE(J143:EC143)*10,0),0)</f>
        <v>8</v>
      </c>
      <c r="J143" s="11" t="n">
        <v>0</v>
      </c>
      <c r="K143" s="11" t="n">
        <v>0</v>
      </c>
      <c r="L143" s="5" t="n">
        <v>0</v>
      </c>
      <c r="M143" s="5"/>
      <c r="N143" s="5"/>
      <c r="O143" s="5"/>
      <c r="P143" s="11" t="n">
        <v>1</v>
      </c>
      <c r="Q143" s="5"/>
      <c r="R143" s="5"/>
      <c r="S143" s="5"/>
      <c r="T143" s="5"/>
      <c r="U143" s="5"/>
      <c r="V143" s="5"/>
      <c r="W143" s="5"/>
      <c r="X143" s="5"/>
      <c r="Y143" s="5"/>
      <c r="Z143" s="11" t="n">
        <v>0</v>
      </c>
      <c r="AA143" s="5"/>
      <c r="AB143" s="5"/>
    </row>
    <row r="144" customFormat="false" ht="15.75" hidden="false" customHeight="false" outlineLevel="0" collapsed="false">
      <c r="A144" s="5" t="s">
        <v>354</v>
      </c>
      <c r="B144" s="5" t="s">
        <v>380</v>
      </c>
      <c r="C144" s="5" t="s">
        <v>387</v>
      </c>
      <c r="D144" s="5"/>
      <c r="E144" s="5"/>
      <c r="F144" s="5"/>
      <c r="G144" s="9" t="s">
        <v>388</v>
      </c>
      <c r="H144" s="5" t="n">
        <f aca="false">(COUNTIF(J144:EC144,"=0")+COUNTIF(J144:EC144,"=1"))</f>
        <v>5</v>
      </c>
      <c r="I144" s="12" t="n">
        <f aca="false">IFERROR(ROUND(10-AVERAGE(J144:EC144)*10,0),0)</f>
        <v>8</v>
      </c>
      <c r="J144" s="11" t="n">
        <v>0</v>
      </c>
      <c r="K144" s="11" t="n">
        <v>0</v>
      </c>
      <c r="L144" s="5" t="n">
        <v>0</v>
      </c>
      <c r="M144" s="5"/>
      <c r="N144" s="5"/>
      <c r="O144" s="5"/>
      <c r="P144" s="11" t="n">
        <v>1</v>
      </c>
      <c r="Q144" s="5"/>
      <c r="R144" s="5"/>
      <c r="S144" s="5"/>
      <c r="T144" s="5"/>
      <c r="U144" s="5"/>
      <c r="V144" s="5"/>
      <c r="W144" s="5"/>
      <c r="X144" s="5"/>
      <c r="Y144" s="5"/>
      <c r="Z144" s="11" t="n">
        <v>0</v>
      </c>
      <c r="AA144" s="5"/>
      <c r="AB144" s="5"/>
    </row>
    <row r="145" customFormat="false" ht="15.75" hidden="false" customHeight="false" outlineLevel="0" collapsed="false">
      <c r="A145" s="5" t="s">
        <v>354</v>
      </c>
      <c r="B145" s="5" t="s">
        <v>389</v>
      </c>
      <c r="C145" s="5" t="s">
        <v>390</v>
      </c>
      <c r="D145" s="5"/>
      <c r="E145" s="5"/>
      <c r="F145" s="5"/>
      <c r="G145" s="9" t="s">
        <v>391</v>
      </c>
      <c r="H145" s="5" t="n">
        <f aca="false">(COUNTIF(J145:EC145,"=0")+COUNTIF(J145:EC145,"=1"))</f>
        <v>6</v>
      </c>
      <c r="I145" s="19" t="n">
        <f aca="false">IFERROR(ROUND(10-AVERAGE(J145:EC145)*10,0),0)</f>
        <v>7</v>
      </c>
      <c r="J145" s="11" t="n">
        <v>1</v>
      </c>
      <c r="K145" s="11" t="n">
        <v>0</v>
      </c>
      <c r="L145" s="5" t="n">
        <v>0</v>
      </c>
      <c r="M145" s="5"/>
      <c r="N145" s="5"/>
      <c r="O145" s="5"/>
      <c r="P145" s="11" t="n">
        <v>1</v>
      </c>
      <c r="Q145" s="5"/>
      <c r="R145" s="5"/>
      <c r="S145" s="5"/>
      <c r="T145" s="5"/>
      <c r="U145" s="5"/>
      <c r="V145" s="5"/>
      <c r="W145" s="5" t="n">
        <v>0</v>
      </c>
      <c r="X145" s="5"/>
      <c r="Y145" s="5"/>
      <c r="Z145" s="11" t="n">
        <v>0</v>
      </c>
      <c r="AA145" s="5"/>
      <c r="AB145" s="5"/>
    </row>
    <row r="146" customFormat="false" ht="15.75" hidden="false" customHeight="false" outlineLevel="0" collapsed="false">
      <c r="A146" s="5" t="s">
        <v>354</v>
      </c>
      <c r="B146" s="5" t="s">
        <v>392</v>
      </c>
      <c r="D146" s="5"/>
      <c r="E146" s="5"/>
      <c r="F146" s="5"/>
      <c r="G146" s="5"/>
      <c r="H146" s="5" t="n">
        <f aca="false">(COUNTIF(J146:EC146,"=0")+COUNTIF(J146:EC146,"=1"))</f>
        <v>0</v>
      </c>
      <c r="I146" s="15" t="n">
        <f aca="false">IFERROR(ROUND(10-AVERAGE(J146:EC146)*10,0),0)</f>
        <v>0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customFormat="false" ht="15.75" hidden="false" customHeight="false" outlineLevel="0" collapsed="false">
      <c r="A147" s="5" t="s">
        <v>354</v>
      </c>
      <c r="B147" s="5" t="s">
        <v>393</v>
      </c>
      <c r="C147" s="5" t="s">
        <v>394</v>
      </c>
      <c r="D147" s="5"/>
      <c r="E147" s="5"/>
      <c r="F147" s="5"/>
      <c r="G147" s="9" t="s">
        <v>395</v>
      </c>
      <c r="H147" s="5" t="n">
        <f aca="false">(COUNTIF(J147:EC147,"=0")+COUNTIF(J147:EC147,"=1"))</f>
        <v>6</v>
      </c>
      <c r="I147" s="15" t="n">
        <f aca="false">IFERROR(ROUND(10-AVERAGE(J147:EC147)*10,0),0)</f>
        <v>7</v>
      </c>
      <c r="J147" s="11" t="n">
        <v>0</v>
      </c>
      <c r="K147" s="11" t="n">
        <v>0</v>
      </c>
      <c r="L147" s="5" t="n">
        <v>0</v>
      </c>
      <c r="M147" s="5"/>
      <c r="N147" s="5"/>
      <c r="O147" s="5"/>
      <c r="P147" s="11" t="n">
        <v>1</v>
      </c>
      <c r="Q147" s="5"/>
      <c r="R147" s="5"/>
      <c r="S147" s="5"/>
      <c r="T147" s="11" t="n">
        <v>0</v>
      </c>
      <c r="U147" s="5"/>
      <c r="V147" s="5"/>
      <c r="W147" s="5"/>
      <c r="X147" s="11" t="n">
        <v>1</v>
      </c>
      <c r="Y147" s="5"/>
      <c r="Z147" s="5"/>
      <c r="AA147" s="5"/>
      <c r="AB147" s="5"/>
    </row>
    <row r="148" customFormat="false" ht="15.75" hidden="false" customHeight="false" outlineLevel="0" collapsed="false">
      <c r="A148" s="5" t="s">
        <v>354</v>
      </c>
      <c r="B148" s="5" t="s">
        <v>393</v>
      </c>
      <c r="C148" s="5" t="s">
        <v>396</v>
      </c>
      <c r="D148" s="5"/>
      <c r="E148" s="5"/>
      <c r="F148" s="5"/>
      <c r="G148" s="9" t="s">
        <v>397</v>
      </c>
      <c r="H148" s="5" t="n">
        <f aca="false">(COUNTIF(J148:EC148,"=0")+COUNTIF(J148:EC148,"=1"))</f>
        <v>6</v>
      </c>
      <c r="I148" s="15" t="n">
        <f aca="false">IFERROR(ROUND(10-AVERAGE(J148:EC148)*10,0),0)</f>
        <v>7</v>
      </c>
      <c r="J148" s="11" t="n">
        <v>0</v>
      </c>
      <c r="K148" s="11" t="n">
        <v>0</v>
      </c>
      <c r="L148" s="5" t="n">
        <v>0</v>
      </c>
      <c r="M148" s="5"/>
      <c r="N148" s="5"/>
      <c r="O148" s="5"/>
      <c r="P148" s="11" t="n">
        <v>1</v>
      </c>
      <c r="Q148" s="5"/>
      <c r="R148" s="5"/>
      <c r="S148" s="5"/>
      <c r="T148" s="11" t="n">
        <v>0</v>
      </c>
      <c r="U148" s="5"/>
      <c r="V148" s="5"/>
      <c r="W148" s="5"/>
      <c r="X148" s="11" t="n">
        <v>1</v>
      </c>
      <c r="Y148" s="5"/>
      <c r="Z148" s="5"/>
      <c r="AA148" s="5"/>
      <c r="AB148" s="5"/>
    </row>
    <row r="149" customFormat="false" ht="15.75" hidden="false" customHeight="false" outlineLevel="0" collapsed="false">
      <c r="A149" s="5" t="s">
        <v>354</v>
      </c>
      <c r="B149" s="5" t="s">
        <v>393</v>
      </c>
      <c r="C149" s="5" t="s">
        <v>398</v>
      </c>
      <c r="D149" s="5"/>
      <c r="E149" s="5"/>
      <c r="F149" s="5"/>
      <c r="G149" s="9" t="s">
        <v>399</v>
      </c>
      <c r="H149" s="5" t="n">
        <f aca="false">(COUNTIF(J149:EC149,"=0")+COUNTIF(J149:EC149,"=1"))</f>
        <v>6</v>
      </c>
      <c r="I149" s="15" t="n">
        <f aca="false">IFERROR(ROUND(10-AVERAGE(J149:EC149)*10,0),0)</f>
        <v>7</v>
      </c>
      <c r="J149" s="11" t="n">
        <v>0</v>
      </c>
      <c r="K149" s="11" t="n">
        <v>0</v>
      </c>
      <c r="L149" s="5" t="n">
        <v>0</v>
      </c>
      <c r="M149" s="5"/>
      <c r="N149" s="5"/>
      <c r="O149" s="5"/>
      <c r="P149" s="11" t="n">
        <v>1</v>
      </c>
      <c r="Q149" s="5"/>
      <c r="R149" s="5"/>
      <c r="S149" s="5"/>
      <c r="T149" s="5"/>
      <c r="U149" s="5"/>
      <c r="V149" s="5"/>
      <c r="W149" s="5"/>
      <c r="X149" s="11" t="n">
        <v>1</v>
      </c>
      <c r="Y149" s="5"/>
      <c r="Z149" s="11" t="n">
        <v>0</v>
      </c>
      <c r="AA149" s="5"/>
      <c r="AB149" s="5"/>
    </row>
    <row r="150" customFormat="false" ht="15.75" hidden="false" customHeight="false" outlineLevel="0" collapsed="false">
      <c r="A150" s="5" t="s">
        <v>354</v>
      </c>
      <c r="B150" s="5" t="s">
        <v>393</v>
      </c>
      <c r="C150" s="5" t="s">
        <v>400</v>
      </c>
      <c r="D150" s="5"/>
      <c r="E150" s="5"/>
      <c r="F150" s="5"/>
      <c r="G150" s="9" t="s">
        <v>401</v>
      </c>
      <c r="H150" s="5" t="n">
        <f aca="false">(COUNTIF(J150:EC150,"=0")+COUNTIF(J150:EC150,"=1"))</f>
        <v>6</v>
      </c>
      <c r="I150" s="15" t="n">
        <f aca="false">IFERROR(ROUND(10-AVERAGE(J150:EC150)*10,0),0)</f>
        <v>7</v>
      </c>
      <c r="J150" s="11" t="n">
        <v>0</v>
      </c>
      <c r="K150" s="11" t="n">
        <v>0</v>
      </c>
      <c r="L150" s="5" t="n">
        <v>0</v>
      </c>
      <c r="M150" s="5"/>
      <c r="N150" s="5"/>
      <c r="O150" s="5"/>
      <c r="P150" s="11" t="n">
        <v>1</v>
      </c>
      <c r="Q150" s="5"/>
      <c r="R150" s="5"/>
      <c r="S150" s="5"/>
      <c r="T150" s="5"/>
      <c r="U150" s="5"/>
      <c r="V150" s="5"/>
      <c r="W150" s="5"/>
      <c r="X150" s="11" t="n">
        <v>1</v>
      </c>
      <c r="Y150" s="5"/>
      <c r="Z150" s="11" t="n">
        <v>0</v>
      </c>
      <c r="AA150" s="5"/>
      <c r="AB150" s="5"/>
    </row>
    <row r="151" customFormat="false" ht="15.75" hidden="false" customHeight="false" outlineLevel="0" collapsed="false">
      <c r="A151" s="5" t="s">
        <v>354</v>
      </c>
      <c r="B151" s="5" t="s">
        <v>393</v>
      </c>
      <c r="C151" s="5" t="s">
        <v>402</v>
      </c>
      <c r="D151" s="5"/>
      <c r="E151" s="5"/>
      <c r="F151" s="5"/>
      <c r="G151" s="9" t="s">
        <v>403</v>
      </c>
      <c r="H151" s="5" t="n">
        <f aca="false">(COUNTIF(J151:EC151,"=0")+COUNTIF(J151:EC151,"=1"))</f>
        <v>6</v>
      </c>
      <c r="I151" s="23" t="n">
        <f aca="false">IFERROR(ROUND(10-AVERAGE(J151:EC151)*10,0),0)</f>
        <v>5</v>
      </c>
      <c r="J151" s="11" t="n">
        <v>1</v>
      </c>
      <c r="K151" s="11" t="n">
        <v>0</v>
      </c>
      <c r="L151" s="5" t="n">
        <v>0</v>
      </c>
      <c r="M151" s="5"/>
      <c r="N151" s="5"/>
      <c r="O151" s="5"/>
      <c r="P151" s="11" t="n">
        <v>1</v>
      </c>
      <c r="Q151" s="5"/>
      <c r="R151" s="5"/>
      <c r="S151" s="5"/>
      <c r="T151" s="11" t="n">
        <v>0</v>
      </c>
      <c r="U151" s="5"/>
      <c r="V151" s="5"/>
      <c r="W151" s="5"/>
      <c r="X151" s="11" t="n">
        <v>1</v>
      </c>
      <c r="Y151" s="5"/>
      <c r="Z151" s="5"/>
      <c r="AA151" s="5"/>
      <c r="AB151" s="5"/>
    </row>
    <row r="152" customFormat="false" ht="15.75" hidden="false" customHeight="false" outlineLevel="0" collapsed="false">
      <c r="A152" s="5" t="s">
        <v>354</v>
      </c>
      <c r="B152" s="5" t="s">
        <v>393</v>
      </c>
      <c r="C152" s="5" t="s">
        <v>404</v>
      </c>
      <c r="D152" s="5"/>
      <c r="E152" s="5"/>
      <c r="F152" s="5"/>
      <c r="G152" s="9" t="s">
        <v>405</v>
      </c>
      <c r="H152" s="5" t="n">
        <f aca="false">(COUNTIF(J152:EC152,"=0")+COUNTIF(J152:EC152,"=1"))</f>
        <v>6</v>
      </c>
      <c r="I152" s="15" t="n">
        <f aca="false">IFERROR(ROUND(10-AVERAGE(J152:EC152)*10,0),0)</f>
        <v>7</v>
      </c>
      <c r="J152" s="11" t="n">
        <v>0</v>
      </c>
      <c r="K152" s="11" t="n">
        <v>0</v>
      </c>
      <c r="L152" s="5" t="n">
        <v>0</v>
      </c>
      <c r="M152" s="5"/>
      <c r="N152" s="5"/>
      <c r="O152" s="5"/>
      <c r="P152" s="11" t="n">
        <v>1</v>
      </c>
      <c r="Q152" s="5"/>
      <c r="R152" s="5"/>
      <c r="S152" s="5"/>
      <c r="T152" s="5"/>
      <c r="U152" s="5"/>
      <c r="V152" s="5"/>
      <c r="W152" s="5"/>
      <c r="X152" s="11" t="n">
        <v>1</v>
      </c>
      <c r="Y152" s="5"/>
      <c r="Z152" s="11" t="n">
        <v>0</v>
      </c>
      <c r="AA152" s="5"/>
      <c r="AB152" s="5"/>
    </row>
    <row r="153" customFormat="false" ht="15.75" hidden="false" customHeight="false" outlineLevel="0" collapsed="false">
      <c r="A153" s="5" t="s">
        <v>354</v>
      </c>
      <c r="B153" s="5" t="s">
        <v>406</v>
      </c>
      <c r="C153" s="5" t="s">
        <v>407</v>
      </c>
      <c r="D153" s="5"/>
      <c r="E153" s="5"/>
      <c r="F153" s="5"/>
      <c r="G153" s="9" t="s">
        <v>408</v>
      </c>
      <c r="H153" s="5" t="n">
        <f aca="false">(COUNTIF(J153:EC153,"=0")+COUNTIF(J153:EC153,"=1"))</f>
        <v>6</v>
      </c>
      <c r="I153" s="15" t="n">
        <f aca="false">IFERROR(ROUND(10-AVERAGE(J153:EC153)*10,0),0)</f>
        <v>7</v>
      </c>
      <c r="J153" s="11" t="n">
        <v>0</v>
      </c>
      <c r="K153" s="11" t="n">
        <v>0</v>
      </c>
      <c r="L153" s="5" t="n">
        <v>0</v>
      </c>
      <c r="M153" s="5"/>
      <c r="N153" s="5"/>
      <c r="O153" s="5"/>
      <c r="P153" s="11" t="n">
        <v>1</v>
      </c>
      <c r="Q153" s="5"/>
      <c r="R153" s="5"/>
      <c r="S153" s="5"/>
      <c r="T153" s="5"/>
      <c r="U153" s="5"/>
      <c r="V153" s="5"/>
      <c r="W153" s="5"/>
      <c r="X153" s="11" t="n">
        <v>1</v>
      </c>
      <c r="Y153" s="5"/>
      <c r="Z153" s="11" t="n">
        <v>0</v>
      </c>
      <c r="AA153" s="5"/>
      <c r="AB153" s="5"/>
    </row>
    <row r="154" customFormat="false" ht="15.75" hidden="false" customHeight="false" outlineLevel="0" collapsed="false">
      <c r="A154" s="5" t="s">
        <v>354</v>
      </c>
      <c r="B154" s="5" t="s">
        <v>406</v>
      </c>
      <c r="C154" s="5" t="s">
        <v>409</v>
      </c>
      <c r="D154" s="5"/>
      <c r="E154" s="5"/>
      <c r="F154" s="5"/>
      <c r="G154" s="9" t="s">
        <v>410</v>
      </c>
      <c r="H154" s="5" t="n">
        <f aca="false">(COUNTIF(J154:EC154,"=0")+COUNTIF(J154:EC154,"=1"))</f>
        <v>6</v>
      </c>
      <c r="I154" s="15" t="n">
        <f aca="false">IFERROR(ROUND(10-AVERAGE(J154:EC154)*10,0),0)</f>
        <v>7</v>
      </c>
      <c r="J154" s="11" t="n">
        <v>0</v>
      </c>
      <c r="K154" s="11" t="n">
        <v>0</v>
      </c>
      <c r="L154" s="5" t="n">
        <v>0</v>
      </c>
      <c r="M154" s="5"/>
      <c r="N154" s="5"/>
      <c r="O154" s="5"/>
      <c r="P154" s="11" t="n">
        <v>1</v>
      </c>
      <c r="Q154" s="5"/>
      <c r="R154" s="5"/>
      <c r="S154" s="5"/>
      <c r="T154" s="5"/>
      <c r="U154" s="5"/>
      <c r="V154" s="5"/>
      <c r="W154" s="5"/>
      <c r="X154" s="11" t="n">
        <v>1</v>
      </c>
      <c r="Y154" s="5"/>
      <c r="Z154" s="11" t="n">
        <v>0</v>
      </c>
      <c r="AA154" s="5"/>
      <c r="AB154" s="5"/>
    </row>
    <row r="155" customFormat="false" ht="15.75" hidden="false" customHeight="false" outlineLevel="0" collapsed="false">
      <c r="A155" s="5" t="s">
        <v>354</v>
      </c>
      <c r="B155" s="5" t="s">
        <v>406</v>
      </c>
      <c r="C155" s="5" t="s">
        <v>411</v>
      </c>
      <c r="D155" s="5"/>
      <c r="E155" s="5"/>
      <c r="F155" s="5"/>
      <c r="G155" s="9" t="s">
        <v>412</v>
      </c>
      <c r="H155" s="5" t="n">
        <f aca="false">(COUNTIF(J155:EC155,"=0")+COUNTIF(J155:EC155,"=1"))</f>
        <v>6</v>
      </c>
      <c r="I155" s="15" t="n">
        <f aca="false">IFERROR(ROUND(10-AVERAGE(J155:EC155)*10,0),0)</f>
        <v>7</v>
      </c>
      <c r="J155" s="11" t="n">
        <v>0</v>
      </c>
      <c r="K155" s="11" t="n">
        <v>0</v>
      </c>
      <c r="L155" s="5" t="n">
        <v>0</v>
      </c>
      <c r="M155" s="5"/>
      <c r="N155" s="5"/>
      <c r="O155" s="5"/>
      <c r="P155" s="11" t="n">
        <v>1</v>
      </c>
      <c r="Q155" s="5"/>
      <c r="R155" s="5"/>
      <c r="S155" s="5"/>
      <c r="T155" s="5"/>
      <c r="U155" s="5"/>
      <c r="V155" s="5"/>
      <c r="W155" s="5"/>
      <c r="X155" s="11" t="n">
        <v>1</v>
      </c>
      <c r="Y155" s="5"/>
      <c r="Z155" s="11" t="n">
        <v>0</v>
      </c>
      <c r="AA155" s="5"/>
      <c r="AB155" s="5"/>
    </row>
    <row r="156" customFormat="false" ht="15.75" hidden="false" customHeight="false" outlineLevel="0" collapsed="false">
      <c r="A156" s="5" t="s">
        <v>354</v>
      </c>
      <c r="B156" s="5" t="s">
        <v>406</v>
      </c>
      <c r="C156" s="5" t="s">
        <v>413</v>
      </c>
      <c r="D156" s="5"/>
      <c r="E156" s="5"/>
      <c r="F156" s="5"/>
      <c r="G156" s="9" t="s">
        <v>414</v>
      </c>
      <c r="H156" s="5" t="n">
        <f aca="false">(COUNTIF(J156:EC156,"=0")+COUNTIF(J156:EC156,"=1"))</f>
        <v>6</v>
      </c>
      <c r="I156" s="15" t="n">
        <f aca="false">IFERROR(ROUND(10-AVERAGE(J156:EC156)*10,0),0)</f>
        <v>7</v>
      </c>
      <c r="J156" s="11" t="n">
        <v>0</v>
      </c>
      <c r="K156" s="11" t="n">
        <v>0</v>
      </c>
      <c r="L156" s="5" t="n">
        <v>0</v>
      </c>
      <c r="M156" s="5"/>
      <c r="N156" s="5"/>
      <c r="O156" s="5"/>
      <c r="P156" s="11" t="n">
        <v>1</v>
      </c>
      <c r="Q156" s="5"/>
      <c r="R156" s="5"/>
      <c r="S156" s="5"/>
      <c r="T156" s="5"/>
      <c r="U156" s="5"/>
      <c r="V156" s="5"/>
      <c r="W156" s="5"/>
      <c r="X156" s="11" t="n">
        <v>1</v>
      </c>
      <c r="Y156" s="5"/>
      <c r="Z156" s="11" t="n">
        <v>0</v>
      </c>
      <c r="AA156" s="5"/>
      <c r="AB156" s="5"/>
    </row>
    <row r="157" customFormat="false" ht="15.75" hidden="false" customHeight="false" outlineLevel="0" collapsed="false">
      <c r="A157" s="5" t="s">
        <v>354</v>
      </c>
      <c r="B157" s="5" t="s">
        <v>415</v>
      </c>
      <c r="C157" s="5" t="s">
        <v>416</v>
      </c>
      <c r="D157" s="5"/>
      <c r="E157" s="5"/>
      <c r="F157" s="5"/>
      <c r="G157" s="9" t="s">
        <v>417</v>
      </c>
      <c r="H157" s="5" t="n">
        <f aca="false">(COUNTIF(J157:EC157,"=0")+COUNTIF(J157:EC157,"=1"))</f>
        <v>5</v>
      </c>
      <c r="I157" s="12" t="n">
        <f aca="false">IFERROR(ROUND(10-AVERAGE(J157:EC157)*10,0),0)</f>
        <v>8</v>
      </c>
      <c r="J157" s="11" t="n">
        <v>0</v>
      </c>
      <c r="K157" s="11" t="n">
        <v>0</v>
      </c>
      <c r="L157" s="5" t="n">
        <v>0</v>
      </c>
      <c r="M157" s="5"/>
      <c r="N157" s="5"/>
      <c r="O157" s="5"/>
      <c r="P157" s="11" t="n">
        <v>1</v>
      </c>
      <c r="Q157" s="5"/>
      <c r="R157" s="5"/>
      <c r="S157" s="5"/>
      <c r="T157" s="5"/>
      <c r="U157" s="5"/>
      <c r="V157" s="5"/>
      <c r="W157" s="5"/>
      <c r="X157" s="5"/>
      <c r="Y157" s="5"/>
      <c r="Z157" s="11" t="n">
        <v>0</v>
      </c>
      <c r="AA157" s="5"/>
      <c r="AB157" s="5"/>
    </row>
    <row r="158" customFormat="false" ht="15.75" hidden="false" customHeight="false" outlineLevel="0" collapsed="false">
      <c r="A158" s="5" t="s">
        <v>354</v>
      </c>
      <c r="B158" s="5" t="s">
        <v>415</v>
      </c>
      <c r="C158" s="5" t="s">
        <v>418</v>
      </c>
      <c r="D158" s="5" t="s">
        <v>419</v>
      </c>
      <c r="E158" s="5"/>
      <c r="F158" s="5"/>
      <c r="G158" s="9" t="s">
        <v>420</v>
      </c>
      <c r="H158" s="5" t="n">
        <f aca="false">(COUNTIF(J158:EC158,"=0")+COUNTIF(J158:EC158,"=1"))</f>
        <v>5</v>
      </c>
      <c r="I158" s="12" t="n">
        <f aca="false">IFERROR(ROUND(10-AVERAGE(J158:EC158)*10,0),0)</f>
        <v>8</v>
      </c>
      <c r="J158" s="11" t="n">
        <v>0</v>
      </c>
      <c r="K158" s="11" t="n">
        <v>0</v>
      </c>
      <c r="L158" s="5" t="n">
        <v>0</v>
      </c>
      <c r="M158" s="5"/>
      <c r="N158" s="5"/>
      <c r="O158" s="5"/>
      <c r="P158" s="11" t="n">
        <v>1</v>
      </c>
      <c r="Q158" s="5"/>
      <c r="R158" s="5"/>
      <c r="S158" s="5"/>
      <c r="T158" s="5"/>
      <c r="U158" s="5"/>
      <c r="V158" s="5"/>
      <c r="W158" s="5"/>
      <c r="X158" s="5"/>
      <c r="Y158" s="5"/>
      <c r="Z158" s="11" t="n">
        <v>0</v>
      </c>
      <c r="AA158" s="5"/>
      <c r="AB158" s="5"/>
    </row>
    <row r="159" customFormat="false" ht="15.75" hidden="false" customHeight="false" outlineLevel="0" collapsed="false">
      <c r="A159" s="5" t="s">
        <v>354</v>
      </c>
      <c r="B159" s="5" t="s">
        <v>415</v>
      </c>
      <c r="C159" s="5" t="s">
        <v>421</v>
      </c>
      <c r="D159" s="5"/>
      <c r="E159" s="5"/>
      <c r="F159" s="5"/>
      <c r="G159" s="9" t="s">
        <v>422</v>
      </c>
      <c r="H159" s="5" t="n">
        <f aca="false">(COUNTIF(J159:EC159,"=0")+COUNTIF(J159:EC159,"=1"))</f>
        <v>5</v>
      </c>
      <c r="I159" s="12" t="n">
        <f aca="false">IFERROR(ROUND(10-AVERAGE(J159:EC159)*10,0),0)</f>
        <v>8</v>
      </c>
      <c r="J159" s="11" t="n">
        <v>0</v>
      </c>
      <c r="K159" s="11" t="n">
        <v>0</v>
      </c>
      <c r="L159" s="5" t="n">
        <v>0</v>
      </c>
      <c r="M159" s="5"/>
      <c r="N159" s="5"/>
      <c r="O159" s="5"/>
      <c r="P159" s="11" t="n">
        <v>1</v>
      </c>
      <c r="Q159" s="5"/>
      <c r="R159" s="5"/>
      <c r="S159" s="5"/>
      <c r="T159" s="5"/>
      <c r="U159" s="5"/>
      <c r="V159" s="5"/>
      <c r="W159" s="5"/>
      <c r="X159" s="5"/>
      <c r="Y159" s="5"/>
      <c r="Z159" s="11" t="n">
        <v>0</v>
      </c>
      <c r="AA159" s="5"/>
      <c r="AB159" s="5"/>
    </row>
    <row r="160" customFormat="false" ht="15.75" hidden="false" customHeight="false" outlineLevel="0" collapsed="false">
      <c r="A160" s="5" t="s">
        <v>354</v>
      </c>
      <c r="B160" s="5" t="s">
        <v>415</v>
      </c>
      <c r="C160" s="5" t="s">
        <v>423</v>
      </c>
      <c r="D160" s="5"/>
      <c r="E160" s="5"/>
      <c r="F160" s="5"/>
      <c r="G160" s="9" t="s">
        <v>424</v>
      </c>
      <c r="H160" s="5" t="n">
        <f aca="false">(COUNTIF(J160:EC160,"=0")+COUNTIF(J160:EC160,"=1"))</f>
        <v>12</v>
      </c>
      <c r="I160" s="16" t="n">
        <f aca="false">IFERROR(ROUND(10-AVERAGE(J160:EC160)*10,0),0)</f>
        <v>8</v>
      </c>
      <c r="J160" s="11" t="n">
        <v>0</v>
      </c>
      <c r="K160" s="11" t="n">
        <v>0</v>
      </c>
      <c r="L160" s="11" t="n">
        <v>0</v>
      </c>
      <c r="M160" s="5"/>
      <c r="N160" s="5"/>
      <c r="O160" s="11" t="n">
        <v>0</v>
      </c>
      <c r="P160" s="11" t="n">
        <v>1</v>
      </c>
      <c r="Q160" s="11" t="n">
        <v>1</v>
      </c>
      <c r="R160" s="11" t="n">
        <v>1</v>
      </c>
      <c r="S160" s="11" t="n">
        <v>0</v>
      </c>
      <c r="T160" s="11" t="n">
        <v>0</v>
      </c>
      <c r="U160" s="11" t="n">
        <v>0</v>
      </c>
      <c r="V160" s="5"/>
      <c r="W160" s="5"/>
      <c r="X160" s="11" t="n">
        <v>0</v>
      </c>
      <c r="Y160" s="5"/>
      <c r="Z160" s="5"/>
      <c r="AA160" s="5"/>
      <c r="AB160" s="5"/>
      <c r="AF160" s="5" t="n">
        <v>0</v>
      </c>
    </row>
    <row r="161" customFormat="false" ht="15.75" hidden="false" customHeight="false" outlineLevel="0" collapsed="false">
      <c r="A161" s="5" t="s">
        <v>425</v>
      </c>
      <c r="B161" s="5" t="s">
        <v>425</v>
      </c>
      <c r="C161" s="5" t="s">
        <v>426</v>
      </c>
      <c r="D161" s="5"/>
      <c r="E161" s="5"/>
      <c r="F161" s="5"/>
      <c r="G161" s="5"/>
      <c r="H161" s="5" t="n">
        <f aca="false">(COUNTIF(J161:EC161,"=0")+COUNTIF(J161:EC161,"=1"))</f>
        <v>8</v>
      </c>
      <c r="I161" s="12" t="n">
        <f aca="false">IFERROR(ROUND(10-AVERAGE(J161:EC161)*10,0),0)</f>
        <v>9</v>
      </c>
      <c r="J161" s="5" t="n">
        <v>0</v>
      </c>
      <c r="K161" s="11" t="n">
        <v>0</v>
      </c>
      <c r="L161" s="5"/>
      <c r="M161" s="5"/>
      <c r="N161" s="5"/>
      <c r="O161" s="5"/>
      <c r="P161" s="11" t="n">
        <v>1</v>
      </c>
      <c r="Q161" s="5" t="n">
        <v>0</v>
      </c>
      <c r="R161" s="5"/>
      <c r="S161" s="5"/>
      <c r="T161" s="11" t="n">
        <v>0</v>
      </c>
      <c r="U161" s="5"/>
      <c r="V161" s="5"/>
      <c r="W161" s="5" t="n">
        <v>0</v>
      </c>
      <c r="X161" s="5"/>
      <c r="Y161" s="5"/>
      <c r="Z161" s="11" t="n">
        <v>0</v>
      </c>
      <c r="AA161" s="5"/>
      <c r="AB161" s="5"/>
      <c r="AG161" s="5" t="n">
        <v>0</v>
      </c>
    </row>
    <row r="162" customFormat="false" ht="15.75" hidden="false" customHeight="false" outlineLevel="0" collapsed="false">
      <c r="A162" s="5" t="s">
        <v>427</v>
      </c>
      <c r="B162" s="5" t="s">
        <v>427</v>
      </c>
      <c r="C162" s="5" t="s">
        <v>428</v>
      </c>
      <c r="D162" s="5"/>
      <c r="E162" s="5"/>
      <c r="F162" s="5"/>
      <c r="G162" s="9" t="s">
        <v>429</v>
      </c>
      <c r="H162" s="5" t="n">
        <f aca="false">(COUNTIF(J162:EC162,"=0")+COUNTIF(J162:EC162,"=1"))</f>
        <v>8</v>
      </c>
      <c r="I162" s="19" t="n">
        <f aca="false">IFERROR(ROUND(10-AVERAGE(J162:EC162)*10,0),0)</f>
        <v>4</v>
      </c>
      <c r="J162" s="11" t="n">
        <v>0</v>
      </c>
      <c r="K162" s="11" t="n">
        <v>1</v>
      </c>
      <c r="L162" s="5" t="n">
        <v>1</v>
      </c>
      <c r="M162" s="5"/>
      <c r="N162" s="5"/>
      <c r="O162" s="5"/>
      <c r="P162" s="11" t="n">
        <v>1</v>
      </c>
      <c r="Q162" s="5"/>
      <c r="R162" s="5"/>
      <c r="S162" s="5"/>
      <c r="T162" s="11" t="n">
        <v>0</v>
      </c>
      <c r="U162" s="5"/>
      <c r="V162" s="5"/>
      <c r="W162" s="5"/>
      <c r="X162" s="5"/>
      <c r="Y162" s="5"/>
      <c r="Z162" s="11" t="n">
        <v>0</v>
      </c>
      <c r="AA162" s="11" t="n">
        <v>1</v>
      </c>
      <c r="AB162" s="5"/>
      <c r="AD162" s="5" t="n">
        <v>1</v>
      </c>
    </row>
    <row r="163" customFormat="false" ht="15.75" hidden="false" customHeight="false" outlineLevel="0" collapsed="false">
      <c r="A163" s="5" t="s">
        <v>427</v>
      </c>
      <c r="B163" s="5" t="s">
        <v>427</v>
      </c>
      <c r="C163" s="5" t="s">
        <v>430</v>
      </c>
      <c r="D163" s="5"/>
      <c r="E163" s="5"/>
      <c r="F163" s="5"/>
      <c r="G163" s="14" t="s">
        <v>431</v>
      </c>
      <c r="H163" s="5" t="n">
        <f aca="false">(COUNTIF(J163:EC163,"=0")+COUNTIF(J163:EC163,"=1"))</f>
        <v>10</v>
      </c>
      <c r="I163" s="13" t="n">
        <f aca="false">IFERROR(ROUND(10-AVERAGE(J163:EC163)*10,0),0)</f>
        <v>2</v>
      </c>
      <c r="J163" s="11" t="n">
        <v>0</v>
      </c>
      <c r="K163" s="11" t="n">
        <v>1</v>
      </c>
      <c r="L163" s="5" t="n">
        <v>1</v>
      </c>
      <c r="M163" s="5"/>
      <c r="N163" s="5"/>
      <c r="O163" s="11" t="n">
        <v>1</v>
      </c>
      <c r="P163" s="11" t="n">
        <v>1</v>
      </c>
      <c r="Q163" s="11" t="n">
        <v>1</v>
      </c>
      <c r="R163" s="11" t="n">
        <v>1</v>
      </c>
      <c r="S163" s="5"/>
      <c r="T163" s="11" t="n">
        <v>1</v>
      </c>
      <c r="U163" s="11" t="n">
        <v>0</v>
      </c>
      <c r="V163" s="5"/>
      <c r="W163" s="5"/>
      <c r="X163" s="11" t="n">
        <v>1</v>
      </c>
      <c r="Y163" s="5"/>
      <c r="Z163" s="5"/>
      <c r="AA163" s="5"/>
      <c r="AB163" s="5"/>
    </row>
    <row r="164" customFormat="false" ht="15.75" hidden="false" customHeight="false" outlineLevel="0" collapsed="false">
      <c r="A164" s="5" t="s">
        <v>427</v>
      </c>
      <c r="B164" s="5" t="s">
        <v>427</v>
      </c>
      <c r="C164" s="5" t="s">
        <v>432</v>
      </c>
      <c r="D164" s="5"/>
      <c r="E164" s="5"/>
      <c r="F164" s="5"/>
      <c r="G164" s="14" t="s">
        <v>433</v>
      </c>
      <c r="H164" s="5" t="n">
        <f aca="false">(COUNTIF(J164:EC164,"=0")+COUNTIF(J164:EC164,"=1"))</f>
        <v>11</v>
      </c>
      <c r="I164" s="19" t="n">
        <f aca="false">IFERROR(ROUND(10-AVERAGE(J164:EC164)*10,0),0)</f>
        <v>5</v>
      </c>
      <c r="J164" s="11" t="n">
        <v>0</v>
      </c>
      <c r="K164" s="11" t="n">
        <v>0</v>
      </c>
      <c r="L164" s="11" t="n">
        <v>0</v>
      </c>
      <c r="M164" s="5"/>
      <c r="N164" s="5"/>
      <c r="O164" s="11" t="n">
        <v>1</v>
      </c>
      <c r="P164" s="11" t="n">
        <v>1</v>
      </c>
      <c r="Q164" s="11" t="n">
        <v>1</v>
      </c>
      <c r="R164" s="11" t="n">
        <v>1</v>
      </c>
      <c r="S164" s="5"/>
      <c r="T164" s="11" t="n">
        <v>0</v>
      </c>
      <c r="U164" s="11" t="n">
        <v>0</v>
      </c>
      <c r="V164" s="5"/>
      <c r="W164" s="5"/>
      <c r="X164" s="11" t="n">
        <v>1</v>
      </c>
      <c r="Y164" s="5"/>
      <c r="Z164" s="5"/>
      <c r="AA164" s="5"/>
      <c r="AB164" s="5"/>
      <c r="AD164" s="5" t="n">
        <v>1</v>
      </c>
    </row>
    <row r="165" customFormat="false" ht="15.75" hidden="false" customHeight="false" outlineLevel="0" collapsed="false">
      <c r="A165" s="5" t="s">
        <v>427</v>
      </c>
      <c r="B165" s="5" t="s">
        <v>427</v>
      </c>
      <c r="C165" s="5" t="s">
        <v>434</v>
      </c>
      <c r="D165" s="5"/>
      <c r="E165" s="5"/>
      <c r="F165" s="5"/>
      <c r="G165" s="9" t="s">
        <v>435</v>
      </c>
      <c r="H165" s="5" t="n">
        <f aca="false">(COUNTIF(J165:EC165,"=0")+COUNTIF(J165:EC165,"=1"))</f>
        <v>8</v>
      </c>
      <c r="I165" s="12" t="n">
        <f aca="false">IFERROR(ROUND(10-AVERAGE(J165:EC165)*10,0),0)</f>
        <v>8</v>
      </c>
      <c r="J165" s="11" t="n">
        <v>0</v>
      </c>
      <c r="K165" s="11" t="n">
        <v>0</v>
      </c>
      <c r="L165" s="5" t="n">
        <v>0</v>
      </c>
      <c r="M165" s="5"/>
      <c r="N165" s="5"/>
      <c r="O165" s="5"/>
      <c r="P165" s="11" t="n">
        <v>1</v>
      </c>
      <c r="Q165" s="5" t="n">
        <v>1</v>
      </c>
      <c r="R165" s="5"/>
      <c r="S165" s="5"/>
      <c r="T165" s="11" t="n">
        <v>0</v>
      </c>
      <c r="U165" s="5"/>
      <c r="V165" s="5"/>
      <c r="W165" s="5"/>
      <c r="X165" s="5"/>
      <c r="Y165" s="5"/>
      <c r="Z165" s="11" t="n">
        <v>0</v>
      </c>
      <c r="AA165" s="5"/>
      <c r="AB165" s="5"/>
      <c r="AF165" s="5" t="n">
        <v>0</v>
      </c>
    </row>
    <row r="166" customFormat="false" ht="15.75" hidden="false" customHeight="false" outlineLevel="0" collapsed="false">
      <c r="A166" s="5" t="s">
        <v>427</v>
      </c>
      <c r="B166" s="5" t="s">
        <v>427</v>
      </c>
      <c r="C166" s="5" t="s">
        <v>436</v>
      </c>
      <c r="D166" s="5"/>
      <c r="E166" s="5"/>
      <c r="F166" s="5"/>
      <c r="G166" s="9" t="s">
        <v>437</v>
      </c>
      <c r="H166" s="5" t="n">
        <f aca="false">(COUNTIF(J166:EC166,"=0")+COUNTIF(J166:EC166,"=1"))</f>
        <v>7</v>
      </c>
      <c r="I166" s="23" t="n">
        <f aca="false">IFERROR(ROUND(10-AVERAGE(J166:EC166)*10,0),0)</f>
        <v>3</v>
      </c>
      <c r="J166" s="11" t="n">
        <v>0</v>
      </c>
      <c r="K166" s="11" t="n">
        <v>1</v>
      </c>
      <c r="L166" s="5" t="n">
        <v>1</v>
      </c>
      <c r="M166" s="5"/>
      <c r="N166" s="5"/>
      <c r="O166" s="5"/>
      <c r="P166" s="11" t="n">
        <v>1</v>
      </c>
      <c r="Q166" s="5" t="n">
        <v>1</v>
      </c>
      <c r="R166" s="5"/>
      <c r="S166" s="5"/>
      <c r="T166" s="11" t="n">
        <v>0</v>
      </c>
      <c r="U166" s="5"/>
      <c r="V166" s="5"/>
      <c r="W166" s="5"/>
      <c r="X166" s="5"/>
      <c r="Y166" s="5"/>
      <c r="Z166" s="11" t="n">
        <v>1</v>
      </c>
      <c r="AA166" s="5"/>
      <c r="AB166" s="5"/>
    </row>
    <row r="167" customFormat="false" ht="15.75" hidden="false" customHeight="false" outlineLevel="0" collapsed="false">
      <c r="A167" s="5" t="s">
        <v>427</v>
      </c>
      <c r="B167" s="5" t="s">
        <v>427</v>
      </c>
      <c r="C167" s="5" t="s">
        <v>438</v>
      </c>
      <c r="D167" s="5"/>
      <c r="E167" s="5"/>
      <c r="F167" s="5"/>
      <c r="G167" s="9" t="s">
        <v>439</v>
      </c>
      <c r="H167" s="5" t="n">
        <f aca="false">(COUNTIF(J167:EC167,"=0")+COUNTIF(J167:EC167,"=1"))</f>
        <v>7</v>
      </c>
      <c r="I167" s="23" t="n">
        <f aca="false">IFERROR(ROUND(10-AVERAGE(J167:EC167)*10,0),0)</f>
        <v>3</v>
      </c>
      <c r="J167" s="11" t="n">
        <v>0</v>
      </c>
      <c r="K167" s="11" t="n">
        <v>1</v>
      </c>
      <c r="L167" s="5" t="n">
        <v>1</v>
      </c>
      <c r="M167" s="5"/>
      <c r="N167" s="5"/>
      <c r="O167" s="5"/>
      <c r="P167" s="11" t="n">
        <v>1</v>
      </c>
      <c r="Q167" s="5" t="n">
        <v>1</v>
      </c>
      <c r="R167" s="5"/>
      <c r="S167" s="5"/>
      <c r="T167" s="11" t="n">
        <v>0</v>
      </c>
      <c r="U167" s="5"/>
      <c r="V167" s="5"/>
      <c r="W167" s="5"/>
      <c r="X167" s="5"/>
      <c r="Y167" s="5"/>
      <c r="Z167" s="11" t="n">
        <v>1</v>
      </c>
      <c r="AA167" s="5"/>
      <c r="AB167" s="5"/>
    </row>
    <row r="168" customFormat="false" ht="15.75" hidden="false" customHeight="false" outlineLevel="0" collapsed="false">
      <c r="A168" s="5" t="s">
        <v>440</v>
      </c>
      <c r="B168" s="5" t="s">
        <v>440</v>
      </c>
      <c r="C168" s="5" t="s">
        <v>441</v>
      </c>
      <c r="D168" s="25"/>
      <c r="E168" s="5"/>
      <c r="F168" s="5"/>
      <c r="G168" s="9" t="s">
        <v>442</v>
      </c>
      <c r="H168" s="5" t="n">
        <f aca="false">(COUNTIF(J168:EC168,"=0")+COUNTIF(J168:EC168,"=1"))</f>
        <v>10</v>
      </c>
      <c r="I168" s="17" t="n">
        <f aca="false">IFERROR(ROUND(10-AVERAGE(J168:EC168)*10,0),0)</f>
        <v>8</v>
      </c>
      <c r="J168" s="11" t="n">
        <v>0</v>
      </c>
      <c r="K168" s="11" t="n">
        <v>1</v>
      </c>
      <c r="L168" s="11" t="n">
        <v>1</v>
      </c>
      <c r="M168" s="5"/>
      <c r="N168" s="5"/>
      <c r="O168" s="11" t="n">
        <v>0</v>
      </c>
      <c r="P168" s="11" t="n">
        <v>0</v>
      </c>
      <c r="Q168" s="11" t="n">
        <v>0</v>
      </c>
      <c r="R168" s="5"/>
      <c r="S168" s="11" t="n">
        <v>0</v>
      </c>
      <c r="T168" s="11" t="n">
        <v>0</v>
      </c>
      <c r="U168" s="11" t="n">
        <v>0</v>
      </c>
      <c r="V168" s="5"/>
      <c r="W168" s="5"/>
      <c r="X168" s="11" t="n">
        <v>0</v>
      </c>
      <c r="Y168" s="5"/>
      <c r="Z168" s="5"/>
      <c r="AA168" s="5"/>
      <c r="AB168" s="5"/>
    </row>
    <row r="169" customFormat="false" ht="15.75" hidden="false" customHeight="false" outlineLevel="0" collapsed="false">
      <c r="A169" s="5" t="s">
        <v>440</v>
      </c>
      <c r="B169" s="5" t="s">
        <v>440</v>
      </c>
      <c r="C169" s="5" t="s">
        <v>443</v>
      </c>
      <c r="D169" s="25"/>
      <c r="E169" s="5"/>
      <c r="F169" s="5"/>
      <c r="G169" s="9" t="s">
        <v>444</v>
      </c>
      <c r="H169" s="5" t="n">
        <f aca="false">(COUNTIF(J169:EC169,"=0")+COUNTIF(J169:EC169,"=1"))</f>
        <v>10</v>
      </c>
      <c r="I169" s="12" t="n">
        <f aca="false">IFERROR(ROUND(10-AVERAGE(J169:EC169)*10,0),0)</f>
        <v>8</v>
      </c>
      <c r="J169" s="11" t="n">
        <v>0</v>
      </c>
      <c r="K169" s="11" t="n">
        <v>1</v>
      </c>
      <c r="L169" s="11" t="n">
        <v>1</v>
      </c>
      <c r="M169" s="5"/>
      <c r="N169" s="5"/>
      <c r="O169" s="11" t="n">
        <v>0</v>
      </c>
      <c r="P169" s="11" t="n">
        <v>0</v>
      </c>
      <c r="Q169" s="11" t="n">
        <v>0</v>
      </c>
      <c r="R169" s="5"/>
      <c r="S169" s="11" t="n">
        <v>0</v>
      </c>
      <c r="T169" s="11" t="n">
        <v>0</v>
      </c>
      <c r="U169" s="11" t="n">
        <v>0</v>
      </c>
      <c r="V169" s="5"/>
      <c r="W169" s="5"/>
      <c r="X169" s="11" t="n">
        <v>0</v>
      </c>
      <c r="Y169" s="5"/>
      <c r="Z169" s="5"/>
      <c r="AA169" s="5"/>
      <c r="AB169" s="5"/>
    </row>
    <row r="170" customFormat="false" ht="15.75" hidden="false" customHeight="false" outlineLevel="0" collapsed="false">
      <c r="A170" s="5" t="s">
        <v>445</v>
      </c>
      <c r="B170" s="5" t="s">
        <v>446</v>
      </c>
      <c r="C170" s="5" t="s">
        <v>447</v>
      </c>
      <c r="D170" s="25" t="s">
        <v>79</v>
      </c>
      <c r="E170" s="5"/>
      <c r="F170" s="5"/>
      <c r="G170" s="5"/>
      <c r="H170" s="5" t="n">
        <f aca="false">(COUNTIF(J170:EC170,"=0")+COUNTIF(J170:EC170,"=1"))</f>
        <v>12</v>
      </c>
      <c r="I170" s="19" t="n">
        <f aca="false">IFERROR(ROUND(10-AVERAGE(J170:EC170)*10,0),0)</f>
        <v>5</v>
      </c>
      <c r="J170" s="11" t="n">
        <v>0</v>
      </c>
      <c r="K170" s="11" t="n">
        <v>1</v>
      </c>
      <c r="L170" s="11" t="n">
        <v>1</v>
      </c>
      <c r="M170" s="5"/>
      <c r="N170" s="11" t="n">
        <v>1</v>
      </c>
      <c r="O170" s="11" t="n">
        <v>0</v>
      </c>
      <c r="P170" s="11" t="n">
        <v>1</v>
      </c>
      <c r="Q170" s="11" t="n">
        <v>1</v>
      </c>
      <c r="R170" s="11" t="n">
        <v>1</v>
      </c>
      <c r="S170" s="5"/>
      <c r="T170" s="11" t="n">
        <v>0</v>
      </c>
      <c r="U170" s="11" t="n">
        <v>0</v>
      </c>
      <c r="V170" s="5"/>
      <c r="W170" s="5"/>
      <c r="X170" s="11" t="n">
        <v>0</v>
      </c>
      <c r="Y170" s="5"/>
      <c r="Z170" s="5"/>
      <c r="AA170" s="5"/>
      <c r="AB170" s="5"/>
      <c r="AF170" s="5" t="n">
        <v>0</v>
      </c>
    </row>
    <row r="171" customFormat="false" ht="15.75" hidden="false" customHeight="false" outlineLevel="0" collapsed="false">
      <c r="A171" s="5" t="s">
        <v>445</v>
      </c>
      <c r="B171" s="5" t="s">
        <v>448</v>
      </c>
      <c r="C171" s="5" t="s">
        <v>449</v>
      </c>
      <c r="D171" s="25" t="s">
        <v>79</v>
      </c>
      <c r="E171" s="5"/>
      <c r="F171" s="5"/>
      <c r="G171" s="14" t="s">
        <v>450</v>
      </c>
      <c r="H171" s="5" t="n">
        <f aca="false">(COUNTIF(J171:EC171,"=0")+COUNTIF(J171:EC171,"=1"))</f>
        <v>12</v>
      </c>
      <c r="I171" s="13" t="n">
        <f aca="false">IFERROR(ROUND(10-AVERAGE(J171:EC171)*10,0),0)</f>
        <v>2</v>
      </c>
      <c r="J171" s="11" t="n">
        <v>1</v>
      </c>
      <c r="K171" s="11" t="n">
        <v>1</v>
      </c>
      <c r="L171" s="11" t="n">
        <v>1</v>
      </c>
      <c r="M171" s="5"/>
      <c r="N171" s="11" t="n">
        <v>1</v>
      </c>
      <c r="O171" s="11" t="n">
        <v>1</v>
      </c>
      <c r="P171" s="11" t="n">
        <v>1</v>
      </c>
      <c r="Q171" s="11" t="n">
        <v>1</v>
      </c>
      <c r="R171" s="11" t="n">
        <v>1</v>
      </c>
      <c r="S171" s="5"/>
      <c r="T171" s="11" t="n">
        <v>1</v>
      </c>
      <c r="U171" s="11" t="n">
        <v>0</v>
      </c>
      <c r="V171" s="5"/>
      <c r="W171" s="5"/>
      <c r="X171" s="11" t="n">
        <v>0</v>
      </c>
      <c r="Y171" s="5"/>
      <c r="Z171" s="5"/>
      <c r="AA171" s="5"/>
      <c r="AB171" s="5"/>
      <c r="AF171" s="5" t="n">
        <v>1</v>
      </c>
    </row>
    <row r="172" customFormat="false" ht="15.75" hidden="false" customHeight="false" outlineLevel="0" collapsed="false">
      <c r="A172" s="5" t="s">
        <v>451</v>
      </c>
      <c r="B172" s="5" t="s">
        <v>451</v>
      </c>
      <c r="C172" s="5" t="s">
        <v>452</v>
      </c>
      <c r="D172" s="5"/>
      <c r="E172" s="5"/>
      <c r="F172" s="5"/>
      <c r="G172" s="5"/>
      <c r="H172" s="5" t="n">
        <f aca="false">(COUNTIF(J172:EC172,"=0")+COUNTIF(J172:EC172,"=1"))</f>
        <v>4</v>
      </c>
      <c r="I172" s="15" t="n">
        <f aca="false">IFERROR(ROUND(10-AVERAGE(J172:EC172)*10,0),0)</f>
        <v>0</v>
      </c>
      <c r="J172" s="5"/>
      <c r="K172" s="5"/>
      <c r="L172" s="5" t="n">
        <v>1</v>
      </c>
      <c r="M172" s="5"/>
      <c r="N172" s="5"/>
      <c r="O172" s="5"/>
      <c r="P172" s="5" t="n">
        <v>1</v>
      </c>
      <c r="Q172" s="5"/>
      <c r="R172" s="5"/>
      <c r="S172" s="5" t="n">
        <v>1</v>
      </c>
      <c r="T172" s="5" t="n">
        <v>1</v>
      </c>
      <c r="U172" s="5"/>
      <c r="V172" s="5"/>
      <c r="W172" s="5"/>
      <c r="X172" s="5"/>
      <c r="Y172" s="5"/>
      <c r="Z172" s="5"/>
      <c r="AA172" s="5"/>
      <c r="AB172" s="5"/>
    </row>
    <row r="173" customFormat="false" ht="15.75" hidden="false" customHeight="false" outlineLevel="0" collapsed="false">
      <c r="A173" s="5" t="s">
        <v>451</v>
      </c>
      <c r="B173" s="5" t="s">
        <v>451</v>
      </c>
      <c r="C173" s="5" t="s">
        <v>453</v>
      </c>
      <c r="D173" s="5" t="s">
        <v>454</v>
      </c>
      <c r="E173" s="5"/>
      <c r="F173" s="5"/>
      <c r="G173" s="14" t="s">
        <v>455</v>
      </c>
      <c r="H173" s="5" t="n">
        <f aca="false">(COUNTIF(J173:EC173,"=0")+COUNTIF(J173:EC173,"=1"))</f>
        <v>4</v>
      </c>
      <c r="I173" s="15" t="n">
        <f aca="false">IFERROR(ROUND(10-AVERAGE(J173:EC173)*10,0),0)</f>
        <v>3</v>
      </c>
      <c r="J173" s="5"/>
      <c r="K173" s="5"/>
      <c r="L173" s="5" t="n">
        <v>0</v>
      </c>
      <c r="M173" s="5"/>
      <c r="N173" s="5"/>
      <c r="O173" s="5"/>
      <c r="P173" s="5" t="n">
        <v>1</v>
      </c>
      <c r="Q173" s="5"/>
      <c r="R173" s="5"/>
      <c r="S173" s="5" t="n">
        <v>1</v>
      </c>
      <c r="T173" s="5"/>
      <c r="U173" s="5"/>
      <c r="V173" s="5"/>
      <c r="W173" s="5" t="n">
        <v>1</v>
      </c>
      <c r="X173" s="5"/>
      <c r="Y173" s="5"/>
      <c r="Z173" s="5"/>
      <c r="AA173" s="5"/>
      <c r="AB173" s="5"/>
    </row>
    <row r="174" customFormat="false" ht="15.75" hidden="false" customHeight="false" outlineLevel="0" collapsed="false">
      <c r="A174" s="5" t="s">
        <v>451</v>
      </c>
      <c r="B174" s="5" t="s">
        <v>451</v>
      </c>
      <c r="C174" s="24" t="s">
        <v>456</v>
      </c>
      <c r="D174" s="5" t="s">
        <v>457</v>
      </c>
      <c r="E174" s="5"/>
      <c r="F174" s="5"/>
      <c r="G174" s="14" t="s">
        <v>458</v>
      </c>
      <c r="H174" s="5" t="n">
        <f aca="false">(COUNTIF(J174:EC174,"=0")+COUNTIF(J174:EC174,"=1"))</f>
        <v>4</v>
      </c>
      <c r="I174" s="15" t="n">
        <f aca="false">IFERROR(ROUND(10-AVERAGE(J174:EC174)*10,0),0)</f>
        <v>0</v>
      </c>
      <c r="J174" s="5"/>
      <c r="K174" s="5"/>
      <c r="L174" s="5" t="n">
        <v>1</v>
      </c>
      <c r="M174" s="5"/>
      <c r="N174" s="5"/>
      <c r="O174" s="5"/>
      <c r="P174" s="5" t="n">
        <v>1</v>
      </c>
      <c r="Q174" s="5"/>
      <c r="R174" s="5"/>
      <c r="S174" s="5" t="n">
        <v>1</v>
      </c>
      <c r="T174" s="5"/>
      <c r="U174" s="5"/>
      <c r="V174" s="5"/>
      <c r="W174" s="5" t="n">
        <v>1</v>
      </c>
      <c r="X174" s="5"/>
      <c r="Y174" s="5"/>
      <c r="Z174" s="5"/>
      <c r="AA174" s="5"/>
      <c r="AB174" s="5"/>
    </row>
    <row r="175" customFormat="false" ht="15.75" hidden="false" customHeight="false" outlineLevel="0" collapsed="false">
      <c r="A175" s="5" t="s">
        <v>451</v>
      </c>
      <c r="B175" s="5" t="s">
        <v>451</v>
      </c>
      <c r="C175" s="24" t="s">
        <v>459</v>
      </c>
      <c r="D175" s="5"/>
      <c r="E175" s="5"/>
      <c r="F175" s="5"/>
      <c r="G175" s="14" t="s">
        <v>460</v>
      </c>
      <c r="H175" s="5" t="n">
        <f aca="false">(COUNTIF(J175:EC175,"=0")+COUNTIF(J175:EC175,"=1"))</f>
        <v>4</v>
      </c>
      <c r="I175" s="15" t="n">
        <f aca="false">IFERROR(ROUND(10-AVERAGE(J175:EC175)*10,0),0)</f>
        <v>3</v>
      </c>
      <c r="J175" s="5"/>
      <c r="K175" s="5"/>
      <c r="L175" s="5" t="n">
        <v>0</v>
      </c>
      <c r="M175" s="5"/>
      <c r="N175" s="5"/>
      <c r="O175" s="5"/>
      <c r="P175" s="5" t="n">
        <v>1</v>
      </c>
      <c r="Q175" s="5"/>
      <c r="R175" s="5"/>
      <c r="S175" s="5" t="n">
        <v>1</v>
      </c>
      <c r="T175" s="5"/>
      <c r="U175" s="5"/>
      <c r="V175" s="5"/>
      <c r="W175" s="5" t="n">
        <v>1</v>
      </c>
      <c r="X175" s="5"/>
      <c r="Y175" s="5"/>
      <c r="Z175" s="5"/>
      <c r="AA175" s="5"/>
      <c r="AB175" s="5"/>
    </row>
    <row r="176" customFormat="false" ht="15.75" hidden="false" customHeight="false" outlineLevel="0" collapsed="false">
      <c r="A176" s="5" t="s">
        <v>451</v>
      </c>
      <c r="B176" s="5" t="s">
        <v>451</v>
      </c>
      <c r="C176" s="5" t="s">
        <v>461</v>
      </c>
      <c r="D176" s="5"/>
      <c r="E176" s="5"/>
      <c r="F176" s="5"/>
      <c r="G176" s="14" t="s">
        <v>462</v>
      </c>
      <c r="H176" s="5" t="n">
        <f aca="false">(COUNTIF(J176:EC176,"=0")+COUNTIF(J176:EC176,"=1"))</f>
        <v>4</v>
      </c>
      <c r="I176" s="15" t="n">
        <f aca="false">IFERROR(ROUND(10-AVERAGE(J176:EC176)*10,0),0)</f>
        <v>0</v>
      </c>
      <c r="J176" s="5"/>
      <c r="K176" s="5"/>
      <c r="L176" s="5" t="n">
        <v>1</v>
      </c>
      <c r="M176" s="5"/>
      <c r="N176" s="5"/>
      <c r="O176" s="5"/>
      <c r="P176" s="5" t="n">
        <v>1</v>
      </c>
      <c r="Q176" s="5"/>
      <c r="R176" s="5"/>
      <c r="S176" s="5" t="n">
        <v>1</v>
      </c>
      <c r="T176" s="5"/>
      <c r="U176" s="5"/>
      <c r="V176" s="5"/>
      <c r="W176" s="5" t="n">
        <v>1</v>
      </c>
      <c r="X176" s="5"/>
      <c r="Y176" s="5"/>
      <c r="Z176" s="5"/>
      <c r="AA176" s="5"/>
      <c r="AB176" s="5"/>
    </row>
    <row r="177" customFormat="false" ht="15.75" hidden="false" customHeight="false" outlineLevel="0" collapsed="false">
      <c r="A177" s="5" t="s">
        <v>463</v>
      </c>
      <c r="B177" s="5" t="s">
        <v>463</v>
      </c>
      <c r="C177" s="5" t="s">
        <v>464</v>
      </c>
      <c r="D177" s="5"/>
      <c r="E177" s="5"/>
      <c r="F177" s="5"/>
      <c r="G177" s="5"/>
      <c r="H177" s="5" t="n">
        <f aca="false">(COUNTIF(J177:EC177,"=0")+COUNTIF(J177:EC177,"=1"))</f>
        <v>9</v>
      </c>
      <c r="I177" s="17" t="n">
        <f aca="false">IFERROR(ROUND(10-AVERAGE(J177:EC177)*10,0),0)</f>
        <v>9</v>
      </c>
      <c r="J177" s="11" t="n">
        <v>0</v>
      </c>
      <c r="K177" s="11" t="n">
        <v>0</v>
      </c>
      <c r="L177" s="5"/>
      <c r="M177" s="5"/>
      <c r="N177" s="5"/>
      <c r="O177" s="11" t="n">
        <v>1</v>
      </c>
      <c r="P177" s="11" t="n">
        <v>0</v>
      </c>
      <c r="Q177" s="11" t="n">
        <v>0</v>
      </c>
      <c r="R177" s="5"/>
      <c r="S177" s="11" t="n">
        <v>0</v>
      </c>
      <c r="T177" s="11" t="n">
        <v>0</v>
      </c>
      <c r="U177" s="11" t="n">
        <v>0</v>
      </c>
      <c r="V177" s="5"/>
      <c r="W177" s="5"/>
      <c r="X177" s="11" t="n">
        <v>0</v>
      </c>
      <c r="Y177" s="5"/>
      <c r="Z177" s="5"/>
      <c r="AA177" s="5"/>
      <c r="AB177" s="5"/>
    </row>
    <row r="178" customFormat="false" ht="15.75" hidden="false" customHeight="false" outlineLevel="0" collapsed="false">
      <c r="A178" s="5" t="s">
        <v>463</v>
      </c>
      <c r="B178" s="5" t="s">
        <v>463</v>
      </c>
      <c r="C178" s="5" t="s">
        <v>465</v>
      </c>
      <c r="D178" s="5"/>
      <c r="E178" s="5"/>
      <c r="F178" s="5"/>
      <c r="G178" s="14" t="s">
        <v>466</v>
      </c>
      <c r="H178" s="5" t="n">
        <f aca="false">(COUNTIF(J178:EC178,"=0")+COUNTIF(J178:EC178,"=1"))</f>
        <v>11</v>
      </c>
      <c r="I178" s="17" t="n">
        <f aca="false">IFERROR(ROUND(10-AVERAGE(J178:EC178)*10,0),0)</f>
        <v>9</v>
      </c>
      <c r="J178" s="11" t="n">
        <v>0</v>
      </c>
      <c r="K178" s="11" t="n">
        <v>0</v>
      </c>
      <c r="L178" s="5" t="n">
        <v>0</v>
      </c>
      <c r="M178" s="5"/>
      <c r="N178" s="5"/>
      <c r="O178" s="11" t="n">
        <v>1</v>
      </c>
      <c r="P178" s="11" t="n">
        <v>0</v>
      </c>
      <c r="Q178" s="11" t="n">
        <v>0</v>
      </c>
      <c r="R178" s="5"/>
      <c r="S178" s="11" t="n">
        <v>0</v>
      </c>
      <c r="T178" s="11" t="n">
        <v>0</v>
      </c>
      <c r="U178" s="11" t="n">
        <v>0</v>
      </c>
      <c r="V178" s="5"/>
      <c r="W178" s="5"/>
      <c r="X178" s="11" t="n">
        <v>0</v>
      </c>
      <c r="Y178" s="5"/>
      <c r="Z178" s="5"/>
      <c r="AA178" s="5"/>
      <c r="AB178" s="5"/>
      <c r="AC178" s="5" t="n">
        <v>0</v>
      </c>
    </row>
    <row r="179" customFormat="false" ht="15.75" hidden="false" customHeight="false" outlineLevel="0" collapsed="false">
      <c r="A179" s="5" t="s">
        <v>467</v>
      </c>
      <c r="B179" s="5" t="s">
        <v>467</v>
      </c>
      <c r="C179" s="5" t="s">
        <v>467</v>
      </c>
      <c r="D179" s="5"/>
      <c r="E179" s="14" t="s">
        <v>468</v>
      </c>
      <c r="F179" s="5"/>
      <c r="G179" s="14" t="s">
        <v>469</v>
      </c>
      <c r="H179" s="5" t="n">
        <f aca="false">(COUNTIF(J179:EC179,"=0")+COUNTIF(J179:EC179,"=1"))</f>
        <v>9</v>
      </c>
      <c r="I179" s="17" t="n">
        <f aca="false">IFERROR(ROUND(10-AVERAGE(J179:EC179)*10,0),0)</f>
        <v>9</v>
      </c>
      <c r="J179" s="11" t="n">
        <v>0</v>
      </c>
      <c r="K179" s="11" t="n">
        <v>0</v>
      </c>
      <c r="L179" s="5"/>
      <c r="M179" s="5"/>
      <c r="N179" s="5"/>
      <c r="O179" s="5"/>
      <c r="P179" s="11" t="n">
        <v>0</v>
      </c>
      <c r="Q179" s="11" t="n">
        <v>0</v>
      </c>
      <c r="R179" s="5"/>
      <c r="S179" s="11" t="n">
        <v>1</v>
      </c>
      <c r="T179" s="11" t="n">
        <v>0</v>
      </c>
      <c r="U179" s="11" t="n">
        <v>0</v>
      </c>
      <c r="V179" s="5"/>
      <c r="W179" s="5"/>
      <c r="X179" s="11" t="n">
        <v>0</v>
      </c>
      <c r="Y179" s="5"/>
      <c r="Z179" s="5"/>
      <c r="AA179" s="11" t="n">
        <v>0</v>
      </c>
      <c r="AB179" s="5"/>
    </row>
    <row r="180" customFormat="false" ht="15.75" hidden="false" customHeight="false" outlineLevel="0" collapsed="false">
      <c r="A180" s="5" t="s">
        <v>470</v>
      </c>
      <c r="B180" s="5" t="s">
        <v>470</v>
      </c>
      <c r="C180" s="5" t="s">
        <v>471</v>
      </c>
      <c r="D180" s="5"/>
      <c r="E180" s="14" t="s">
        <v>472</v>
      </c>
      <c r="F180" s="5"/>
      <c r="G180" s="14" t="s">
        <v>473</v>
      </c>
      <c r="H180" s="5" t="n">
        <f aca="false">(COUNTIF(J180:EC180,"=0")+COUNTIF(J180:EC180,"=1"))</f>
        <v>1</v>
      </c>
      <c r="I180" s="15" t="n">
        <f aca="false">IFERROR(ROUND(10-AVERAGE(J180:EC180)*10,0),0)</f>
        <v>0</v>
      </c>
      <c r="J180" s="5"/>
      <c r="K180" s="5"/>
      <c r="L180" s="5"/>
      <c r="M180" s="5"/>
      <c r="N180" s="5"/>
      <c r="O180" s="5"/>
      <c r="P180" s="5" t="n">
        <v>1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customFormat="false" ht="15.75" hidden="false" customHeight="false" outlineLevel="0" collapsed="false">
      <c r="A181" s="5" t="s">
        <v>470</v>
      </c>
      <c r="B181" s="5" t="s">
        <v>474</v>
      </c>
      <c r="C181" s="5" t="s">
        <v>475</v>
      </c>
      <c r="D181" s="5"/>
      <c r="E181" s="5"/>
      <c r="F181" s="5"/>
      <c r="G181" s="5"/>
      <c r="H181" s="5" t="n">
        <f aca="false">(COUNTIF(J181:EC181,"=0")+COUNTIF(J181:EC181,"=1"))</f>
        <v>1</v>
      </c>
      <c r="I181" s="15" t="n">
        <f aca="false">IFERROR(ROUND(10-AVERAGE(J181:EC181)*10,0),0)</f>
        <v>0</v>
      </c>
      <c r="J181" s="5"/>
      <c r="K181" s="5"/>
      <c r="L181" s="5"/>
      <c r="M181" s="5"/>
      <c r="N181" s="5"/>
      <c r="O181" s="5"/>
      <c r="P181" s="5" t="n">
        <v>1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customFormat="false" ht="15.75" hidden="false" customHeight="false" outlineLevel="0" collapsed="false">
      <c r="A182" s="5" t="s">
        <v>476</v>
      </c>
      <c r="B182" s="5" t="s">
        <v>477</v>
      </c>
      <c r="C182" s="5" t="s">
        <v>478</v>
      </c>
      <c r="D182" s="5"/>
      <c r="E182" s="5"/>
      <c r="F182" s="5"/>
      <c r="G182" s="5"/>
      <c r="H182" s="5" t="n">
        <f aca="false">(COUNTIF(J182:EC182,"=0")+COUNTIF(J182:EC182,"=1"))</f>
        <v>9</v>
      </c>
      <c r="I182" s="16" t="n">
        <f aca="false">IFERROR(ROUND(10-AVERAGE(J182:EC182)*10,0),0)</f>
        <v>7</v>
      </c>
      <c r="J182" s="11" t="n">
        <v>1</v>
      </c>
      <c r="K182" s="11" t="n">
        <v>0</v>
      </c>
      <c r="L182" s="5"/>
      <c r="M182" s="11" t="n">
        <v>0</v>
      </c>
      <c r="N182" s="5"/>
      <c r="O182" s="11" t="n">
        <v>1</v>
      </c>
      <c r="P182" s="11" t="n">
        <v>1</v>
      </c>
      <c r="Q182" s="11" t="n">
        <v>0</v>
      </c>
      <c r="R182" s="5"/>
      <c r="S182" s="5"/>
      <c r="T182" s="11" t="n">
        <v>0</v>
      </c>
      <c r="U182" s="11" t="n">
        <v>0</v>
      </c>
      <c r="V182" s="5"/>
      <c r="W182" s="5"/>
      <c r="X182" s="11" t="n">
        <v>0</v>
      </c>
      <c r="Y182" s="5"/>
      <c r="Z182" s="5"/>
      <c r="AA182" s="5"/>
      <c r="AB182" s="5"/>
    </row>
    <row r="183" customFormat="false" ht="15.75" hidden="false" customHeight="false" outlineLevel="0" collapsed="false">
      <c r="A183" s="5" t="s">
        <v>476</v>
      </c>
      <c r="B183" s="5" t="s">
        <v>479</v>
      </c>
      <c r="C183" s="5" t="s">
        <v>478</v>
      </c>
      <c r="D183" s="5"/>
      <c r="E183" s="5"/>
      <c r="F183" s="5"/>
      <c r="G183" s="5"/>
      <c r="H183" s="5" t="n">
        <f aca="false">(COUNTIF(J183:EC183,"=0")+COUNTIF(J183:EC183,"=1"))</f>
        <v>9</v>
      </c>
      <c r="I183" s="17" t="n">
        <f aca="false">IFERROR(ROUND(10-AVERAGE(J183:EC183)*10,0),0)</f>
        <v>9</v>
      </c>
      <c r="J183" s="11" t="n">
        <v>0</v>
      </c>
      <c r="K183" s="11" t="n">
        <v>0</v>
      </c>
      <c r="L183" s="5"/>
      <c r="M183" s="5"/>
      <c r="N183" s="5"/>
      <c r="O183" s="11" t="n">
        <v>1</v>
      </c>
      <c r="P183" s="11" t="n">
        <v>0</v>
      </c>
      <c r="Q183" s="11" t="n">
        <v>0</v>
      </c>
      <c r="R183" s="5"/>
      <c r="S183" s="5"/>
      <c r="T183" s="11" t="n">
        <v>0</v>
      </c>
      <c r="U183" s="11" t="n">
        <v>0</v>
      </c>
      <c r="V183" s="5"/>
      <c r="W183" s="5"/>
      <c r="X183" s="11" t="n">
        <v>0</v>
      </c>
      <c r="Y183" s="5"/>
      <c r="Z183" s="5" t="n">
        <v>0</v>
      </c>
      <c r="AA183" s="5"/>
      <c r="AB183" s="5"/>
    </row>
    <row r="184" customFormat="false" ht="15.75" hidden="false" customHeight="false" outlineLevel="0" collapsed="false">
      <c r="A184" s="5" t="s">
        <v>480</v>
      </c>
      <c r="B184" s="5" t="s">
        <v>480</v>
      </c>
      <c r="C184" s="5" t="s">
        <v>481</v>
      </c>
      <c r="D184" s="5"/>
      <c r="E184" s="5"/>
      <c r="F184" s="5"/>
      <c r="G184" s="5"/>
      <c r="H184" s="5" t="n">
        <f aca="false">(COUNTIF(J184:EC184,"=0")+COUNTIF(J184:EC184,"=1"))</f>
        <v>7</v>
      </c>
      <c r="I184" s="10" t="n">
        <f aca="false">IFERROR(ROUND(10-AVERAGE(J184:EC184)*10,0),0)</f>
        <v>10</v>
      </c>
      <c r="J184" s="5" t="n">
        <v>0</v>
      </c>
      <c r="K184" s="11" t="n">
        <v>0</v>
      </c>
      <c r="L184" s="5"/>
      <c r="M184" s="5"/>
      <c r="N184" s="5"/>
      <c r="O184" s="5"/>
      <c r="P184" s="11" t="n">
        <v>0</v>
      </c>
      <c r="Q184" s="5" t="n">
        <v>0</v>
      </c>
      <c r="R184" s="5"/>
      <c r="S184" s="5"/>
      <c r="T184" s="11" t="n">
        <v>0</v>
      </c>
      <c r="U184" s="5"/>
      <c r="V184" s="5"/>
      <c r="W184" s="5" t="n">
        <v>0</v>
      </c>
      <c r="X184" s="5"/>
      <c r="Y184" s="5"/>
      <c r="Z184" s="11" t="n">
        <v>0</v>
      </c>
      <c r="AA184" s="5"/>
      <c r="AB184" s="5"/>
    </row>
    <row r="185" customFormat="false" ht="15.75" hidden="false" customHeight="false" outlineLevel="0" collapsed="false">
      <c r="A185" s="5" t="s">
        <v>482</v>
      </c>
      <c r="B185" s="5" t="s">
        <v>483</v>
      </c>
      <c r="C185" s="5" t="s">
        <v>484</v>
      </c>
      <c r="D185" s="5"/>
      <c r="E185" s="5"/>
      <c r="F185" s="5"/>
      <c r="G185" s="14" t="s">
        <v>485</v>
      </c>
      <c r="H185" s="5" t="n">
        <f aca="false">(COUNTIF(J185:EC185,"=0")+COUNTIF(J185:EC185,"=1"))</f>
        <v>8</v>
      </c>
      <c r="I185" s="17" t="n">
        <f aca="false">IFERROR(ROUND(10-AVERAGE(J185:EC185)*10,0),0)</f>
        <v>9</v>
      </c>
      <c r="J185" s="11" t="n">
        <v>0</v>
      </c>
      <c r="K185" s="11" t="n">
        <v>0</v>
      </c>
      <c r="L185" s="5"/>
      <c r="M185" s="5"/>
      <c r="N185" s="5"/>
      <c r="O185" s="11" t="n">
        <v>0</v>
      </c>
      <c r="P185" s="11" t="n">
        <v>1</v>
      </c>
      <c r="Q185" s="5"/>
      <c r="R185" s="5"/>
      <c r="S185" s="11" t="n">
        <v>0</v>
      </c>
      <c r="T185" s="11" t="n">
        <v>0</v>
      </c>
      <c r="U185" s="11" t="n">
        <v>0</v>
      </c>
      <c r="V185" s="5"/>
      <c r="W185" s="5"/>
      <c r="X185" s="11" t="n">
        <v>0</v>
      </c>
      <c r="Y185" s="5"/>
      <c r="Z185" s="5"/>
      <c r="AA185" s="5"/>
      <c r="AB185" s="5"/>
    </row>
    <row r="186" customFormat="false" ht="15.75" hidden="false" customHeight="false" outlineLevel="0" collapsed="false">
      <c r="A186" s="5" t="s">
        <v>482</v>
      </c>
      <c r="B186" s="5" t="s">
        <v>483</v>
      </c>
      <c r="C186" s="5" t="s">
        <v>486</v>
      </c>
      <c r="D186" s="5"/>
      <c r="E186" s="5"/>
      <c r="F186" s="5"/>
      <c r="G186" s="9" t="s">
        <v>485</v>
      </c>
      <c r="H186" s="5" t="n">
        <f aca="false">(COUNTIF(J186:EC186,"=0")+COUNTIF(J186:EC186,"=1"))</f>
        <v>7</v>
      </c>
      <c r="I186" s="16" t="n">
        <f aca="false">IFERROR(ROUND(10-AVERAGE(J186:EC186)*10,0),0)</f>
        <v>6</v>
      </c>
      <c r="J186" s="11" t="n">
        <v>1</v>
      </c>
      <c r="K186" s="11" t="n">
        <v>0</v>
      </c>
      <c r="L186" s="5"/>
      <c r="M186" s="5"/>
      <c r="N186" s="5"/>
      <c r="O186" s="5"/>
      <c r="P186" s="11" t="n">
        <v>1</v>
      </c>
      <c r="Q186" s="5" t="n">
        <v>1</v>
      </c>
      <c r="R186" s="5"/>
      <c r="S186" s="5"/>
      <c r="T186" s="11" t="n">
        <v>0</v>
      </c>
      <c r="U186" s="5"/>
      <c r="V186" s="5"/>
      <c r="W186" s="5"/>
      <c r="X186" s="11" t="n">
        <v>0</v>
      </c>
      <c r="Y186" s="5"/>
      <c r="Z186" s="11" t="n">
        <v>0</v>
      </c>
      <c r="AA186" s="5"/>
      <c r="AB186" s="5"/>
    </row>
    <row r="187" customFormat="false" ht="15.75" hidden="false" customHeight="false" outlineLevel="0" collapsed="false">
      <c r="A187" s="5" t="s">
        <v>482</v>
      </c>
      <c r="B187" s="5" t="s">
        <v>483</v>
      </c>
      <c r="C187" s="5" t="s">
        <v>487</v>
      </c>
      <c r="D187" s="5"/>
      <c r="E187" s="5"/>
      <c r="F187" s="5"/>
      <c r="G187" s="9" t="s">
        <v>488</v>
      </c>
      <c r="H187" s="5" t="n">
        <f aca="false">(COUNTIF(J187:EC187,"=0")+COUNTIF(J187:EC187,"=1"))</f>
        <v>9</v>
      </c>
      <c r="I187" s="12" t="n">
        <f aca="false">IFERROR(ROUND(10-AVERAGE(J187:EC187)*10,0),0)</f>
        <v>8</v>
      </c>
      <c r="J187" s="11" t="n">
        <v>0</v>
      </c>
      <c r="K187" s="11" t="n">
        <v>0</v>
      </c>
      <c r="L187" s="5"/>
      <c r="M187" s="5"/>
      <c r="N187" s="5"/>
      <c r="O187" s="11" t="n">
        <v>0</v>
      </c>
      <c r="P187" s="11" t="n">
        <v>1</v>
      </c>
      <c r="Q187" s="11" t="n">
        <v>1</v>
      </c>
      <c r="R187" s="5"/>
      <c r="S187" s="11" t="n">
        <v>0</v>
      </c>
      <c r="T187" s="11" t="n">
        <v>0</v>
      </c>
      <c r="U187" s="11" t="n">
        <v>0</v>
      </c>
      <c r="V187" s="5"/>
      <c r="W187" s="5"/>
      <c r="X187" s="11" t="n">
        <v>0</v>
      </c>
      <c r="Y187" s="5"/>
      <c r="Z187" s="5"/>
      <c r="AA187" s="5"/>
      <c r="AB187" s="5"/>
    </row>
    <row r="188" customFormat="false" ht="15.75" hidden="false" customHeight="false" outlineLevel="0" collapsed="false">
      <c r="A188" s="5" t="s">
        <v>482</v>
      </c>
      <c r="B188" s="5" t="s">
        <v>482</v>
      </c>
      <c r="C188" s="5" t="s">
        <v>489</v>
      </c>
      <c r="D188" s="5"/>
      <c r="E188" s="5"/>
      <c r="F188" s="5"/>
      <c r="G188" s="5"/>
      <c r="H188" s="5" t="n">
        <f aca="false">(COUNTIF(J188:EC188,"=0")+COUNTIF(J188:EC188,"=1"))</f>
        <v>5</v>
      </c>
      <c r="I188" s="19" t="n">
        <f aca="false">IFERROR(ROUND(10-AVERAGE(J188:EC188)*10,0),0)</f>
        <v>6</v>
      </c>
      <c r="J188" s="5" t="n">
        <v>0</v>
      </c>
      <c r="K188" s="11" t="n">
        <v>0</v>
      </c>
      <c r="L188" s="5"/>
      <c r="M188" s="5"/>
      <c r="N188" s="5"/>
      <c r="O188" s="5"/>
      <c r="P188" s="11" t="n">
        <v>1</v>
      </c>
      <c r="Q188" s="5"/>
      <c r="R188" s="5"/>
      <c r="S188" s="5"/>
      <c r="T188" s="11" t="n">
        <v>0</v>
      </c>
      <c r="U188" s="5"/>
      <c r="V188" s="5"/>
      <c r="W188" s="5"/>
      <c r="X188" s="5"/>
      <c r="Y188" s="5"/>
      <c r="Z188" s="11" t="n">
        <v>1</v>
      </c>
      <c r="AA188" s="5"/>
      <c r="AB188" s="5"/>
    </row>
    <row r="189" customFormat="false" ht="15.75" hidden="false" customHeight="false" outlineLevel="0" collapsed="false">
      <c r="A189" s="5" t="s">
        <v>482</v>
      </c>
      <c r="B189" s="5" t="s">
        <v>482</v>
      </c>
      <c r="C189" s="5" t="s">
        <v>490</v>
      </c>
      <c r="D189" s="5"/>
      <c r="E189" s="5"/>
      <c r="F189" s="5"/>
      <c r="G189" s="5"/>
      <c r="H189" s="5" t="n">
        <f aca="false">(COUNTIF(J189:EC189,"=0")+COUNTIF(J189:EC189,"=1"))</f>
        <v>5</v>
      </c>
      <c r="I189" s="19" t="n">
        <f aca="false">IFERROR(ROUND(10-AVERAGE(J189:EC189)*10,0),0)</f>
        <v>6</v>
      </c>
      <c r="J189" s="5" t="n">
        <v>0</v>
      </c>
      <c r="K189" s="11" t="n">
        <v>0</v>
      </c>
      <c r="L189" s="5"/>
      <c r="M189" s="5"/>
      <c r="N189" s="5"/>
      <c r="O189" s="5"/>
      <c r="P189" s="11" t="n">
        <v>1</v>
      </c>
      <c r="Q189" s="5"/>
      <c r="R189" s="5"/>
      <c r="S189" s="5"/>
      <c r="T189" s="11" t="n">
        <v>0</v>
      </c>
      <c r="U189" s="5"/>
      <c r="V189" s="5"/>
      <c r="W189" s="5"/>
      <c r="X189" s="5"/>
      <c r="Y189" s="5"/>
      <c r="Z189" s="11" t="n">
        <v>1</v>
      </c>
      <c r="AA189" s="5"/>
      <c r="AB189" s="5"/>
    </row>
    <row r="190" customFormat="false" ht="15.75" hidden="false" customHeight="false" outlineLevel="0" collapsed="false">
      <c r="A190" s="5" t="s">
        <v>482</v>
      </c>
      <c r="B190" s="5" t="s">
        <v>482</v>
      </c>
      <c r="C190" s="5" t="s">
        <v>491</v>
      </c>
      <c r="D190" s="5"/>
      <c r="E190" s="5"/>
      <c r="F190" s="5"/>
      <c r="G190" s="5"/>
      <c r="H190" s="5" t="n">
        <f aca="false">(COUNTIF(J190:EC190,"=0")+COUNTIF(J190:EC190,"=1"))</f>
        <v>5</v>
      </c>
      <c r="I190" s="19" t="n">
        <f aca="false">IFERROR(ROUND(10-AVERAGE(J190:EC190)*10,0),0)</f>
        <v>6</v>
      </c>
      <c r="J190" s="5" t="n">
        <v>0</v>
      </c>
      <c r="K190" s="11" t="n">
        <v>0</v>
      </c>
      <c r="L190" s="5"/>
      <c r="M190" s="5"/>
      <c r="N190" s="5"/>
      <c r="O190" s="5"/>
      <c r="P190" s="11" t="n">
        <v>1</v>
      </c>
      <c r="Q190" s="5"/>
      <c r="R190" s="5"/>
      <c r="S190" s="5"/>
      <c r="T190" s="11" t="n">
        <v>0</v>
      </c>
      <c r="U190" s="5"/>
      <c r="V190" s="5"/>
      <c r="W190" s="5"/>
      <c r="X190" s="5"/>
      <c r="Y190" s="5"/>
      <c r="Z190" s="11" t="n">
        <v>1</v>
      </c>
      <c r="AA190" s="5"/>
      <c r="AB190" s="5"/>
    </row>
    <row r="191" customFormat="false" ht="15.75" hidden="false" customHeight="false" outlineLevel="0" collapsed="false">
      <c r="A191" s="5" t="s">
        <v>482</v>
      </c>
      <c r="B191" s="5" t="s">
        <v>482</v>
      </c>
      <c r="C191" s="5" t="s">
        <v>492</v>
      </c>
      <c r="D191" s="5"/>
      <c r="E191" s="5"/>
      <c r="F191" s="5"/>
      <c r="G191" s="5"/>
      <c r="H191" s="5" t="n">
        <f aca="false">(COUNTIF(J191:EC191,"=0")+COUNTIF(J191:EC191,"=1"))</f>
        <v>6</v>
      </c>
      <c r="I191" s="19" t="n">
        <f aca="false">IFERROR(ROUND(10-AVERAGE(J191:EC191)*10,0),0)</f>
        <v>7</v>
      </c>
      <c r="J191" s="5" t="n">
        <v>0</v>
      </c>
      <c r="K191" s="11" t="n">
        <v>0</v>
      </c>
      <c r="L191" s="5"/>
      <c r="M191" s="5"/>
      <c r="N191" s="5"/>
      <c r="O191" s="5"/>
      <c r="P191" s="11" t="n">
        <v>1</v>
      </c>
      <c r="Q191" s="5" t="n">
        <v>0</v>
      </c>
      <c r="R191" s="5"/>
      <c r="S191" s="5"/>
      <c r="T191" s="11" t="n">
        <v>0</v>
      </c>
      <c r="U191" s="5"/>
      <c r="V191" s="5"/>
      <c r="W191" s="5"/>
      <c r="X191" s="5"/>
      <c r="Y191" s="5"/>
      <c r="Z191" s="11" t="n">
        <v>1</v>
      </c>
      <c r="AA191" s="5"/>
      <c r="AB191" s="5"/>
    </row>
    <row r="192" customFormat="false" ht="15.75" hidden="false" customHeight="false" outlineLevel="0" collapsed="false">
      <c r="A192" s="5" t="s">
        <v>482</v>
      </c>
      <c r="B192" s="5" t="s">
        <v>482</v>
      </c>
      <c r="C192" s="5" t="s">
        <v>493</v>
      </c>
      <c r="D192" s="5"/>
      <c r="E192" s="5"/>
      <c r="F192" s="5"/>
      <c r="G192" s="5"/>
      <c r="H192" s="5" t="n">
        <f aca="false">(COUNTIF(J192:EC192,"=0")+COUNTIF(J192:EC192,"=1"))</f>
        <v>5</v>
      </c>
      <c r="I192" s="19" t="n">
        <f aca="false">IFERROR(ROUND(10-AVERAGE(J192:EC192)*10,0),0)</f>
        <v>6</v>
      </c>
      <c r="J192" s="5" t="n">
        <v>0</v>
      </c>
      <c r="K192" s="11" t="n">
        <v>0</v>
      </c>
      <c r="L192" s="5"/>
      <c r="M192" s="5"/>
      <c r="N192" s="5"/>
      <c r="O192" s="5"/>
      <c r="P192" s="11" t="n">
        <v>1</v>
      </c>
      <c r="Q192" s="5"/>
      <c r="R192" s="5"/>
      <c r="S192" s="5"/>
      <c r="T192" s="11" t="n">
        <v>0</v>
      </c>
      <c r="U192" s="5"/>
      <c r="V192" s="5"/>
      <c r="W192" s="5"/>
      <c r="X192" s="5"/>
      <c r="Y192" s="5"/>
      <c r="Z192" s="11" t="n">
        <v>1</v>
      </c>
      <c r="AA192" s="5"/>
      <c r="AB192" s="5"/>
    </row>
    <row r="193" customFormat="false" ht="15.75" hidden="false" customHeight="false" outlineLevel="0" collapsed="false">
      <c r="A193" s="5" t="s">
        <v>482</v>
      </c>
      <c r="B193" s="5" t="s">
        <v>482</v>
      </c>
      <c r="C193" s="5" t="s">
        <v>494</v>
      </c>
      <c r="D193" s="5"/>
      <c r="E193" s="5"/>
      <c r="F193" s="5"/>
      <c r="G193" s="5"/>
      <c r="H193" s="5" t="n">
        <f aca="false">(COUNTIF(J193:EC193,"=0")+COUNTIF(J193:EC193,"=1"))</f>
        <v>5</v>
      </c>
      <c r="I193" s="15" t="n">
        <f aca="false">IFERROR(ROUND(10-AVERAGE(J193:EC193)*10,0),0)</f>
        <v>6</v>
      </c>
      <c r="J193" s="11" t="n">
        <v>0</v>
      </c>
      <c r="K193" s="11" t="n">
        <v>0</v>
      </c>
      <c r="L193" s="5"/>
      <c r="M193" s="5"/>
      <c r="N193" s="5"/>
      <c r="O193" s="5"/>
      <c r="P193" s="11" t="n">
        <v>1</v>
      </c>
      <c r="Q193" s="5"/>
      <c r="R193" s="5"/>
      <c r="S193" s="5"/>
      <c r="T193" s="11" t="n">
        <v>0</v>
      </c>
      <c r="U193" s="5"/>
      <c r="V193" s="5"/>
      <c r="W193" s="5"/>
      <c r="X193" s="5"/>
      <c r="Y193" s="5"/>
      <c r="Z193" s="11" t="n">
        <v>1</v>
      </c>
      <c r="AA193" s="5"/>
      <c r="AB193" s="5"/>
    </row>
    <row r="194" customFormat="false" ht="15.75" hidden="false" customHeight="false" outlineLevel="0" collapsed="false">
      <c r="A194" s="5" t="s">
        <v>482</v>
      </c>
      <c r="B194" s="5" t="s">
        <v>482</v>
      </c>
      <c r="C194" s="5" t="s">
        <v>495</v>
      </c>
      <c r="D194" s="5"/>
      <c r="E194" s="5"/>
      <c r="F194" s="5"/>
      <c r="G194" s="5"/>
      <c r="H194" s="5" t="n">
        <f aca="false">(COUNTIF(J194:EC194,"=0")+COUNTIF(J194:EC194,"=1"))</f>
        <v>5</v>
      </c>
      <c r="I194" s="19" t="n">
        <f aca="false">IFERROR(ROUND(10-AVERAGE(J194:EC194)*10,0),0)</f>
        <v>6</v>
      </c>
      <c r="J194" s="5" t="n">
        <v>0</v>
      </c>
      <c r="K194" s="11" t="n">
        <v>0</v>
      </c>
      <c r="L194" s="5"/>
      <c r="M194" s="5"/>
      <c r="N194" s="5"/>
      <c r="O194" s="5"/>
      <c r="P194" s="11" t="n">
        <v>1</v>
      </c>
      <c r="Q194" s="5"/>
      <c r="R194" s="5"/>
      <c r="S194" s="5"/>
      <c r="T194" s="11" t="n">
        <v>0</v>
      </c>
      <c r="U194" s="5"/>
      <c r="V194" s="5"/>
      <c r="W194" s="5"/>
      <c r="X194" s="5"/>
      <c r="Y194" s="5"/>
      <c r="Z194" s="11" t="n">
        <v>1</v>
      </c>
      <c r="AA194" s="5"/>
      <c r="AB194" s="5"/>
    </row>
    <row r="195" customFormat="false" ht="15.75" hidden="false" customHeight="false" outlineLevel="0" collapsed="false">
      <c r="A195" s="5" t="s">
        <v>482</v>
      </c>
      <c r="B195" s="5" t="s">
        <v>482</v>
      </c>
      <c r="C195" s="5" t="s">
        <v>496</v>
      </c>
      <c r="D195" s="5"/>
      <c r="E195" s="5"/>
      <c r="F195" s="5"/>
      <c r="G195" s="5"/>
      <c r="H195" s="5" t="n">
        <f aca="false">(COUNTIF(J195:EC195,"=0")+COUNTIF(J195:EC195,"=1"))</f>
        <v>5</v>
      </c>
      <c r="I195" s="19" t="n">
        <f aca="false">IFERROR(ROUND(10-AVERAGE(J195:EC195)*10,0),0)</f>
        <v>4</v>
      </c>
      <c r="J195" s="5" t="n">
        <v>1</v>
      </c>
      <c r="K195" s="11" t="n">
        <v>0</v>
      </c>
      <c r="L195" s="5"/>
      <c r="M195" s="5"/>
      <c r="N195" s="5"/>
      <c r="O195" s="5"/>
      <c r="P195" s="11" t="n">
        <v>1</v>
      </c>
      <c r="Q195" s="5"/>
      <c r="R195" s="5"/>
      <c r="S195" s="5"/>
      <c r="T195" s="11" t="n">
        <v>0</v>
      </c>
      <c r="U195" s="5"/>
      <c r="V195" s="5"/>
      <c r="W195" s="5"/>
      <c r="X195" s="5"/>
      <c r="Y195" s="5"/>
      <c r="Z195" s="11" t="n">
        <v>1</v>
      </c>
      <c r="AA195" s="5"/>
      <c r="AB195" s="5"/>
    </row>
    <row r="196" customFormat="false" ht="15.75" hidden="false" customHeight="false" outlineLevel="0" collapsed="false">
      <c r="A196" s="5" t="s">
        <v>482</v>
      </c>
      <c r="B196" s="5" t="s">
        <v>482</v>
      </c>
      <c r="C196" s="5" t="s">
        <v>497</v>
      </c>
      <c r="D196" s="5"/>
      <c r="E196" s="5"/>
      <c r="F196" s="5"/>
      <c r="G196" s="5"/>
      <c r="H196" s="5" t="n">
        <f aca="false">(COUNTIF(J196:EC196,"=0")+COUNTIF(J196:EC196,"=1"))</f>
        <v>5</v>
      </c>
      <c r="I196" s="19" t="n">
        <f aca="false">IFERROR(ROUND(10-AVERAGE(J196:EC196)*10,0),0)</f>
        <v>6</v>
      </c>
      <c r="J196" s="5" t="n">
        <v>0</v>
      </c>
      <c r="K196" s="11" t="n">
        <v>0</v>
      </c>
      <c r="L196" s="5"/>
      <c r="M196" s="5"/>
      <c r="N196" s="5"/>
      <c r="O196" s="5"/>
      <c r="P196" s="11" t="n">
        <v>1</v>
      </c>
      <c r="Q196" s="5"/>
      <c r="R196" s="5"/>
      <c r="S196" s="5"/>
      <c r="T196" s="11" t="n">
        <v>0</v>
      </c>
      <c r="U196" s="5"/>
      <c r="V196" s="5"/>
      <c r="W196" s="5"/>
      <c r="X196" s="5"/>
      <c r="Y196" s="5"/>
      <c r="Z196" s="11" t="n">
        <v>1</v>
      </c>
      <c r="AA196" s="5"/>
      <c r="AB196" s="5"/>
    </row>
    <row r="197" customFormat="false" ht="15.75" hidden="false" customHeight="false" outlineLevel="0" collapsed="false">
      <c r="A197" s="5" t="s">
        <v>482</v>
      </c>
      <c r="B197" s="5" t="s">
        <v>482</v>
      </c>
      <c r="C197" s="5" t="s">
        <v>498</v>
      </c>
      <c r="D197" s="5"/>
      <c r="E197" s="5"/>
      <c r="F197" s="5"/>
      <c r="G197" s="5"/>
      <c r="H197" s="5" t="n">
        <f aca="false">(COUNTIF(J197:EC197,"=0")+COUNTIF(J197:EC197,"=1"))</f>
        <v>5</v>
      </c>
      <c r="I197" s="19" t="n">
        <f aca="false">IFERROR(ROUND(10-AVERAGE(J197:EC197)*10,0),0)</f>
        <v>6</v>
      </c>
      <c r="J197" s="5" t="n">
        <v>0</v>
      </c>
      <c r="K197" s="11" t="n">
        <v>0</v>
      </c>
      <c r="L197" s="5"/>
      <c r="M197" s="5"/>
      <c r="N197" s="5"/>
      <c r="O197" s="5"/>
      <c r="P197" s="11" t="n">
        <v>1</v>
      </c>
      <c r="Q197" s="5"/>
      <c r="R197" s="5"/>
      <c r="S197" s="5"/>
      <c r="T197" s="11" t="n">
        <v>0</v>
      </c>
      <c r="U197" s="5"/>
      <c r="V197" s="5"/>
      <c r="W197" s="5"/>
      <c r="X197" s="5"/>
      <c r="Y197" s="5"/>
      <c r="Z197" s="11" t="n">
        <v>1</v>
      </c>
      <c r="AA197" s="5"/>
      <c r="AB197" s="5"/>
    </row>
    <row r="198" customFormat="false" ht="15.75" hidden="false" customHeight="false" outlineLevel="0" collapsed="false">
      <c r="A198" s="5" t="s">
        <v>499</v>
      </c>
      <c r="B198" s="5" t="s">
        <v>500</v>
      </c>
      <c r="C198" s="5" t="s">
        <v>501</v>
      </c>
      <c r="D198" s="5"/>
      <c r="E198" s="14" t="s">
        <v>502</v>
      </c>
      <c r="F198" s="5"/>
      <c r="G198" s="14" t="s">
        <v>503</v>
      </c>
      <c r="H198" s="5" t="n">
        <f aca="false">(COUNTIF(J198:EC198,"=0")+COUNTIF(J198:EC198,"=1"))</f>
        <v>1</v>
      </c>
      <c r="I198" s="15" t="n">
        <f aca="false">IFERROR(ROUND(10-AVERAGE(J198:EC198)*10,0),0)</f>
        <v>0</v>
      </c>
      <c r="J198" s="5"/>
      <c r="K198" s="5"/>
      <c r="L198" s="5"/>
      <c r="M198" s="5"/>
      <c r="N198" s="5"/>
      <c r="O198" s="5"/>
      <c r="P198" s="5" t="n">
        <v>1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customFormat="false" ht="15.75" hidden="false" customHeight="false" outlineLevel="0" collapsed="false">
      <c r="A199" s="5" t="s">
        <v>504</v>
      </c>
      <c r="B199" s="5" t="s">
        <v>504</v>
      </c>
      <c r="C199" s="5" t="s">
        <v>505</v>
      </c>
      <c r="D199" s="5"/>
      <c r="E199" s="5"/>
      <c r="F199" s="5"/>
      <c r="G199" s="9" t="s">
        <v>506</v>
      </c>
      <c r="H199" s="5" t="n">
        <f aca="false">(COUNTIF(J199:EC199,"=0")+COUNTIF(J199:EC199,"=1"))</f>
        <v>9</v>
      </c>
      <c r="I199" s="21" t="n">
        <f aca="false">IFERROR(ROUND(10-AVERAGE(J199:EC199)*10,0),0)</f>
        <v>4</v>
      </c>
      <c r="J199" s="11" t="n">
        <v>1</v>
      </c>
      <c r="K199" s="11" t="n">
        <v>1</v>
      </c>
      <c r="L199" s="5"/>
      <c r="M199" s="5"/>
      <c r="N199" s="5"/>
      <c r="O199" s="5"/>
      <c r="P199" s="11" t="n">
        <v>1</v>
      </c>
      <c r="Q199" s="5" t="n">
        <v>1</v>
      </c>
      <c r="R199" s="5"/>
      <c r="S199" s="5"/>
      <c r="T199" s="11" t="n">
        <v>0</v>
      </c>
      <c r="U199" s="11" t="n">
        <v>0</v>
      </c>
      <c r="V199" s="5"/>
      <c r="W199" s="5" t="n">
        <v>0</v>
      </c>
      <c r="X199" s="11" t="n">
        <v>1</v>
      </c>
      <c r="Y199" s="5"/>
      <c r="Z199" s="5"/>
      <c r="AA199" s="5"/>
      <c r="AB199" s="5"/>
      <c r="AE199" s="5" t="n">
        <v>0</v>
      </c>
    </row>
    <row r="200" customFormat="false" ht="15.75" hidden="false" customHeight="false" outlineLevel="0" collapsed="false">
      <c r="A200" s="5" t="s">
        <v>507</v>
      </c>
      <c r="B200" s="5" t="s">
        <v>508</v>
      </c>
      <c r="C200" s="5" t="s">
        <v>509</v>
      </c>
      <c r="D200" s="5"/>
      <c r="E200" s="5"/>
      <c r="F200" s="5"/>
      <c r="G200" s="9" t="s">
        <v>510</v>
      </c>
      <c r="H200" s="5" t="n">
        <f aca="false">(COUNTIF(J200:EC200,"=0")+COUNTIF(J200:EC200,"=1"))</f>
        <v>12</v>
      </c>
      <c r="I200" s="15" t="n">
        <f aca="false">IFERROR(ROUND(10-AVERAGE(J200:EC200)*10,0),0)</f>
        <v>6</v>
      </c>
      <c r="J200" s="11" t="n">
        <v>1</v>
      </c>
      <c r="K200" s="11" t="n">
        <v>0</v>
      </c>
      <c r="L200" s="11" t="n">
        <v>0</v>
      </c>
      <c r="M200" s="11" t="n">
        <v>0</v>
      </c>
      <c r="N200" s="5"/>
      <c r="O200" s="11" t="n">
        <v>1</v>
      </c>
      <c r="P200" s="11" t="n">
        <v>1</v>
      </c>
      <c r="Q200" s="11" t="n">
        <v>1</v>
      </c>
      <c r="R200" s="11" t="n">
        <v>1</v>
      </c>
      <c r="S200" s="11" t="n">
        <v>0</v>
      </c>
      <c r="T200" s="11" t="n">
        <v>0</v>
      </c>
      <c r="U200" s="11" t="n">
        <v>0</v>
      </c>
      <c r="V200" s="5"/>
      <c r="W200" s="5"/>
      <c r="X200" s="11" t="n">
        <v>0</v>
      </c>
      <c r="Y200" s="5"/>
      <c r="Z200" s="5"/>
      <c r="AA200" s="5"/>
      <c r="AB200" s="5"/>
    </row>
    <row r="201" customFormat="false" ht="15.75" hidden="false" customHeight="false" outlineLevel="0" collapsed="false">
      <c r="A201" s="5" t="s">
        <v>507</v>
      </c>
      <c r="B201" s="5" t="s">
        <v>508</v>
      </c>
      <c r="C201" s="5" t="s">
        <v>511</v>
      </c>
      <c r="D201" s="5"/>
      <c r="E201" s="5"/>
      <c r="F201" s="5"/>
      <c r="G201" s="5"/>
      <c r="H201" s="5" t="n">
        <f aca="false">(COUNTIF(J201:EC201,"=0")+COUNTIF(J201:EC201,"=1"))</f>
        <v>10</v>
      </c>
      <c r="I201" s="12" t="n">
        <f aca="false">IFERROR(ROUND(10-AVERAGE(J201:EC201)*10,0),0)</f>
        <v>8</v>
      </c>
      <c r="J201" s="11" t="n">
        <v>0</v>
      </c>
      <c r="K201" s="11" t="n">
        <v>0</v>
      </c>
      <c r="L201" s="5"/>
      <c r="M201" s="11" t="n">
        <v>0</v>
      </c>
      <c r="N201" s="5"/>
      <c r="O201" s="11" t="n">
        <v>1</v>
      </c>
      <c r="P201" s="11" t="n">
        <v>0</v>
      </c>
      <c r="Q201" s="11" t="n">
        <v>1</v>
      </c>
      <c r="R201" s="5"/>
      <c r="S201" s="11" t="n">
        <v>0</v>
      </c>
      <c r="T201" s="11" t="n">
        <v>0</v>
      </c>
      <c r="U201" s="11" t="n">
        <v>0</v>
      </c>
      <c r="V201" s="5"/>
      <c r="W201" s="5"/>
      <c r="X201" s="11" t="n">
        <v>0</v>
      </c>
      <c r="Y201" s="5"/>
      <c r="Z201" s="5"/>
      <c r="AA201" s="5"/>
      <c r="AB201" s="5"/>
    </row>
    <row r="202" customFormat="false" ht="15.75" hidden="false" customHeight="false" outlineLevel="0" collapsed="false">
      <c r="A202" s="5" t="s">
        <v>507</v>
      </c>
      <c r="B202" s="5" t="s">
        <v>508</v>
      </c>
      <c r="C202" s="5" t="s">
        <v>512</v>
      </c>
      <c r="D202" s="5" t="s">
        <v>323</v>
      </c>
      <c r="E202" s="5"/>
      <c r="F202" s="5"/>
      <c r="G202" s="5"/>
      <c r="H202" s="5" t="n">
        <f aca="false">(COUNTIF(J202:EC202,"=0")+COUNTIF(J202:EC202,"=1"))</f>
        <v>7</v>
      </c>
      <c r="I202" s="15" t="n">
        <f aca="false">IFERROR(ROUND(10-AVERAGE(J202:EC202)*10,0),0)</f>
        <v>6</v>
      </c>
      <c r="J202" s="5" t="n">
        <v>1</v>
      </c>
      <c r="K202" s="11" t="n">
        <v>0</v>
      </c>
      <c r="L202" s="5"/>
      <c r="M202" s="5"/>
      <c r="N202" s="5"/>
      <c r="O202" s="11" t="n">
        <v>1</v>
      </c>
      <c r="P202" s="11" t="n">
        <v>1</v>
      </c>
      <c r="Q202" s="5"/>
      <c r="R202" s="5"/>
      <c r="S202" s="5"/>
      <c r="T202" s="11" t="n">
        <v>0</v>
      </c>
      <c r="U202" s="5"/>
      <c r="V202" s="5"/>
      <c r="W202" s="5"/>
      <c r="X202" s="5"/>
      <c r="Y202" s="5"/>
      <c r="Z202" s="11" t="n">
        <v>0</v>
      </c>
      <c r="AA202" s="5"/>
      <c r="AB202" s="5"/>
      <c r="AD202" s="5" t="n">
        <v>0</v>
      </c>
    </row>
    <row r="203" customFormat="false" ht="15.75" hidden="false" customHeight="false" outlineLevel="0" collapsed="false">
      <c r="A203" s="5" t="s">
        <v>507</v>
      </c>
      <c r="B203" s="5" t="s">
        <v>508</v>
      </c>
      <c r="C203" s="5" t="s">
        <v>513</v>
      </c>
      <c r="D203" s="5"/>
      <c r="E203" s="5"/>
      <c r="F203" s="5"/>
      <c r="G203" s="5"/>
      <c r="H203" s="5" t="n">
        <f aca="false">(COUNTIF(J203:EC203,"=0")+COUNTIF(J203:EC203,"=1"))</f>
        <v>13</v>
      </c>
      <c r="I203" s="16" t="n">
        <f aca="false">IFERROR(ROUND(10-AVERAGE(J203:EC203)*10,0),0)</f>
        <v>7</v>
      </c>
      <c r="J203" s="11" t="n">
        <v>0</v>
      </c>
      <c r="K203" s="11" t="n">
        <v>0</v>
      </c>
      <c r="L203" s="11" t="n">
        <v>0</v>
      </c>
      <c r="M203" s="11" t="n">
        <v>0</v>
      </c>
      <c r="N203" s="5"/>
      <c r="O203" s="11" t="n">
        <v>1</v>
      </c>
      <c r="P203" s="11" t="n">
        <v>1</v>
      </c>
      <c r="Q203" s="11" t="n">
        <v>1</v>
      </c>
      <c r="R203" s="11" t="n">
        <v>1</v>
      </c>
      <c r="S203" s="11" t="n">
        <v>0</v>
      </c>
      <c r="T203" s="11" t="n">
        <v>0</v>
      </c>
      <c r="U203" s="11" t="n">
        <v>0</v>
      </c>
      <c r="V203" s="5"/>
      <c r="W203" s="5"/>
      <c r="X203" s="11" t="n">
        <v>0</v>
      </c>
      <c r="Y203" s="5"/>
      <c r="Z203" s="5"/>
      <c r="AA203" s="5"/>
      <c r="AB203" s="5"/>
      <c r="AF203" s="5" t="n">
        <v>0</v>
      </c>
    </row>
    <row r="204" customFormat="false" ht="15.75" hidden="false" customHeight="false" outlineLevel="0" collapsed="false">
      <c r="A204" s="5" t="s">
        <v>507</v>
      </c>
      <c r="B204" s="5" t="s">
        <v>514</v>
      </c>
      <c r="C204" s="5" t="s">
        <v>515</v>
      </c>
      <c r="D204" s="5"/>
      <c r="E204" s="5"/>
      <c r="F204" s="5"/>
      <c r="G204" s="5"/>
      <c r="H204" s="5" t="n">
        <f aca="false">(COUNTIF(J204:EC204,"=0")+COUNTIF(J204:EC204,"=1"))</f>
        <v>11</v>
      </c>
      <c r="I204" s="12" t="n">
        <f aca="false">IFERROR(ROUND(10-AVERAGE(J204:EC204)*10,0),0)</f>
        <v>8</v>
      </c>
      <c r="J204" s="11" t="n">
        <v>0</v>
      </c>
      <c r="K204" s="11" t="n">
        <v>0</v>
      </c>
      <c r="L204" s="11" t="n">
        <v>0</v>
      </c>
      <c r="M204" s="11" t="n">
        <v>0</v>
      </c>
      <c r="N204" s="5"/>
      <c r="O204" s="11" t="n">
        <v>1</v>
      </c>
      <c r="P204" s="11" t="n">
        <v>0</v>
      </c>
      <c r="Q204" s="11" t="n">
        <v>1</v>
      </c>
      <c r="R204" s="5"/>
      <c r="S204" s="11" t="n">
        <v>0</v>
      </c>
      <c r="T204" s="11" t="n">
        <v>0</v>
      </c>
      <c r="U204" s="11" t="n">
        <v>0</v>
      </c>
      <c r="V204" s="5"/>
      <c r="W204" s="5"/>
      <c r="X204" s="11" t="n">
        <v>0</v>
      </c>
      <c r="Y204" s="5"/>
      <c r="Z204" s="5"/>
      <c r="AA204" s="5"/>
      <c r="AB204" s="5"/>
    </row>
    <row r="205" customFormat="false" ht="15.75" hidden="false" customHeight="false" outlineLevel="0" collapsed="false">
      <c r="A205" s="5" t="s">
        <v>507</v>
      </c>
      <c r="B205" s="5" t="s">
        <v>514</v>
      </c>
      <c r="C205" s="5" t="s">
        <v>516</v>
      </c>
      <c r="D205" s="5"/>
      <c r="E205" s="5"/>
      <c r="F205" s="5"/>
      <c r="G205" s="9" t="s">
        <v>517</v>
      </c>
      <c r="H205" s="5" t="n">
        <f aca="false">(COUNTIF(J205:EC205,"=0")+COUNTIF(J205:EC205,"=1"))</f>
        <v>11</v>
      </c>
      <c r="I205" s="12" t="n">
        <f aca="false">IFERROR(ROUND(10-AVERAGE(J205:EC205)*10,0),0)</f>
        <v>8</v>
      </c>
      <c r="J205" s="11" t="n">
        <v>0</v>
      </c>
      <c r="K205" s="11" t="n">
        <v>0</v>
      </c>
      <c r="L205" s="11" t="n">
        <v>0</v>
      </c>
      <c r="M205" s="11" t="n">
        <v>0</v>
      </c>
      <c r="N205" s="5"/>
      <c r="O205" s="11" t="n">
        <v>1</v>
      </c>
      <c r="P205" s="11" t="n">
        <v>0</v>
      </c>
      <c r="Q205" s="11" t="n">
        <v>1</v>
      </c>
      <c r="R205" s="5"/>
      <c r="S205" s="11" t="n">
        <v>0</v>
      </c>
      <c r="T205" s="11" t="n">
        <v>0</v>
      </c>
      <c r="U205" s="11" t="n">
        <v>0</v>
      </c>
      <c r="V205" s="5"/>
      <c r="W205" s="5"/>
      <c r="X205" s="11" t="n">
        <v>0</v>
      </c>
      <c r="Y205" s="5"/>
      <c r="Z205" s="5"/>
      <c r="AA205" s="5"/>
      <c r="AB205" s="5"/>
    </row>
    <row r="206" customFormat="false" ht="15.75" hidden="false" customHeight="false" outlineLevel="0" collapsed="false">
      <c r="A206" s="5" t="s">
        <v>507</v>
      </c>
      <c r="B206" s="5" t="s">
        <v>514</v>
      </c>
      <c r="C206" s="5" t="s">
        <v>514</v>
      </c>
      <c r="D206" s="5"/>
      <c r="E206" s="5"/>
      <c r="F206" s="5"/>
      <c r="G206" s="5"/>
      <c r="H206" s="5" t="n">
        <f aca="false">(COUNTIF(J206:EC206,"=0")+COUNTIF(J206:EC206,"=1"))</f>
        <v>11</v>
      </c>
      <c r="I206" s="12" t="n">
        <f aca="false">IFERROR(ROUND(10-AVERAGE(J206:EC206)*10,0),0)</f>
        <v>8</v>
      </c>
      <c r="J206" s="11" t="n">
        <v>0</v>
      </c>
      <c r="K206" s="11" t="n">
        <v>0</v>
      </c>
      <c r="L206" s="11" t="n">
        <v>0</v>
      </c>
      <c r="M206" s="11" t="n">
        <v>0</v>
      </c>
      <c r="N206" s="5"/>
      <c r="O206" s="11" t="n">
        <v>1</v>
      </c>
      <c r="P206" s="11" t="n">
        <v>0</v>
      </c>
      <c r="Q206" s="11" t="n">
        <v>1</v>
      </c>
      <c r="R206" s="5"/>
      <c r="S206" s="11" t="n">
        <v>0</v>
      </c>
      <c r="T206" s="11" t="n">
        <v>0</v>
      </c>
      <c r="U206" s="11" t="n">
        <v>0</v>
      </c>
      <c r="V206" s="5"/>
      <c r="W206" s="5"/>
      <c r="X206" s="11" t="n">
        <v>0</v>
      </c>
      <c r="Y206" s="5"/>
      <c r="Z206" s="5"/>
      <c r="AA206" s="5"/>
      <c r="AB206" s="5"/>
    </row>
    <row r="207" customFormat="false" ht="15.75" hidden="false" customHeight="false" outlineLevel="0" collapsed="false">
      <c r="A207" s="5" t="s">
        <v>518</v>
      </c>
      <c r="B207" s="5" t="s">
        <v>518</v>
      </c>
      <c r="C207" s="5" t="s">
        <v>519</v>
      </c>
      <c r="D207" s="5"/>
      <c r="E207" s="5"/>
      <c r="F207" s="5"/>
      <c r="G207" s="9" t="s">
        <v>520</v>
      </c>
      <c r="H207" s="5" t="n">
        <f aca="false">(COUNTIF(J207:EC207,"=0")+COUNTIF(J207:EC207,"=1"))</f>
        <v>8</v>
      </c>
      <c r="I207" s="12" t="n">
        <f aca="false">IFERROR(ROUND(10-AVERAGE(J207:EC207)*10,0),0)</f>
        <v>9</v>
      </c>
      <c r="J207" s="11" t="n">
        <v>0</v>
      </c>
      <c r="K207" s="11" t="n">
        <v>0</v>
      </c>
      <c r="L207" s="5"/>
      <c r="M207" s="5"/>
      <c r="N207" s="5"/>
      <c r="O207" s="5"/>
      <c r="P207" s="11" t="n">
        <v>1</v>
      </c>
      <c r="Q207" s="5" t="n">
        <v>0</v>
      </c>
      <c r="R207" s="5"/>
      <c r="S207" s="5"/>
      <c r="T207" s="11" t="n">
        <v>0</v>
      </c>
      <c r="U207" s="11" t="n">
        <v>0</v>
      </c>
      <c r="V207" s="5"/>
      <c r="W207" s="5"/>
      <c r="X207" s="11" t="n">
        <v>0</v>
      </c>
      <c r="Y207" s="5"/>
      <c r="Z207" s="5"/>
      <c r="AA207" s="5"/>
      <c r="AB207" s="5"/>
      <c r="AC207" s="5" t="n">
        <v>0</v>
      </c>
    </row>
    <row r="208" customFormat="false" ht="15.75" hidden="false" customHeight="false" outlineLevel="0" collapsed="false">
      <c r="A208" s="5" t="s">
        <v>518</v>
      </c>
      <c r="B208" s="5" t="s">
        <v>518</v>
      </c>
      <c r="C208" s="5" t="s">
        <v>521</v>
      </c>
      <c r="D208" s="5"/>
      <c r="E208" s="5"/>
      <c r="F208" s="5"/>
      <c r="G208" s="9" t="s">
        <v>522</v>
      </c>
      <c r="H208" s="5" t="n">
        <f aca="false">(COUNTIF(J208:EC208,"=0")+COUNTIF(J208:EC208,"=1"))</f>
        <v>8</v>
      </c>
      <c r="I208" s="17" t="n">
        <f aca="false">IFERROR(ROUND(10-AVERAGE(J208:EC208)*10,0),0)</f>
        <v>9</v>
      </c>
      <c r="J208" s="11" t="n">
        <v>0</v>
      </c>
      <c r="K208" s="11" t="n">
        <v>0</v>
      </c>
      <c r="L208" s="5"/>
      <c r="M208" s="5"/>
      <c r="N208" s="5"/>
      <c r="O208" s="5"/>
      <c r="P208" s="11" t="n">
        <v>1</v>
      </c>
      <c r="Q208" s="5" t="n">
        <v>0</v>
      </c>
      <c r="R208" s="5"/>
      <c r="S208" s="5"/>
      <c r="T208" s="11" t="n">
        <v>0</v>
      </c>
      <c r="U208" s="11" t="n">
        <v>0</v>
      </c>
      <c r="V208" s="5"/>
      <c r="W208" s="5"/>
      <c r="X208" s="11" t="n">
        <v>0</v>
      </c>
      <c r="Y208" s="5"/>
      <c r="Z208" s="11" t="n">
        <v>0</v>
      </c>
      <c r="AA208" s="5"/>
      <c r="AB208" s="5"/>
    </row>
    <row r="209" customFormat="false" ht="15.75" hidden="false" customHeight="false" outlineLevel="0" collapsed="false">
      <c r="A209" s="5" t="s">
        <v>523</v>
      </c>
      <c r="B209" s="5" t="s">
        <v>524</v>
      </c>
      <c r="C209" s="5" t="s">
        <v>525</v>
      </c>
      <c r="D209" s="5"/>
      <c r="E209" s="5"/>
      <c r="F209" s="5"/>
      <c r="G209" s="9" t="s">
        <v>526</v>
      </c>
      <c r="H209" s="5" t="n">
        <f aca="false">(COUNTIF(J209:EC209,"=0")+COUNTIF(J209:EC209,"=1"))</f>
        <v>7</v>
      </c>
      <c r="I209" s="17" t="n">
        <f aca="false">IFERROR(ROUND(10-AVERAGE(J209:EC209)*10,0),0)</f>
        <v>9</v>
      </c>
      <c r="J209" s="11" t="n">
        <v>0</v>
      </c>
      <c r="K209" s="11" t="n">
        <v>0</v>
      </c>
      <c r="L209" s="5"/>
      <c r="M209" s="5"/>
      <c r="N209" s="5"/>
      <c r="O209" s="5"/>
      <c r="P209" s="11" t="n">
        <v>0</v>
      </c>
      <c r="Q209" s="5"/>
      <c r="R209" s="5"/>
      <c r="S209" s="5"/>
      <c r="T209" s="11" t="n">
        <v>0</v>
      </c>
      <c r="U209" s="5"/>
      <c r="V209" s="5"/>
      <c r="W209" s="11" t="n">
        <v>1</v>
      </c>
      <c r="X209" s="11" t="n">
        <v>0</v>
      </c>
      <c r="Y209" s="5"/>
      <c r="Z209" s="11" t="n">
        <v>0</v>
      </c>
      <c r="AA209" s="5"/>
      <c r="AB209" s="5"/>
    </row>
    <row r="210" customFormat="false" ht="15.75" hidden="false" customHeight="false" outlineLevel="0" collapsed="false">
      <c r="A210" s="5" t="s">
        <v>523</v>
      </c>
      <c r="B210" s="5" t="s">
        <v>524</v>
      </c>
      <c r="C210" s="5" t="s">
        <v>524</v>
      </c>
      <c r="D210" s="5" t="s">
        <v>527</v>
      </c>
      <c r="E210" s="5"/>
      <c r="F210" s="5"/>
      <c r="G210" s="9" t="s">
        <v>528</v>
      </c>
      <c r="H210" s="5" t="n">
        <f aca="false">(COUNTIF(J210:EC210,"=0")+COUNTIF(J210:EC210,"=1"))</f>
        <v>9</v>
      </c>
      <c r="I210" s="17" t="n">
        <f aca="false">IFERROR(ROUND(10-AVERAGE(J210:EC210)*10,0),0)</f>
        <v>8</v>
      </c>
      <c r="J210" s="11" t="n">
        <v>0</v>
      </c>
      <c r="K210" s="11" t="n">
        <v>0</v>
      </c>
      <c r="L210" s="5"/>
      <c r="M210" s="5"/>
      <c r="N210" s="5"/>
      <c r="O210" s="5"/>
      <c r="P210" s="11" t="n">
        <v>0</v>
      </c>
      <c r="Q210" s="5" t="n">
        <v>1</v>
      </c>
      <c r="R210" s="5"/>
      <c r="S210" s="5"/>
      <c r="T210" s="11" t="n">
        <v>0</v>
      </c>
      <c r="U210" s="5"/>
      <c r="V210" s="5"/>
      <c r="W210" s="11" t="n">
        <v>1</v>
      </c>
      <c r="X210" s="11" t="n">
        <v>0</v>
      </c>
      <c r="Y210" s="5"/>
      <c r="Z210" s="11" t="n">
        <v>0</v>
      </c>
      <c r="AA210" s="5"/>
      <c r="AB210" s="5"/>
      <c r="AC210" s="5" t="n">
        <v>0</v>
      </c>
    </row>
    <row r="211" customFormat="false" ht="15.75" hidden="false" customHeight="false" outlineLevel="0" collapsed="false">
      <c r="A211" s="5" t="s">
        <v>523</v>
      </c>
      <c r="B211" s="5" t="s">
        <v>524</v>
      </c>
      <c r="C211" s="5" t="s">
        <v>529</v>
      </c>
      <c r="D211" s="5" t="s">
        <v>530</v>
      </c>
      <c r="E211" s="5"/>
      <c r="F211" s="5"/>
      <c r="G211" s="9" t="s">
        <v>531</v>
      </c>
      <c r="H211" s="5" t="n">
        <f aca="false">(COUNTIF(J211:EC211,"=0")+COUNTIF(J211:EC211,"=1"))</f>
        <v>7</v>
      </c>
      <c r="I211" s="17" t="n">
        <f aca="false">IFERROR(ROUND(10-AVERAGE(J211:EC211)*10,0),0)</f>
        <v>9</v>
      </c>
      <c r="J211" s="11" t="n">
        <v>0</v>
      </c>
      <c r="K211" s="11" t="n">
        <v>0</v>
      </c>
      <c r="L211" s="5"/>
      <c r="M211" s="5"/>
      <c r="N211" s="5"/>
      <c r="O211" s="5"/>
      <c r="P211" s="11" t="n">
        <v>0</v>
      </c>
      <c r="Q211" s="5"/>
      <c r="R211" s="5"/>
      <c r="S211" s="5"/>
      <c r="T211" s="11" t="n">
        <v>0</v>
      </c>
      <c r="U211" s="5"/>
      <c r="V211" s="5"/>
      <c r="W211" s="11" t="n">
        <v>1</v>
      </c>
      <c r="X211" s="11" t="n">
        <v>0</v>
      </c>
      <c r="Y211" s="5"/>
      <c r="Z211" s="11" t="n">
        <v>0</v>
      </c>
      <c r="AA211" s="5"/>
      <c r="AB211" s="5"/>
    </row>
    <row r="212" customFormat="false" ht="15.75" hidden="false" customHeight="false" outlineLevel="0" collapsed="false">
      <c r="A212" s="5" t="s">
        <v>532</v>
      </c>
      <c r="B212" s="5" t="s">
        <v>532</v>
      </c>
      <c r="C212" s="5" t="s">
        <v>533</v>
      </c>
      <c r="D212" s="5"/>
      <c r="E212" s="5"/>
      <c r="F212" s="5"/>
      <c r="G212" s="9" t="s">
        <v>534</v>
      </c>
      <c r="H212" s="5" t="n">
        <f aca="false">(COUNTIF(J212:EC212,"=0")+COUNTIF(J212:EC212,"=1"))</f>
        <v>11</v>
      </c>
      <c r="I212" s="12" t="n">
        <f aca="false">IFERROR(ROUND(10-AVERAGE(J212:EC212)*10,0),0)</f>
        <v>7</v>
      </c>
      <c r="J212" s="11" t="n">
        <v>0</v>
      </c>
      <c r="K212" s="11" t="n">
        <v>0</v>
      </c>
      <c r="L212" s="5"/>
      <c r="M212" s="5"/>
      <c r="N212" s="5"/>
      <c r="O212" s="11" t="n">
        <v>0</v>
      </c>
      <c r="P212" s="11" t="n">
        <v>1</v>
      </c>
      <c r="Q212" s="11" t="n">
        <v>0</v>
      </c>
      <c r="R212" s="5"/>
      <c r="S212" s="11" t="n">
        <v>1</v>
      </c>
      <c r="T212" s="11" t="n">
        <v>0</v>
      </c>
      <c r="U212" s="11" t="n">
        <v>0</v>
      </c>
      <c r="V212" s="5"/>
      <c r="W212" s="5"/>
      <c r="X212" s="11" t="n">
        <v>1</v>
      </c>
      <c r="Y212" s="5"/>
      <c r="Z212" s="11" t="n">
        <v>0</v>
      </c>
      <c r="AA212" s="5"/>
      <c r="AB212" s="5"/>
      <c r="AF212" s="5" t="n">
        <v>0</v>
      </c>
    </row>
    <row r="213" customFormat="false" ht="15.75" hidden="false" customHeight="false" outlineLevel="0" collapsed="false">
      <c r="A213" s="5" t="s">
        <v>532</v>
      </c>
      <c r="B213" s="5" t="s">
        <v>532</v>
      </c>
      <c r="C213" s="5" t="s">
        <v>535</v>
      </c>
      <c r="D213" s="5"/>
      <c r="E213" s="5"/>
      <c r="F213" s="5"/>
      <c r="G213" s="9" t="s">
        <v>536</v>
      </c>
      <c r="H213" s="5" t="n">
        <f aca="false">(COUNTIF(J213:EC213,"=0")+COUNTIF(J213:EC213,"=1"))</f>
        <v>10</v>
      </c>
      <c r="I213" s="15" t="n">
        <f aca="false">IFERROR(ROUND(10-AVERAGE(J213:EC213)*10,0),0)</f>
        <v>6</v>
      </c>
      <c r="J213" s="11" t="n">
        <v>1</v>
      </c>
      <c r="K213" s="11" t="n">
        <v>0</v>
      </c>
      <c r="L213" s="5"/>
      <c r="M213" s="5"/>
      <c r="N213" s="5"/>
      <c r="O213" s="11" t="n">
        <v>0</v>
      </c>
      <c r="P213" s="11" t="n">
        <v>1</v>
      </c>
      <c r="Q213" s="11" t="n">
        <v>0</v>
      </c>
      <c r="R213" s="5"/>
      <c r="S213" s="11" t="n">
        <v>1</v>
      </c>
      <c r="T213" s="11" t="n">
        <v>0</v>
      </c>
      <c r="U213" s="11" t="n">
        <v>0</v>
      </c>
      <c r="V213" s="5"/>
      <c r="W213" s="5"/>
      <c r="X213" s="11" t="n">
        <v>1</v>
      </c>
      <c r="Y213" s="5"/>
      <c r="Z213" s="11" t="n">
        <v>0</v>
      </c>
      <c r="AA213" s="5"/>
      <c r="AB213" s="5"/>
    </row>
    <row r="214" customFormat="false" ht="15.75" hidden="false" customHeight="false" outlineLevel="0" collapsed="false">
      <c r="A214" s="5" t="s">
        <v>532</v>
      </c>
      <c r="B214" s="5" t="s">
        <v>532</v>
      </c>
      <c r="C214" s="5" t="s">
        <v>537</v>
      </c>
      <c r="D214" s="5"/>
      <c r="E214" s="5"/>
      <c r="F214" s="5"/>
      <c r="G214" s="9" t="s">
        <v>538</v>
      </c>
      <c r="H214" s="5" t="n">
        <f aca="false">(COUNTIF(J214:EC214,"=0")+COUNTIF(J214:EC214,"=1"))</f>
        <v>11</v>
      </c>
      <c r="I214" s="12" t="n">
        <f aca="false">IFERROR(ROUND(10-AVERAGE(J214:EC214)*10,0),0)</f>
        <v>6</v>
      </c>
      <c r="J214" s="11" t="n">
        <v>0</v>
      </c>
      <c r="K214" s="11" t="n">
        <v>0</v>
      </c>
      <c r="L214" s="5"/>
      <c r="M214" s="5"/>
      <c r="N214" s="5"/>
      <c r="O214" s="11" t="n">
        <v>0</v>
      </c>
      <c r="P214" s="11" t="n">
        <v>1</v>
      </c>
      <c r="Q214" s="11" t="n">
        <v>0</v>
      </c>
      <c r="R214" s="5"/>
      <c r="S214" s="11" t="n">
        <v>1</v>
      </c>
      <c r="T214" s="11" t="n">
        <v>0</v>
      </c>
      <c r="U214" s="11" t="n">
        <v>0</v>
      </c>
      <c r="V214" s="5"/>
      <c r="W214" s="5"/>
      <c r="X214" s="11" t="n">
        <v>1</v>
      </c>
      <c r="Y214" s="5"/>
      <c r="Z214" s="11" t="n">
        <v>0</v>
      </c>
      <c r="AA214" s="5"/>
      <c r="AB214" s="5"/>
      <c r="AF214" s="5" t="n">
        <v>1</v>
      </c>
    </row>
    <row r="215" customFormat="false" ht="15.75" hidden="false" customHeight="false" outlineLevel="0" collapsed="false">
      <c r="A215" s="5" t="s">
        <v>532</v>
      </c>
      <c r="B215" s="5" t="s">
        <v>539</v>
      </c>
      <c r="C215" s="5" t="s">
        <v>540</v>
      </c>
      <c r="D215" s="5"/>
      <c r="E215" s="14" t="s">
        <v>541</v>
      </c>
      <c r="F215" s="5"/>
      <c r="G215" s="14" t="s">
        <v>542</v>
      </c>
      <c r="H215" s="5" t="n">
        <f aca="false">(COUNTIF(J215:EC215,"=0")+COUNTIF(J215:EC215,"=1"))</f>
        <v>10</v>
      </c>
      <c r="I215" s="17" t="n">
        <f aca="false">IFERROR(ROUND(10-AVERAGE(J215:EC215)*10,0),0)</f>
        <v>8</v>
      </c>
      <c r="J215" s="11" t="n">
        <v>0</v>
      </c>
      <c r="K215" s="11" t="n">
        <v>0</v>
      </c>
      <c r="L215" s="5"/>
      <c r="M215" s="5"/>
      <c r="N215" s="5"/>
      <c r="O215" s="11" t="n">
        <v>0</v>
      </c>
      <c r="P215" s="11" t="n">
        <v>1</v>
      </c>
      <c r="Q215" s="11" t="n">
        <v>0</v>
      </c>
      <c r="R215" s="5"/>
      <c r="S215" s="11" t="n">
        <v>1</v>
      </c>
      <c r="T215" s="11" t="n">
        <v>0</v>
      </c>
      <c r="U215" s="11" t="n">
        <v>0</v>
      </c>
      <c r="V215" s="5"/>
      <c r="W215" s="5"/>
      <c r="X215" s="11" t="n">
        <v>0</v>
      </c>
      <c r="Y215" s="5"/>
      <c r="Z215" s="11" t="n">
        <v>0</v>
      </c>
      <c r="AA215" s="5"/>
      <c r="AB215" s="5"/>
    </row>
    <row r="216" customFormat="false" ht="15.75" hidden="false" customHeight="false" outlineLevel="0" collapsed="false">
      <c r="A216" s="5" t="s">
        <v>532</v>
      </c>
      <c r="B216" s="5" t="s">
        <v>539</v>
      </c>
      <c r="C216" s="5" t="s">
        <v>543</v>
      </c>
      <c r="D216" s="5" t="s">
        <v>544</v>
      </c>
      <c r="E216" s="5"/>
      <c r="F216" s="5"/>
      <c r="G216" s="9" t="s">
        <v>545</v>
      </c>
      <c r="H216" s="5" t="n">
        <f aca="false">(COUNTIF(J216:EC216,"=0")+COUNTIF(J216:EC216,"=1"))</f>
        <v>10</v>
      </c>
      <c r="I216" s="17" t="n">
        <f aca="false">IFERROR(ROUND(10-AVERAGE(J216:EC216)*10,0),0)</f>
        <v>8</v>
      </c>
      <c r="J216" s="11" t="n">
        <v>0</v>
      </c>
      <c r="K216" s="11" t="n">
        <v>0</v>
      </c>
      <c r="L216" s="5"/>
      <c r="M216" s="5"/>
      <c r="N216" s="5"/>
      <c r="O216" s="11" t="n">
        <v>0</v>
      </c>
      <c r="P216" s="11" t="n">
        <v>1</v>
      </c>
      <c r="Q216" s="11" t="n">
        <v>0</v>
      </c>
      <c r="R216" s="5"/>
      <c r="S216" s="11" t="n">
        <v>1</v>
      </c>
      <c r="T216" s="11" t="n">
        <v>0</v>
      </c>
      <c r="U216" s="11" t="n">
        <v>0</v>
      </c>
      <c r="V216" s="5"/>
      <c r="W216" s="5"/>
      <c r="X216" s="11" t="n">
        <v>0</v>
      </c>
      <c r="Y216" s="5"/>
      <c r="Z216" s="11" t="n">
        <v>0</v>
      </c>
      <c r="AA216" s="5"/>
      <c r="AB216" s="5"/>
    </row>
    <row r="217" customFormat="false" ht="15.75" hidden="false" customHeight="false" outlineLevel="0" collapsed="false">
      <c r="A217" s="5" t="s">
        <v>532</v>
      </c>
      <c r="B217" s="5" t="s">
        <v>539</v>
      </c>
      <c r="C217" s="5" t="s">
        <v>546</v>
      </c>
      <c r="D217" s="5"/>
      <c r="E217" s="5"/>
      <c r="F217" s="5"/>
      <c r="G217" s="14" t="s">
        <v>547</v>
      </c>
      <c r="H217" s="5" t="n">
        <f aca="false">(COUNTIF(J217:EC217,"=0")+COUNTIF(J217:EC217,"=1"))</f>
        <v>10</v>
      </c>
      <c r="I217" s="12" t="n">
        <f aca="false">IFERROR(ROUND(10-AVERAGE(J217:EC217)*10,0),0)</f>
        <v>8</v>
      </c>
      <c r="J217" s="11" t="n">
        <v>0</v>
      </c>
      <c r="K217" s="11" t="n">
        <v>0</v>
      </c>
      <c r="L217" s="5"/>
      <c r="M217" s="5"/>
      <c r="N217" s="5"/>
      <c r="O217" s="11" t="n">
        <v>0</v>
      </c>
      <c r="P217" s="11" t="n">
        <v>1</v>
      </c>
      <c r="Q217" s="11" t="n">
        <v>0</v>
      </c>
      <c r="R217" s="5"/>
      <c r="S217" s="11" t="n">
        <v>1</v>
      </c>
      <c r="T217" s="11" t="n">
        <v>0</v>
      </c>
      <c r="U217" s="11" t="n">
        <v>0</v>
      </c>
      <c r="V217" s="5"/>
      <c r="W217" s="5"/>
      <c r="X217" s="11" t="n">
        <v>0</v>
      </c>
      <c r="Y217" s="5"/>
      <c r="Z217" s="11" t="n">
        <v>0</v>
      </c>
      <c r="AA217" s="5"/>
      <c r="AB217" s="5"/>
    </row>
    <row r="218" customFormat="false" ht="15.75" hidden="false" customHeight="false" outlineLevel="0" collapsed="false">
      <c r="A218" s="5" t="s">
        <v>532</v>
      </c>
      <c r="B218" s="5" t="s">
        <v>548</v>
      </c>
      <c r="C218" s="5" t="s">
        <v>549</v>
      </c>
      <c r="D218" s="5"/>
      <c r="E218" s="5"/>
      <c r="F218" s="5"/>
      <c r="G218" s="9" t="s">
        <v>550</v>
      </c>
      <c r="H218" s="5" t="n">
        <f aca="false">(COUNTIF(J218:EC218,"=0")+COUNTIF(J218:EC218,"=1"))</f>
        <v>10</v>
      </c>
      <c r="I218" s="16" t="n">
        <f aca="false">IFERROR(ROUND(10-AVERAGE(J218:EC218)*10,0),0)</f>
        <v>6</v>
      </c>
      <c r="J218" s="11" t="n">
        <v>1</v>
      </c>
      <c r="K218" s="11" t="n">
        <v>0</v>
      </c>
      <c r="L218" s="5"/>
      <c r="M218" s="5"/>
      <c r="N218" s="5"/>
      <c r="O218" s="11" t="n">
        <v>0</v>
      </c>
      <c r="P218" s="11" t="n">
        <v>1</v>
      </c>
      <c r="Q218" s="11" t="n">
        <v>0</v>
      </c>
      <c r="R218" s="5"/>
      <c r="S218" s="11" t="n">
        <v>1</v>
      </c>
      <c r="T218" s="11" t="n">
        <v>0</v>
      </c>
      <c r="U218" s="11" t="n">
        <v>0</v>
      </c>
      <c r="V218" s="5"/>
      <c r="W218" s="5"/>
      <c r="X218" s="11" t="n">
        <v>1</v>
      </c>
      <c r="Y218" s="5"/>
      <c r="Z218" s="11" t="n">
        <v>0</v>
      </c>
      <c r="AA218" s="5"/>
      <c r="AB218" s="5"/>
    </row>
    <row r="219" customFormat="false" ht="15.75" hidden="false" customHeight="false" outlineLevel="0" collapsed="false">
      <c r="A219" s="5" t="s">
        <v>532</v>
      </c>
      <c r="B219" s="5" t="s">
        <v>548</v>
      </c>
      <c r="C219" s="5" t="s">
        <v>551</v>
      </c>
      <c r="D219" s="5"/>
      <c r="E219" s="5"/>
      <c r="F219" s="5"/>
      <c r="G219" s="14" t="s">
        <v>552</v>
      </c>
      <c r="H219" s="5" t="n">
        <f aca="false">(COUNTIF(J219:EC219,"=0")+COUNTIF(J219:EC219,"=1"))</f>
        <v>1</v>
      </c>
      <c r="I219" s="15" t="n">
        <f aca="false">IFERROR(ROUND(10-AVERAGE(J219:EC219)*10,0),0)</f>
        <v>0</v>
      </c>
      <c r="J219" s="5"/>
      <c r="K219" s="5"/>
      <c r="L219" s="5"/>
      <c r="M219" s="5"/>
      <c r="N219" s="5"/>
      <c r="O219" s="5"/>
      <c r="P219" s="5" t="n">
        <v>1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customFormat="false" ht="15.75" hidden="false" customHeight="false" outlineLevel="0" collapsed="false">
      <c r="A220" s="5" t="s">
        <v>532</v>
      </c>
      <c r="B220" s="5" t="s">
        <v>548</v>
      </c>
      <c r="C220" s="5" t="s">
        <v>553</v>
      </c>
      <c r="D220" s="5"/>
      <c r="E220" s="5"/>
      <c r="F220" s="5"/>
      <c r="G220" s="9" t="s">
        <v>554</v>
      </c>
      <c r="H220" s="5" t="n">
        <f aca="false">(COUNTIF(J220:EC220,"=0")+COUNTIF(J220:EC220,"=1"))</f>
        <v>9</v>
      </c>
      <c r="I220" s="12" t="n">
        <f aca="false">IFERROR(ROUND(10-AVERAGE(J220:EC220)*10,0),0)</f>
        <v>7</v>
      </c>
      <c r="J220" s="11" t="n">
        <v>0</v>
      </c>
      <c r="K220" s="11" t="n">
        <v>0</v>
      </c>
      <c r="L220" s="5"/>
      <c r="M220" s="5"/>
      <c r="N220" s="5"/>
      <c r="O220" s="11" t="n">
        <v>0</v>
      </c>
      <c r="P220" s="11" t="n">
        <v>1</v>
      </c>
      <c r="Q220" s="11" t="n">
        <v>0</v>
      </c>
      <c r="R220" s="5"/>
      <c r="S220" s="11" t="n">
        <v>1</v>
      </c>
      <c r="T220" s="11" t="n">
        <v>0</v>
      </c>
      <c r="U220" s="11" t="n">
        <v>0</v>
      </c>
      <c r="V220" s="5"/>
      <c r="W220" s="5"/>
      <c r="X220" s="11" t="n">
        <v>1</v>
      </c>
      <c r="Y220" s="5"/>
      <c r="Z220" s="5"/>
      <c r="AA220" s="5"/>
      <c r="AB220" s="5"/>
    </row>
    <row r="221" customFormat="false" ht="15.75" hidden="false" customHeight="false" outlineLevel="0" collapsed="false">
      <c r="A221" s="5" t="s">
        <v>532</v>
      </c>
      <c r="B221" s="5" t="s">
        <v>548</v>
      </c>
      <c r="C221" s="5" t="s">
        <v>555</v>
      </c>
      <c r="D221" s="5"/>
      <c r="E221" s="9" t="s">
        <v>556</v>
      </c>
      <c r="G221" s="9" t="s">
        <v>557</v>
      </c>
      <c r="H221" s="5" t="n">
        <f aca="false">(COUNTIF(J221:EC221,"=0")+COUNTIF(J221:EC221,"=1"))</f>
        <v>10</v>
      </c>
      <c r="I221" s="12" t="n">
        <f aca="false">IFERROR(ROUND(10-AVERAGE(J221:EC221)*10,0),0)</f>
        <v>7</v>
      </c>
      <c r="J221" s="11" t="n">
        <v>0</v>
      </c>
      <c r="K221" s="11" t="n">
        <v>0</v>
      </c>
      <c r="L221" s="5"/>
      <c r="M221" s="5"/>
      <c r="N221" s="5"/>
      <c r="O221" s="11" t="n">
        <v>0</v>
      </c>
      <c r="P221" s="11" t="n">
        <v>1</v>
      </c>
      <c r="Q221" s="11" t="n">
        <v>0</v>
      </c>
      <c r="R221" s="5"/>
      <c r="S221" s="11" t="n">
        <v>1</v>
      </c>
      <c r="T221" s="11" t="n">
        <v>0</v>
      </c>
      <c r="U221" s="11" t="n">
        <v>0</v>
      </c>
      <c r="V221" s="5"/>
      <c r="W221" s="5"/>
      <c r="X221" s="11" t="n">
        <v>1</v>
      </c>
      <c r="Y221" s="5"/>
      <c r="Z221" s="5"/>
      <c r="AA221" s="11" t="n">
        <v>0</v>
      </c>
      <c r="AB221" s="5"/>
    </row>
    <row r="222" customFormat="false" ht="15.75" hidden="false" customHeight="false" outlineLevel="0" collapsed="false">
      <c r="A222" s="5" t="s">
        <v>532</v>
      </c>
      <c r="B222" s="5" t="s">
        <v>548</v>
      </c>
      <c r="C222" s="5" t="s">
        <v>558</v>
      </c>
      <c r="D222" s="5"/>
      <c r="E222" s="14" t="s">
        <v>559</v>
      </c>
      <c r="F222" s="5"/>
      <c r="G222" s="14" t="s">
        <v>560</v>
      </c>
      <c r="H222" s="5" t="n">
        <f aca="false">(COUNTIF(J222:EC222,"=0")+COUNTIF(J222:EC222,"=1"))</f>
        <v>7</v>
      </c>
      <c r="I222" s="21" t="n">
        <f aca="false">IFERROR(ROUND(10-AVERAGE(J222:EC222)*10,0),0)</f>
        <v>4</v>
      </c>
      <c r="J222" s="11" t="n">
        <v>1</v>
      </c>
      <c r="K222" s="11" t="n">
        <v>0</v>
      </c>
      <c r="L222" s="5"/>
      <c r="M222" s="5"/>
      <c r="N222" s="5"/>
      <c r="O222" s="5"/>
      <c r="P222" s="11" t="n">
        <v>1</v>
      </c>
      <c r="Q222" s="5" t="n">
        <v>0</v>
      </c>
      <c r="R222" s="5"/>
      <c r="S222" s="5"/>
      <c r="T222" s="11" t="n">
        <v>1</v>
      </c>
      <c r="U222" s="5"/>
      <c r="V222" s="5"/>
      <c r="W222" s="5"/>
      <c r="X222" s="11" t="n">
        <v>1</v>
      </c>
      <c r="Y222" s="5"/>
      <c r="Z222" s="11" t="n">
        <v>0</v>
      </c>
      <c r="AA222" s="5"/>
      <c r="AB222" s="5"/>
    </row>
    <row r="223" customFormat="false" ht="15.75" hidden="false" customHeight="false" outlineLevel="0" collapsed="false">
      <c r="A223" s="5" t="s">
        <v>532</v>
      </c>
      <c r="B223" s="5" t="s">
        <v>548</v>
      </c>
      <c r="C223" s="5" t="s">
        <v>561</v>
      </c>
      <c r="D223" s="5"/>
      <c r="E223" s="5"/>
      <c r="F223" s="5"/>
      <c r="G223" s="14" t="s">
        <v>562</v>
      </c>
      <c r="H223" s="5" t="n">
        <f aca="false">(COUNTIF(J223:EC223,"=0")+COUNTIF(J223:EC223,"=1"))</f>
        <v>10</v>
      </c>
      <c r="I223" s="16" t="n">
        <f aca="false">IFERROR(ROUND(10-AVERAGE(J223:EC223)*10,0),0)</f>
        <v>6</v>
      </c>
      <c r="J223" s="11" t="n">
        <v>0</v>
      </c>
      <c r="K223" s="11" t="n">
        <v>0</v>
      </c>
      <c r="L223" s="5"/>
      <c r="M223" s="5"/>
      <c r="N223" s="5"/>
      <c r="O223" s="11" t="n">
        <v>0</v>
      </c>
      <c r="P223" s="11" t="n">
        <v>1</v>
      </c>
      <c r="Q223" s="11" t="n">
        <v>0</v>
      </c>
      <c r="R223" s="5"/>
      <c r="S223" s="11" t="n">
        <v>1</v>
      </c>
      <c r="T223" s="11" t="n">
        <v>0</v>
      </c>
      <c r="U223" s="11" t="n">
        <v>0</v>
      </c>
      <c r="V223" s="5"/>
      <c r="W223" s="5" t="n">
        <v>1</v>
      </c>
      <c r="X223" s="11" t="n">
        <v>1</v>
      </c>
      <c r="Y223" s="5"/>
      <c r="Z223" s="5"/>
      <c r="AA223" s="5"/>
      <c r="AB223" s="5"/>
    </row>
    <row r="224" customFormat="false" ht="15.75" hidden="false" customHeight="false" outlineLevel="0" collapsed="false">
      <c r="A224" s="5" t="s">
        <v>563</v>
      </c>
      <c r="B224" s="5" t="s">
        <v>564</v>
      </c>
      <c r="C224" s="5" t="s">
        <v>565</v>
      </c>
      <c r="D224" s="5"/>
      <c r="E224" s="5"/>
      <c r="F224" s="5"/>
      <c r="G224" s="9" t="s">
        <v>566</v>
      </c>
      <c r="H224" s="5" t="n">
        <f aca="false">(COUNTIF(J224:EC224,"=0")+COUNTIF(J224:EC224,"=1"))</f>
        <v>14</v>
      </c>
      <c r="I224" s="16" t="n">
        <f aca="false">IFERROR(ROUND(10-AVERAGE(J224:EC224)*10,0),0)</f>
        <v>7</v>
      </c>
      <c r="J224" s="11" t="n">
        <v>1</v>
      </c>
      <c r="K224" s="11" t="n">
        <v>1</v>
      </c>
      <c r="L224" s="11" t="n">
        <v>0</v>
      </c>
      <c r="M224" s="5"/>
      <c r="N224" s="5"/>
      <c r="O224" s="11" t="n">
        <v>0</v>
      </c>
      <c r="P224" s="11" t="n">
        <v>0</v>
      </c>
      <c r="Q224" s="11" t="n">
        <v>0</v>
      </c>
      <c r="R224" s="11" t="n">
        <v>1</v>
      </c>
      <c r="S224" s="11" t="n">
        <v>0</v>
      </c>
      <c r="T224" s="11" t="n">
        <v>0</v>
      </c>
      <c r="U224" s="11" t="n">
        <v>0</v>
      </c>
      <c r="V224" s="5"/>
      <c r="W224" s="5" t="n">
        <v>0</v>
      </c>
      <c r="X224" s="11" t="n">
        <v>0</v>
      </c>
      <c r="Y224" s="5"/>
      <c r="Z224" s="5"/>
      <c r="AA224" s="5"/>
      <c r="AB224" s="5"/>
      <c r="AD224" s="5" t="n">
        <v>0</v>
      </c>
      <c r="AF224" s="5" t="n">
        <v>1</v>
      </c>
    </row>
    <row r="225" customFormat="false" ht="15.75" hidden="false" customHeight="false" outlineLevel="0" collapsed="false">
      <c r="A225" s="5" t="s">
        <v>567</v>
      </c>
      <c r="B225" s="5" t="s">
        <v>568</v>
      </c>
      <c r="C225" s="5" t="s">
        <v>569</v>
      </c>
      <c r="D225" s="5"/>
      <c r="E225" s="5"/>
      <c r="F225" s="5"/>
      <c r="G225" s="5"/>
      <c r="H225" s="5" t="n">
        <f aca="false">(COUNTIF(J225:EC225,"=0")+COUNTIF(J225:EC225,"=1"))</f>
        <v>10</v>
      </c>
      <c r="I225" s="17" t="n">
        <f aca="false">IFERROR(ROUND(10-AVERAGE(J225:EC225)*10,0),0)</f>
        <v>9</v>
      </c>
      <c r="J225" s="11" t="n">
        <v>0</v>
      </c>
      <c r="K225" s="11" t="n">
        <v>0</v>
      </c>
      <c r="L225" s="11" t="n">
        <v>0</v>
      </c>
      <c r="M225" s="5"/>
      <c r="N225" s="5"/>
      <c r="O225" s="11" t="n">
        <v>0</v>
      </c>
      <c r="P225" s="11" t="n">
        <v>0</v>
      </c>
      <c r="Q225" s="11" t="n">
        <v>0</v>
      </c>
      <c r="R225" s="5"/>
      <c r="S225" s="11" t="n">
        <v>0</v>
      </c>
      <c r="T225" s="11" t="n">
        <v>0</v>
      </c>
      <c r="U225" s="11" t="n">
        <v>1</v>
      </c>
      <c r="V225" s="5"/>
      <c r="W225" s="5"/>
      <c r="X225" s="11" t="n">
        <v>0</v>
      </c>
      <c r="Y225" s="5"/>
      <c r="Z225" s="5"/>
      <c r="AA225" s="5"/>
      <c r="AB225" s="5"/>
    </row>
    <row r="226" customFormat="false" ht="15.75" hidden="false" customHeight="false" outlineLevel="0" collapsed="false">
      <c r="A226" s="5" t="s">
        <v>570</v>
      </c>
      <c r="B226" s="5" t="s">
        <v>570</v>
      </c>
      <c r="C226" s="5" t="s">
        <v>571</v>
      </c>
      <c r="D226" s="5"/>
      <c r="E226" s="5"/>
      <c r="F226" s="5"/>
      <c r="G226" s="5"/>
      <c r="H226" s="5" t="n">
        <f aca="false">(COUNTIF(J226:EC226,"=0")+COUNTIF(J226:EC226,"=1"))</f>
        <v>1</v>
      </c>
      <c r="I226" s="18" t="n">
        <f aca="false">IFERROR(ROUND(10-AVERAGE(J226:EC226)*10,0),0)</f>
        <v>0</v>
      </c>
      <c r="J226" s="5"/>
      <c r="K226" s="5"/>
      <c r="L226" s="5"/>
      <c r="M226" s="5"/>
      <c r="N226" s="5"/>
      <c r="O226" s="5"/>
      <c r="P226" s="5" t="n">
        <v>1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customFormat="false" ht="15.75" hidden="false" customHeight="false" outlineLevel="0" collapsed="false">
      <c r="A227" s="5" t="s">
        <v>572</v>
      </c>
      <c r="B227" s="5" t="s">
        <v>572</v>
      </c>
      <c r="C227" s="5" t="s">
        <v>573</v>
      </c>
      <c r="D227" s="5"/>
      <c r="E227" s="5"/>
      <c r="F227" s="5"/>
      <c r="G227" s="5"/>
      <c r="H227" s="5" t="n">
        <f aca="false">(COUNTIF(J227:EC227,"=0")+COUNTIF(J227:EC227,"=1"))</f>
        <v>7</v>
      </c>
      <c r="I227" s="10" t="n">
        <f aca="false">IFERROR(ROUND(10-AVERAGE(J227:EC227)*10,0),0)</f>
        <v>10</v>
      </c>
      <c r="J227" s="5" t="n">
        <v>0</v>
      </c>
      <c r="K227" s="11" t="n">
        <v>0</v>
      </c>
      <c r="L227" s="5"/>
      <c r="M227" s="5"/>
      <c r="N227" s="5"/>
      <c r="O227" s="5"/>
      <c r="P227" s="11" t="n">
        <v>0</v>
      </c>
      <c r="Q227" s="5" t="n">
        <v>0</v>
      </c>
      <c r="R227" s="5"/>
      <c r="S227" s="5" t="n">
        <v>0</v>
      </c>
      <c r="T227" s="11" t="n">
        <v>0</v>
      </c>
      <c r="U227" s="5"/>
      <c r="V227" s="5"/>
      <c r="W227" s="5"/>
      <c r="X227" s="5"/>
      <c r="Y227" s="5"/>
      <c r="Z227" s="11" t="n">
        <v>0</v>
      </c>
      <c r="AA227" s="5"/>
      <c r="AB227" s="5"/>
    </row>
    <row r="228" customFormat="false" ht="15.75" hidden="false" customHeight="false" outlineLevel="0" collapsed="false">
      <c r="A228" s="5" t="s">
        <v>574</v>
      </c>
      <c r="B228" s="5" t="s">
        <v>574</v>
      </c>
      <c r="C228" s="5" t="s">
        <v>575</v>
      </c>
      <c r="D228" s="5"/>
      <c r="E228" s="14" t="s">
        <v>576</v>
      </c>
      <c r="F228" s="5"/>
      <c r="G228" s="14" t="s">
        <v>577</v>
      </c>
      <c r="H228" s="5" t="n">
        <f aca="false">(COUNTIF(J228:EC228,"=0")+COUNTIF(J228:EC228,"=1"))</f>
        <v>11</v>
      </c>
      <c r="I228" s="16" t="n">
        <f aca="false">IFERROR(ROUND(10-AVERAGE(J228:EC228)*10,0),0)</f>
        <v>7</v>
      </c>
      <c r="J228" s="11" t="n">
        <v>1</v>
      </c>
      <c r="K228" s="11" t="n">
        <v>0</v>
      </c>
      <c r="L228" s="11" t="n">
        <v>0</v>
      </c>
      <c r="M228" s="5"/>
      <c r="N228" s="5"/>
      <c r="O228" s="11" t="n">
        <v>0</v>
      </c>
      <c r="P228" s="11" t="n">
        <v>1</v>
      </c>
      <c r="Q228" s="11" t="n">
        <v>0</v>
      </c>
      <c r="R228" s="5"/>
      <c r="S228" s="11" t="n">
        <v>0</v>
      </c>
      <c r="T228" s="11" t="n">
        <v>1</v>
      </c>
      <c r="U228" s="11" t="n">
        <v>0</v>
      </c>
      <c r="V228" s="5"/>
      <c r="W228" s="5"/>
      <c r="X228" s="11" t="n">
        <v>0</v>
      </c>
      <c r="Y228" s="5"/>
      <c r="Z228" s="5"/>
      <c r="AA228" s="5"/>
      <c r="AB228" s="5"/>
      <c r="AF228" s="5" t="n">
        <v>0</v>
      </c>
    </row>
    <row r="229" customFormat="false" ht="15.75" hidden="false" customHeight="false" outlineLevel="0" collapsed="false">
      <c r="A229" s="5" t="s">
        <v>574</v>
      </c>
      <c r="B229" s="5" t="s">
        <v>574</v>
      </c>
      <c r="C229" s="5" t="s">
        <v>87</v>
      </c>
      <c r="D229" s="5"/>
      <c r="E229" s="5"/>
      <c r="F229" s="5"/>
      <c r="G229" s="9" t="s">
        <v>578</v>
      </c>
      <c r="H229" s="5" t="n">
        <f aca="false">(COUNTIF(J229:EC229,"=0")+COUNTIF(J229:EC229,"=1"))</f>
        <v>12</v>
      </c>
      <c r="I229" s="16" t="n">
        <f aca="false">IFERROR(ROUND(10-AVERAGE(J229:EC229)*10,0),0)</f>
        <v>7</v>
      </c>
      <c r="J229" s="11" t="n">
        <v>0</v>
      </c>
      <c r="K229" s="11" t="n">
        <v>0</v>
      </c>
      <c r="L229" s="5"/>
      <c r="M229" s="5"/>
      <c r="N229" s="5"/>
      <c r="O229" s="11" t="n">
        <v>0</v>
      </c>
      <c r="P229" s="11" t="n">
        <v>1</v>
      </c>
      <c r="Q229" s="11" t="n">
        <v>0</v>
      </c>
      <c r="R229" s="5"/>
      <c r="S229" s="11" t="n">
        <v>0</v>
      </c>
      <c r="T229" s="11" t="n">
        <v>1</v>
      </c>
      <c r="U229" s="11" t="n">
        <v>0</v>
      </c>
      <c r="V229" s="5"/>
      <c r="W229" s="5" t="n">
        <v>1</v>
      </c>
      <c r="X229" s="11" t="n">
        <v>0</v>
      </c>
      <c r="Y229" s="5"/>
      <c r="Z229" s="5"/>
      <c r="AA229" s="11" t="n">
        <v>1</v>
      </c>
      <c r="AB229" s="5"/>
      <c r="AF229" s="5" t="n">
        <v>0</v>
      </c>
    </row>
    <row r="230" customFormat="false" ht="15.75" hidden="false" customHeight="false" outlineLevel="0" collapsed="false">
      <c r="A230" s="5" t="s">
        <v>574</v>
      </c>
      <c r="B230" s="5" t="s">
        <v>574</v>
      </c>
      <c r="C230" s="5" t="s">
        <v>579</v>
      </c>
      <c r="D230" s="5"/>
      <c r="E230" s="5"/>
      <c r="F230" s="5"/>
      <c r="G230" s="9" t="s">
        <v>580</v>
      </c>
      <c r="H230" s="5" t="n">
        <f aca="false">(COUNTIF(J230:EC230,"=0")+COUNTIF(J230:EC230,"=1"))</f>
        <v>11</v>
      </c>
      <c r="I230" s="12" t="n">
        <f aca="false">IFERROR(ROUND(10-AVERAGE(J230:EC230)*10,0),0)</f>
        <v>8</v>
      </c>
      <c r="J230" s="11" t="n">
        <v>0</v>
      </c>
      <c r="K230" s="11" t="n">
        <v>0</v>
      </c>
      <c r="L230" s="5"/>
      <c r="M230" s="5"/>
      <c r="N230" s="5"/>
      <c r="O230" s="11" t="n">
        <v>0</v>
      </c>
      <c r="P230" s="11" t="n">
        <v>1</v>
      </c>
      <c r="Q230" s="11" t="n">
        <v>0</v>
      </c>
      <c r="R230" s="5"/>
      <c r="S230" s="11" t="n">
        <v>0</v>
      </c>
      <c r="T230" s="11" t="n">
        <v>1</v>
      </c>
      <c r="U230" s="11" t="n">
        <v>0</v>
      </c>
      <c r="V230" s="5"/>
      <c r="W230" s="5" t="n">
        <v>0</v>
      </c>
      <c r="X230" s="11" t="n">
        <v>0</v>
      </c>
      <c r="Y230" s="5"/>
      <c r="Z230" s="5"/>
      <c r="AA230" s="5"/>
      <c r="AB230" s="5"/>
      <c r="AF230" s="5" t="n">
        <v>0</v>
      </c>
    </row>
    <row r="231" customFormat="false" ht="15.75" hidden="false" customHeight="false" outlineLevel="0" collapsed="false">
      <c r="A231" s="5" t="s">
        <v>574</v>
      </c>
      <c r="B231" s="5" t="s">
        <v>574</v>
      </c>
      <c r="C231" s="5" t="s">
        <v>581</v>
      </c>
      <c r="D231" s="5"/>
      <c r="E231" s="5"/>
      <c r="F231" s="5"/>
      <c r="G231" s="9" t="s">
        <v>582</v>
      </c>
      <c r="H231" s="5" t="n">
        <f aca="false">(COUNTIF(J231:EC231,"=0")+COUNTIF(J231:EC231,"=1"))</f>
        <v>9</v>
      </c>
      <c r="I231" s="12" t="n">
        <f aca="false">IFERROR(ROUND(10-AVERAGE(J231:EC231)*10,0),0)</f>
        <v>8</v>
      </c>
      <c r="J231" s="11" t="n">
        <v>0</v>
      </c>
      <c r="K231" s="11" t="n">
        <v>0</v>
      </c>
      <c r="L231" s="5"/>
      <c r="M231" s="5"/>
      <c r="N231" s="5"/>
      <c r="O231" s="11" t="n">
        <v>0</v>
      </c>
      <c r="P231" s="11" t="n">
        <v>1</v>
      </c>
      <c r="Q231" s="11" t="n">
        <v>0</v>
      </c>
      <c r="R231" s="5"/>
      <c r="S231" s="11" t="n">
        <v>0</v>
      </c>
      <c r="T231" s="11" t="n">
        <v>1</v>
      </c>
      <c r="U231" s="11" t="n">
        <v>0</v>
      </c>
      <c r="V231" s="5"/>
      <c r="W231" s="5"/>
      <c r="X231" s="11" t="n">
        <v>0</v>
      </c>
      <c r="Y231" s="5"/>
      <c r="Z231" s="5"/>
      <c r="AA231" s="5"/>
      <c r="AB231" s="5"/>
    </row>
    <row r="232" customFormat="false" ht="15.75" hidden="false" customHeight="false" outlineLevel="0" collapsed="false">
      <c r="A232" s="5" t="s">
        <v>583</v>
      </c>
      <c r="B232" s="5" t="s">
        <v>583</v>
      </c>
      <c r="C232" s="5" t="s">
        <v>584</v>
      </c>
      <c r="D232" s="5"/>
      <c r="E232" s="14" t="s">
        <v>585</v>
      </c>
      <c r="F232" s="5"/>
      <c r="G232" s="5"/>
      <c r="H232" s="5"/>
      <c r="I232" s="15"/>
      <c r="J232" s="5"/>
      <c r="K232" s="5"/>
      <c r="L232" s="5"/>
      <c r="M232" s="5"/>
      <c r="N232" s="5"/>
      <c r="O232" s="5"/>
      <c r="P232" s="5" t="n">
        <v>1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customFormat="false" ht="15.75" hidden="false" customHeight="false" outlineLevel="0" collapsed="false">
      <c r="A233" s="5" t="s">
        <v>583</v>
      </c>
      <c r="B233" s="5" t="s">
        <v>583</v>
      </c>
      <c r="C233" s="5" t="s">
        <v>586</v>
      </c>
      <c r="D233" s="5" t="s">
        <v>587</v>
      </c>
      <c r="E233" s="14" t="s">
        <v>588</v>
      </c>
      <c r="F233" s="5"/>
      <c r="G233" s="14" t="s">
        <v>589</v>
      </c>
      <c r="H233" s="5" t="n">
        <f aca="false">(COUNTIF(J233:EC233,"=0")+COUNTIF(J233:EC233,"=1"))</f>
        <v>1</v>
      </c>
      <c r="I233" s="15" t="n">
        <f aca="false">IFERROR(ROUND(10-AVERAGE(J233:EC233)*10,0),0)</f>
        <v>0</v>
      </c>
      <c r="J233" s="5"/>
      <c r="K233" s="5"/>
      <c r="L233" s="5"/>
      <c r="M233" s="5"/>
      <c r="N233" s="5"/>
      <c r="O233" s="5"/>
      <c r="P233" s="5" t="n">
        <v>1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customFormat="false" ht="15.75" hidden="false" customHeight="false" outlineLevel="0" collapsed="false">
      <c r="A234" s="5" t="s">
        <v>590</v>
      </c>
      <c r="B234" s="5" t="s">
        <v>590</v>
      </c>
      <c r="C234" s="5" t="s">
        <v>591</v>
      </c>
      <c r="D234" s="5"/>
      <c r="E234" s="5"/>
      <c r="F234" s="5"/>
      <c r="G234" s="14" t="s">
        <v>592</v>
      </c>
      <c r="H234" s="5" t="n">
        <f aca="false">(COUNTIF(J234:EC234,"=0")+COUNTIF(J234:EC234,"=1"))</f>
        <v>2</v>
      </c>
      <c r="I234" s="15" t="n">
        <f aca="false">IFERROR(ROUND(10-AVERAGE(J234:EC234)*10,0),0)</f>
        <v>5</v>
      </c>
      <c r="J234" s="5"/>
      <c r="K234" s="11"/>
      <c r="L234" s="5" t="n">
        <v>1</v>
      </c>
      <c r="M234" s="5"/>
      <c r="N234" s="5"/>
      <c r="O234" s="5"/>
      <c r="P234" s="5" t="n"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customFormat="false" ht="15.75" hidden="false" customHeight="false" outlineLevel="0" collapsed="false">
      <c r="A235" s="5" t="s">
        <v>593</v>
      </c>
      <c r="B235" s="5" t="s">
        <v>593</v>
      </c>
      <c r="C235" s="5" t="s">
        <v>594</v>
      </c>
      <c r="D235" s="5"/>
      <c r="E235" s="5"/>
      <c r="F235" s="5"/>
      <c r="G235" s="5"/>
      <c r="H235" s="5" t="n">
        <f aca="false">(COUNTIF(J235:EC235,"=0")+COUNTIF(J235:EC235,"=1"))</f>
        <v>3</v>
      </c>
      <c r="I235" s="15" t="n">
        <f aca="false">IFERROR(ROUND(10-AVERAGE(J235:EC235)*10,0),0)</f>
        <v>7</v>
      </c>
      <c r="J235" s="5"/>
      <c r="K235" s="11" t="n">
        <v>0</v>
      </c>
      <c r="L235" s="5"/>
      <c r="M235" s="5"/>
      <c r="N235" s="5"/>
      <c r="O235" s="5"/>
      <c r="P235" s="5" t="n">
        <v>0</v>
      </c>
      <c r="Q235" s="5"/>
      <c r="R235" s="5"/>
      <c r="S235" s="5"/>
      <c r="T235" s="5"/>
      <c r="U235" s="5"/>
      <c r="V235" s="5"/>
      <c r="W235" s="5" t="n">
        <v>1</v>
      </c>
      <c r="X235" s="5"/>
      <c r="Y235" s="5"/>
      <c r="Z235" s="5"/>
      <c r="AA235" s="5"/>
      <c r="AB235" s="5"/>
    </row>
    <row r="236" customFormat="false" ht="15.75" hidden="false" customHeight="false" outlineLevel="0" collapsed="false">
      <c r="A236" s="5" t="s">
        <v>593</v>
      </c>
      <c r="B236" s="5" t="s">
        <v>593</v>
      </c>
      <c r="C236" s="5" t="s">
        <v>595</v>
      </c>
      <c r="D236" s="5"/>
      <c r="E236" s="5"/>
      <c r="F236" s="5"/>
      <c r="G236" s="5"/>
      <c r="H236" s="5" t="n">
        <f aca="false">(COUNTIF(J236:EC236,"=0")+COUNTIF(J236:EC236,"=1"))</f>
        <v>3</v>
      </c>
      <c r="I236" s="15" t="n">
        <f aca="false">IFERROR(ROUND(10-AVERAGE(J236:EC236)*10,0),0)</f>
        <v>7</v>
      </c>
      <c r="J236" s="5"/>
      <c r="K236" s="11" t="n">
        <v>0</v>
      </c>
      <c r="L236" s="5"/>
      <c r="M236" s="5"/>
      <c r="N236" s="5"/>
      <c r="O236" s="5"/>
      <c r="P236" s="5" t="n">
        <v>0</v>
      </c>
      <c r="Q236" s="5"/>
      <c r="R236" s="5"/>
      <c r="S236" s="5"/>
      <c r="T236" s="5"/>
      <c r="U236" s="5"/>
      <c r="V236" s="5"/>
      <c r="W236" s="5" t="n">
        <v>1</v>
      </c>
      <c r="X236" s="5"/>
      <c r="Y236" s="5"/>
      <c r="Z236" s="5"/>
      <c r="AA236" s="5"/>
      <c r="AB236" s="5"/>
    </row>
    <row r="237" customFormat="false" ht="15.75" hidden="false" customHeight="false" outlineLevel="0" collapsed="false">
      <c r="A237" s="5" t="s">
        <v>596</v>
      </c>
      <c r="B237" s="5" t="s">
        <v>596</v>
      </c>
      <c r="C237" s="5" t="s">
        <v>597</v>
      </c>
      <c r="D237" s="5"/>
      <c r="E237" s="5"/>
      <c r="F237" s="5"/>
      <c r="G237" s="9" t="s">
        <v>598</v>
      </c>
      <c r="H237" s="5" t="n">
        <f aca="false">(COUNTIF(J237:EC237,"=0")+COUNTIF(J237:EC237,"=1"))</f>
        <v>12</v>
      </c>
      <c r="I237" s="19" t="n">
        <f aca="false">IFERROR(ROUND(10-AVERAGE(J237:EC237)*10,0),0)</f>
        <v>5</v>
      </c>
      <c r="J237" s="11" t="n">
        <v>1</v>
      </c>
      <c r="K237" s="11" t="n">
        <v>1</v>
      </c>
      <c r="L237" s="11" t="n">
        <v>0</v>
      </c>
      <c r="M237" s="11" t="n">
        <v>0</v>
      </c>
      <c r="N237" s="5"/>
      <c r="O237" s="11" t="n">
        <v>0</v>
      </c>
      <c r="P237" s="11" t="n">
        <v>1</v>
      </c>
      <c r="Q237" s="11" t="n">
        <v>1</v>
      </c>
      <c r="R237" s="11" t="n">
        <v>1</v>
      </c>
      <c r="S237" s="11" t="n">
        <v>0</v>
      </c>
      <c r="T237" s="11" t="n">
        <v>0</v>
      </c>
      <c r="U237" s="11" t="n">
        <v>1</v>
      </c>
      <c r="V237" s="5"/>
      <c r="W237" s="5"/>
      <c r="X237" s="11" t="n">
        <v>0</v>
      </c>
      <c r="Y237" s="5"/>
      <c r="Z237" s="5"/>
      <c r="AA237" s="5"/>
      <c r="AB237" s="5"/>
    </row>
    <row r="238" customFormat="false" ht="15.75" hidden="false" customHeight="false" outlineLevel="0" collapsed="false">
      <c r="A238" s="5" t="s">
        <v>596</v>
      </c>
      <c r="B238" s="5" t="s">
        <v>596</v>
      </c>
      <c r="C238" s="5" t="s">
        <v>599</v>
      </c>
      <c r="D238" s="5"/>
      <c r="E238" s="5"/>
      <c r="F238" s="5"/>
      <c r="G238" s="9" t="s">
        <v>600</v>
      </c>
      <c r="H238" s="5" t="n">
        <f aca="false">(COUNTIF(J238:EC238,"=0")+COUNTIF(J238:EC238,"=1"))</f>
        <v>5</v>
      </c>
      <c r="I238" s="15" t="n">
        <f aca="false">IFERROR(ROUND(10-AVERAGE(J238:EC238)*10,0),0)</f>
        <v>6</v>
      </c>
      <c r="J238" s="11" t="n">
        <v>0</v>
      </c>
      <c r="K238" s="11" t="n">
        <v>1</v>
      </c>
      <c r="L238" s="5"/>
      <c r="M238" s="5"/>
      <c r="N238" s="5"/>
      <c r="O238" s="5"/>
      <c r="P238" s="11" t="n">
        <v>1</v>
      </c>
      <c r="Q238" s="5"/>
      <c r="R238" s="5"/>
      <c r="S238" s="5"/>
      <c r="T238" s="11" t="n">
        <v>0</v>
      </c>
      <c r="U238" s="5"/>
      <c r="V238" s="5"/>
      <c r="W238" s="5"/>
      <c r="X238" s="5"/>
      <c r="Y238" s="5"/>
      <c r="Z238" s="11" t="n">
        <v>0</v>
      </c>
      <c r="AA238" s="5"/>
      <c r="AB238" s="5"/>
    </row>
    <row r="239" customFormat="false" ht="15.75" hidden="false" customHeight="false" outlineLevel="0" collapsed="false">
      <c r="A239" s="5" t="s">
        <v>596</v>
      </c>
      <c r="B239" s="5" t="s">
        <v>596</v>
      </c>
      <c r="C239" s="5" t="s">
        <v>601</v>
      </c>
      <c r="D239" s="5"/>
      <c r="E239" s="5"/>
      <c r="F239" s="5"/>
      <c r="G239" s="9" t="s">
        <v>602</v>
      </c>
      <c r="H239" s="5" t="n">
        <f aca="false">(COUNTIF(J239:EC239,"=0")+COUNTIF(J239:EC239,"=1"))</f>
        <v>12</v>
      </c>
      <c r="I239" s="19" t="n">
        <f aca="false">IFERROR(ROUND(10-AVERAGE(J239:EC239)*10,0),0)</f>
        <v>5</v>
      </c>
      <c r="J239" s="11" t="n">
        <v>0</v>
      </c>
      <c r="K239" s="11" t="n">
        <v>1</v>
      </c>
      <c r="L239" s="11" t="n">
        <v>0</v>
      </c>
      <c r="M239" s="5"/>
      <c r="N239" s="5"/>
      <c r="O239" s="11" t="n">
        <v>0</v>
      </c>
      <c r="P239" s="11" t="n">
        <v>1</v>
      </c>
      <c r="Q239" s="11" t="n">
        <v>1</v>
      </c>
      <c r="R239" s="11" t="n">
        <v>1</v>
      </c>
      <c r="S239" s="11" t="n">
        <v>0</v>
      </c>
      <c r="T239" s="11" t="n">
        <v>0</v>
      </c>
      <c r="U239" s="11" t="n">
        <v>1</v>
      </c>
      <c r="V239" s="5"/>
      <c r="W239" s="5"/>
      <c r="X239" s="11" t="n">
        <v>0</v>
      </c>
      <c r="Y239" s="5"/>
      <c r="Z239" s="5"/>
      <c r="AA239" s="11" t="n">
        <v>1</v>
      </c>
      <c r="AB239" s="5"/>
    </row>
    <row r="240" customFormat="false" ht="15.75" hidden="false" customHeight="false" outlineLevel="0" collapsed="false">
      <c r="A240" s="5" t="s">
        <v>596</v>
      </c>
      <c r="B240" s="5" t="s">
        <v>596</v>
      </c>
      <c r="C240" s="5" t="s">
        <v>603</v>
      </c>
      <c r="D240" s="5"/>
      <c r="E240" s="5"/>
      <c r="F240" s="5"/>
      <c r="G240" s="9" t="s">
        <v>604</v>
      </c>
      <c r="H240" s="5" t="n">
        <f aca="false">(COUNTIF(J240:EC240,"=0")+COUNTIF(J240:EC240,"=1"))</f>
        <v>6</v>
      </c>
      <c r="I240" s="19" t="n">
        <f aca="false">IFERROR(ROUND(10-AVERAGE(J240:EC240)*10,0),0)</f>
        <v>5</v>
      </c>
      <c r="J240" s="11" t="n">
        <v>0</v>
      </c>
      <c r="K240" s="11" t="n">
        <v>1</v>
      </c>
      <c r="L240" s="5"/>
      <c r="M240" s="5"/>
      <c r="N240" s="5"/>
      <c r="O240" s="5"/>
      <c r="P240" s="11" t="n">
        <v>1</v>
      </c>
      <c r="Q240" s="5"/>
      <c r="R240" s="5"/>
      <c r="S240" s="5"/>
      <c r="T240" s="11" t="n">
        <v>0</v>
      </c>
      <c r="U240" s="5"/>
      <c r="V240" s="5"/>
      <c r="W240" s="5"/>
      <c r="X240" s="5"/>
      <c r="Y240" s="5"/>
      <c r="Z240" s="11" t="n">
        <v>0</v>
      </c>
      <c r="AA240" s="11" t="n">
        <v>1</v>
      </c>
      <c r="AB240" s="5"/>
    </row>
    <row r="241" customFormat="false" ht="15.75" hidden="false" customHeight="false" outlineLevel="0" collapsed="false">
      <c r="A241" s="5" t="s">
        <v>596</v>
      </c>
      <c r="B241" s="5" t="s">
        <v>596</v>
      </c>
      <c r="C241" s="5" t="s">
        <v>605</v>
      </c>
      <c r="D241" s="5"/>
      <c r="E241" s="5"/>
      <c r="F241" s="5"/>
      <c r="G241" s="9" t="s">
        <v>606</v>
      </c>
      <c r="H241" s="5" t="n">
        <f aca="false">(COUNTIF(J241:EC241,"=0")+COUNTIF(J241:EC241,"=1"))</f>
        <v>5</v>
      </c>
      <c r="I241" s="15" t="n">
        <f aca="false">IFERROR(ROUND(10-AVERAGE(J241:EC241)*10,0),0)</f>
        <v>6</v>
      </c>
      <c r="J241" s="11" t="n">
        <v>0</v>
      </c>
      <c r="K241" s="11" t="n">
        <v>1</v>
      </c>
      <c r="L241" s="5"/>
      <c r="M241" s="5"/>
      <c r="N241" s="5"/>
      <c r="O241" s="5"/>
      <c r="P241" s="11" t="n">
        <v>1</v>
      </c>
      <c r="Q241" s="5"/>
      <c r="R241" s="5"/>
      <c r="S241" s="5"/>
      <c r="T241" s="11" t="n">
        <v>0</v>
      </c>
      <c r="U241" s="5"/>
      <c r="V241" s="5"/>
      <c r="W241" s="5"/>
      <c r="X241" s="5"/>
      <c r="Y241" s="5"/>
      <c r="Z241" s="11" t="n">
        <v>0</v>
      </c>
      <c r="AA241" s="5"/>
      <c r="AB241" s="5"/>
    </row>
    <row r="242" customFormat="false" ht="15.75" hidden="false" customHeight="false" outlineLevel="0" collapsed="false">
      <c r="A242" s="5" t="s">
        <v>596</v>
      </c>
      <c r="B242" s="5" t="s">
        <v>596</v>
      </c>
      <c r="C242" s="5" t="s">
        <v>607</v>
      </c>
      <c r="D242" s="5"/>
      <c r="E242" s="5"/>
      <c r="F242" s="5"/>
      <c r="G242" s="9" t="s">
        <v>608</v>
      </c>
      <c r="H242" s="5" t="n">
        <f aca="false">(COUNTIF(J242:EC242,"=0")+COUNTIF(J242:EC242,"=1"))</f>
        <v>11</v>
      </c>
      <c r="I242" s="19" t="n">
        <f aca="false">IFERROR(ROUND(10-AVERAGE(J242:EC242)*10,0),0)</f>
        <v>5</v>
      </c>
      <c r="J242" s="11" t="n">
        <v>0</v>
      </c>
      <c r="K242" s="11" t="n">
        <v>1</v>
      </c>
      <c r="L242" s="11" t="n">
        <v>0</v>
      </c>
      <c r="M242" s="5"/>
      <c r="N242" s="5"/>
      <c r="O242" s="11" t="n">
        <v>0</v>
      </c>
      <c r="P242" s="11" t="n">
        <v>1</v>
      </c>
      <c r="Q242" s="11" t="n">
        <v>1</v>
      </c>
      <c r="R242" s="11" t="n">
        <v>1</v>
      </c>
      <c r="S242" s="11" t="n">
        <v>0</v>
      </c>
      <c r="T242" s="11" t="n">
        <v>0</v>
      </c>
      <c r="U242" s="11" t="n">
        <v>1</v>
      </c>
      <c r="V242" s="5"/>
      <c r="W242" s="5"/>
      <c r="X242" s="11" t="n">
        <v>0</v>
      </c>
      <c r="Y242" s="5"/>
      <c r="Z242" s="5"/>
      <c r="AA242" s="5"/>
      <c r="AB242" s="5"/>
    </row>
    <row r="243" customFormat="false" ht="15.75" hidden="false" customHeight="false" outlineLevel="0" collapsed="false">
      <c r="A243" s="5" t="s">
        <v>596</v>
      </c>
      <c r="B243" s="5" t="s">
        <v>596</v>
      </c>
      <c r="C243" s="5" t="s">
        <v>609</v>
      </c>
      <c r="D243" s="5"/>
      <c r="E243" s="5"/>
      <c r="F243" s="5"/>
      <c r="G243" s="9" t="s">
        <v>610</v>
      </c>
      <c r="H243" s="5" t="n">
        <f aca="false">(COUNTIF(J243:EC243,"=0")+COUNTIF(J243:EC243,"=1"))</f>
        <v>5</v>
      </c>
      <c r="I243" s="13" t="n">
        <f aca="false">IFERROR(ROUND(10-AVERAGE(J243:EC243)*10,0),0)</f>
        <v>2</v>
      </c>
      <c r="J243" s="11" t="n">
        <v>1</v>
      </c>
      <c r="K243" s="11" t="n">
        <v>1</v>
      </c>
      <c r="L243" s="5"/>
      <c r="M243" s="5"/>
      <c r="N243" s="5"/>
      <c r="O243" s="5"/>
      <c r="P243" s="11" t="n">
        <v>1</v>
      </c>
      <c r="Q243" s="5"/>
      <c r="R243" s="5"/>
      <c r="S243" s="5"/>
      <c r="T243" s="11" t="n">
        <v>0</v>
      </c>
      <c r="U243" s="5"/>
      <c r="V243" s="5"/>
      <c r="W243" s="5"/>
      <c r="X243" s="5"/>
      <c r="Y243" s="5"/>
      <c r="Z243" s="11" t="n">
        <v>1</v>
      </c>
      <c r="AA243" s="5"/>
      <c r="AB243" s="5"/>
    </row>
    <row r="244" customFormat="false" ht="15.75" hidden="false" customHeight="false" outlineLevel="0" collapsed="false">
      <c r="A244" s="5" t="s">
        <v>596</v>
      </c>
      <c r="B244" s="5" t="s">
        <v>596</v>
      </c>
      <c r="C244" s="5" t="s">
        <v>611</v>
      </c>
      <c r="D244" s="5"/>
      <c r="E244" s="5"/>
      <c r="F244" s="5"/>
      <c r="G244" s="9" t="s">
        <v>612</v>
      </c>
      <c r="H244" s="5" t="n">
        <f aca="false">(COUNTIF(J244:EC244,"=0")+COUNTIF(J244:EC244,"=1"))</f>
        <v>6</v>
      </c>
      <c r="I244" s="19" t="n">
        <f aca="false">IFERROR(ROUND(10-AVERAGE(J244:EC244)*10,0),0)</f>
        <v>5</v>
      </c>
      <c r="J244" s="11" t="n">
        <v>0</v>
      </c>
      <c r="K244" s="11" t="n">
        <v>1</v>
      </c>
      <c r="L244" s="5"/>
      <c r="M244" s="5"/>
      <c r="N244" s="5"/>
      <c r="O244" s="5"/>
      <c r="P244" s="11" t="n">
        <v>1</v>
      </c>
      <c r="Q244" s="5"/>
      <c r="R244" s="5"/>
      <c r="S244" s="5"/>
      <c r="T244" s="11" t="n">
        <v>0</v>
      </c>
      <c r="U244" s="11" t="n">
        <v>1</v>
      </c>
      <c r="V244" s="5"/>
      <c r="W244" s="5"/>
      <c r="X244" s="11" t="n">
        <v>0</v>
      </c>
      <c r="Y244" s="5"/>
      <c r="Z244" s="5"/>
      <c r="AA244" s="5"/>
      <c r="AB244" s="5"/>
    </row>
    <row r="245" customFormat="false" ht="15.75" hidden="false" customHeight="false" outlineLevel="0" collapsed="false">
      <c r="A245" s="5" t="s">
        <v>613</v>
      </c>
      <c r="B245" s="5" t="s">
        <v>614</v>
      </c>
      <c r="C245" s="5" t="s">
        <v>615</v>
      </c>
      <c r="D245" s="5"/>
      <c r="E245" s="5"/>
      <c r="F245" s="5"/>
      <c r="G245" s="9" t="s">
        <v>616</v>
      </c>
      <c r="H245" s="5" t="n">
        <f aca="false">(COUNTIF(J245:EC245,"=0")+COUNTIF(J245:EC245,"=1"))</f>
        <v>6</v>
      </c>
      <c r="I245" s="12" t="n">
        <f aca="false">IFERROR(ROUND(10-AVERAGE(J245:EC245)*10,0),0)</f>
        <v>8</v>
      </c>
      <c r="J245" s="11" t="n">
        <v>0</v>
      </c>
      <c r="K245" s="11" t="n">
        <v>0</v>
      </c>
      <c r="L245" s="5"/>
      <c r="M245" s="5"/>
      <c r="N245" s="5"/>
      <c r="O245" s="5"/>
      <c r="P245" s="11" t="n">
        <v>1</v>
      </c>
      <c r="Q245" s="5" t="n">
        <v>0</v>
      </c>
      <c r="R245" s="5"/>
      <c r="S245" s="5" t="n">
        <v>0</v>
      </c>
      <c r="T245" s="11" t="n">
        <v>0</v>
      </c>
      <c r="U245" s="5"/>
      <c r="V245" s="5"/>
      <c r="W245" s="5"/>
      <c r="X245" s="5"/>
      <c r="Y245" s="5"/>
      <c r="Z245" s="5"/>
      <c r="AA245" s="5"/>
      <c r="AB245" s="5"/>
    </row>
    <row r="246" customFormat="false" ht="15.75" hidden="false" customHeight="false" outlineLevel="0" collapsed="false">
      <c r="A246" s="5" t="s">
        <v>617</v>
      </c>
      <c r="B246" s="5" t="s">
        <v>617</v>
      </c>
      <c r="C246" s="5" t="s">
        <v>618</v>
      </c>
      <c r="D246" s="5"/>
      <c r="E246" s="9" t="s">
        <v>619</v>
      </c>
      <c r="F246" s="5"/>
      <c r="G246" s="9" t="s">
        <v>620</v>
      </c>
      <c r="H246" s="5" t="n">
        <f aca="false">(COUNTIF(J246:EC246,"=0")+COUNTIF(J246:EC246,"=1"))</f>
        <v>1</v>
      </c>
      <c r="I246" s="17" t="n">
        <f aca="false">IFERROR(ROUND(10-AVERAGE(J246:EC246)*10,0),0)</f>
        <v>0</v>
      </c>
      <c r="J246" s="11"/>
      <c r="K246" s="11"/>
      <c r="L246" s="11"/>
      <c r="M246" s="5"/>
      <c r="N246" s="5"/>
      <c r="O246" s="11"/>
      <c r="P246" s="11" t="n">
        <v>1</v>
      </c>
      <c r="Q246" s="11"/>
      <c r="R246" s="5"/>
      <c r="S246" s="11"/>
      <c r="T246" s="11"/>
      <c r="U246" s="11"/>
      <c r="V246" s="5"/>
      <c r="W246" s="5"/>
      <c r="X246" s="11"/>
      <c r="Y246" s="5"/>
      <c r="Z246" s="5"/>
      <c r="AA246" s="5"/>
      <c r="AB246" s="5"/>
    </row>
    <row r="247" customFormat="false" ht="15.75" hidden="false" customHeight="false" outlineLevel="0" collapsed="false">
      <c r="A247" s="5" t="s">
        <v>617</v>
      </c>
      <c r="B247" s="5" t="s">
        <v>617</v>
      </c>
      <c r="C247" s="5" t="s">
        <v>621</v>
      </c>
      <c r="D247" s="5"/>
      <c r="E247" s="5"/>
      <c r="F247" s="5"/>
      <c r="G247" s="9" t="s">
        <v>622</v>
      </c>
      <c r="H247" s="5" t="n">
        <f aca="false">(COUNTIF(J247:EC247,"=0")+COUNTIF(J247:EC247,"=1"))</f>
        <v>11</v>
      </c>
      <c r="I247" s="17" t="n">
        <f aca="false">IFERROR(ROUND(10-AVERAGE(J247:EC247)*10,0),0)</f>
        <v>9</v>
      </c>
      <c r="J247" s="11" t="n">
        <v>0</v>
      </c>
      <c r="K247" s="11" t="n">
        <v>0</v>
      </c>
      <c r="L247" s="11" t="n">
        <v>0</v>
      </c>
      <c r="M247" s="5"/>
      <c r="N247" s="5"/>
      <c r="O247" s="11" t="n">
        <v>0</v>
      </c>
      <c r="P247" s="11" t="n">
        <v>0</v>
      </c>
      <c r="Q247" s="11" t="n">
        <v>1</v>
      </c>
      <c r="R247" s="5"/>
      <c r="S247" s="11" t="n">
        <v>0</v>
      </c>
      <c r="T247" s="11" t="n">
        <v>0</v>
      </c>
      <c r="U247" s="11" t="n">
        <v>0</v>
      </c>
      <c r="V247" s="5"/>
      <c r="W247" s="5" t="n">
        <v>0</v>
      </c>
      <c r="X247" s="11" t="n">
        <v>0</v>
      </c>
      <c r="Y247" s="5"/>
      <c r="Z247" s="5"/>
      <c r="AA247" s="5"/>
      <c r="AB247" s="5"/>
    </row>
    <row r="248" customFormat="false" ht="15.75" hidden="false" customHeight="false" outlineLevel="0" collapsed="false">
      <c r="A248" s="5" t="s">
        <v>623</v>
      </c>
      <c r="B248" s="5" t="s">
        <v>624</v>
      </c>
      <c r="C248" s="5" t="s">
        <v>625</v>
      </c>
      <c r="D248" s="5"/>
      <c r="E248" s="5"/>
      <c r="F248" s="5"/>
      <c r="G248" s="9" t="s">
        <v>626</v>
      </c>
      <c r="H248" s="5" t="n">
        <f aca="false">(COUNTIF(J248:EC248,"=0")+COUNTIF(J248:EC248,"=1"))</f>
        <v>5</v>
      </c>
      <c r="I248" s="12" t="n">
        <f aca="false">IFERROR(ROUND(10-AVERAGE(J248:EC248)*10,0),0)</f>
        <v>8</v>
      </c>
      <c r="J248" s="11" t="n">
        <v>0</v>
      </c>
      <c r="K248" s="11" t="n">
        <v>0</v>
      </c>
      <c r="L248" s="5"/>
      <c r="M248" s="5"/>
      <c r="N248" s="5"/>
      <c r="O248" s="5"/>
      <c r="P248" s="11" t="n">
        <v>0</v>
      </c>
      <c r="Q248" s="5"/>
      <c r="R248" s="5"/>
      <c r="S248" s="5"/>
      <c r="T248" s="11" t="n">
        <v>0</v>
      </c>
      <c r="U248" s="5"/>
      <c r="V248" s="5"/>
      <c r="W248" s="5"/>
      <c r="X248" s="11" t="n">
        <v>1</v>
      </c>
      <c r="Y248" s="5"/>
      <c r="Z248" s="5"/>
      <c r="AA248" s="5"/>
      <c r="AB248" s="5"/>
    </row>
    <row r="249" customFormat="false" ht="15.75" hidden="false" customHeight="false" outlineLevel="0" collapsed="false">
      <c r="A249" s="5" t="s">
        <v>623</v>
      </c>
      <c r="B249" s="5" t="s">
        <v>627</v>
      </c>
      <c r="C249" s="5" t="s">
        <v>628</v>
      </c>
      <c r="D249" s="5"/>
      <c r="E249" s="5"/>
      <c r="F249" s="5"/>
      <c r="G249" s="9" t="s">
        <v>629</v>
      </c>
      <c r="H249" s="5" t="n">
        <f aca="false">(COUNTIF(J249:EC249,"=0")+COUNTIF(J249:EC249,"=1"))</f>
        <v>10</v>
      </c>
      <c r="I249" s="16" t="n">
        <f aca="false">IFERROR(ROUND(10-AVERAGE(J249:EC249)*10,0),0)</f>
        <v>7</v>
      </c>
      <c r="J249" s="11" t="n">
        <v>0</v>
      </c>
      <c r="K249" s="11" t="n">
        <v>0</v>
      </c>
      <c r="L249" s="5"/>
      <c r="M249" s="5"/>
      <c r="N249" s="5"/>
      <c r="O249" s="11" t="n">
        <v>0</v>
      </c>
      <c r="P249" s="11" t="n">
        <v>1</v>
      </c>
      <c r="Q249" s="11" t="n">
        <v>0</v>
      </c>
      <c r="R249" s="5"/>
      <c r="S249" s="11" t="n">
        <v>0</v>
      </c>
      <c r="T249" s="11" t="n">
        <v>1</v>
      </c>
      <c r="U249" s="11" t="n">
        <v>0</v>
      </c>
      <c r="V249" s="5"/>
      <c r="W249" s="5"/>
      <c r="X249" s="11" t="n">
        <v>1</v>
      </c>
      <c r="Y249" s="5"/>
      <c r="Z249" s="5"/>
      <c r="AA249" s="5"/>
      <c r="AB249" s="5"/>
      <c r="AF249" s="5" t="n">
        <v>0</v>
      </c>
    </row>
    <row r="250" customFormat="false" ht="15.75" hidden="false" customHeight="false" outlineLevel="0" collapsed="false">
      <c r="A250" s="5" t="s">
        <v>623</v>
      </c>
      <c r="B250" s="5" t="s">
        <v>627</v>
      </c>
      <c r="C250" s="5" t="s">
        <v>630</v>
      </c>
      <c r="D250" s="5"/>
      <c r="E250" s="5"/>
      <c r="F250" s="5"/>
      <c r="G250" s="9" t="s">
        <v>631</v>
      </c>
      <c r="H250" s="5" t="n">
        <f aca="false">(COUNTIF(J250:EC250,"=0")+COUNTIF(J250:EC250,"=1"))</f>
        <v>9</v>
      </c>
      <c r="I250" s="17" t="n">
        <f aca="false">IFERROR(ROUND(10-AVERAGE(J250:EC250)*10,0),0)</f>
        <v>9</v>
      </c>
      <c r="J250" s="11" t="n">
        <v>0</v>
      </c>
      <c r="K250" s="11" t="n">
        <v>0</v>
      </c>
      <c r="L250" s="5"/>
      <c r="M250" s="5"/>
      <c r="N250" s="5"/>
      <c r="O250" s="11" t="n">
        <v>0</v>
      </c>
      <c r="P250" s="11" t="n">
        <v>0</v>
      </c>
      <c r="Q250" s="11" t="n">
        <v>0</v>
      </c>
      <c r="R250" s="5"/>
      <c r="S250" s="11" t="n">
        <v>0</v>
      </c>
      <c r="T250" s="11" t="n">
        <v>0</v>
      </c>
      <c r="U250" s="11" t="n">
        <v>0</v>
      </c>
      <c r="V250" s="5"/>
      <c r="W250" s="5"/>
      <c r="X250" s="11" t="n">
        <v>1</v>
      </c>
      <c r="Y250" s="5"/>
      <c r="Z250" s="5"/>
      <c r="AA250" s="5"/>
      <c r="AB250" s="5"/>
    </row>
    <row r="251" customFormat="false" ht="15.75" hidden="false" customHeight="false" outlineLevel="0" collapsed="false">
      <c r="A251" s="5" t="s">
        <v>623</v>
      </c>
      <c r="B251" s="5" t="s">
        <v>627</v>
      </c>
      <c r="C251" s="5" t="s">
        <v>632</v>
      </c>
      <c r="D251" s="5"/>
      <c r="E251" s="5"/>
      <c r="F251" s="5"/>
      <c r="G251" s="9" t="s">
        <v>633</v>
      </c>
      <c r="H251" s="5" t="n">
        <f aca="false">(COUNTIF(J251:EC251,"=0")+COUNTIF(J251:EC251,"=1"))</f>
        <v>9</v>
      </c>
      <c r="I251" s="17" t="n">
        <f aca="false">IFERROR(ROUND(10-AVERAGE(J251:EC251)*10,0),0)</f>
        <v>9</v>
      </c>
      <c r="J251" s="11" t="n">
        <v>0</v>
      </c>
      <c r="K251" s="11" t="n">
        <v>0</v>
      </c>
      <c r="L251" s="5"/>
      <c r="M251" s="5"/>
      <c r="N251" s="5"/>
      <c r="O251" s="11" t="n">
        <v>0</v>
      </c>
      <c r="P251" s="11" t="n">
        <v>0</v>
      </c>
      <c r="Q251" s="11" t="n">
        <v>0</v>
      </c>
      <c r="R251" s="5"/>
      <c r="S251" s="11" t="n">
        <v>0</v>
      </c>
      <c r="T251" s="11" t="n">
        <v>0</v>
      </c>
      <c r="U251" s="11" t="n">
        <v>0</v>
      </c>
      <c r="V251" s="5"/>
      <c r="W251" s="5"/>
      <c r="X251" s="11" t="n">
        <v>1</v>
      </c>
      <c r="Y251" s="5"/>
      <c r="Z251" s="5"/>
      <c r="AA251" s="5"/>
      <c r="AB251" s="5"/>
    </row>
    <row r="252" customFormat="false" ht="15.75" hidden="false" customHeight="false" outlineLevel="0" collapsed="false">
      <c r="A252" s="5" t="s">
        <v>634</v>
      </c>
      <c r="B252" s="5" t="s">
        <v>634</v>
      </c>
      <c r="C252" s="5" t="s">
        <v>635</v>
      </c>
      <c r="D252" s="5"/>
      <c r="E252" s="14" t="s">
        <v>636</v>
      </c>
      <c r="F252" s="5"/>
      <c r="G252" s="14" t="s">
        <v>637</v>
      </c>
      <c r="H252" s="5" t="n">
        <f aca="false">(COUNTIF(J252:EC252,"=0")+COUNTIF(J252:EC252,"=1"))</f>
        <v>11</v>
      </c>
      <c r="I252" s="15" t="n">
        <f aca="false">IFERROR(ROUND(10-AVERAGE(J252:EC252)*10,0),0)</f>
        <v>6</v>
      </c>
      <c r="J252" s="11" t="n">
        <v>1</v>
      </c>
      <c r="K252" s="11" t="n">
        <v>1</v>
      </c>
      <c r="L252" s="5"/>
      <c r="M252" s="5"/>
      <c r="N252" s="5"/>
      <c r="O252" s="11" t="n">
        <v>1</v>
      </c>
      <c r="P252" s="11" t="n">
        <v>1</v>
      </c>
      <c r="Q252" s="11" t="n">
        <v>0</v>
      </c>
      <c r="R252" s="5"/>
      <c r="S252" s="11" t="n">
        <v>0</v>
      </c>
      <c r="T252" s="11" t="n">
        <v>0</v>
      </c>
      <c r="U252" s="11" t="n">
        <v>0</v>
      </c>
      <c r="V252" s="5"/>
      <c r="W252" s="5"/>
      <c r="X252" s="11" t="n">
        <v>0</v>
      </c>
      <c r="Y252" s="5"/>
      <c r="Z252" s="5"/>
      <c r="AA252" s="5"/>
      <c r="AB252" s="5"/>
      <c r="AE252" s="5" t="n">
        <v>0</v>
      </c>
      <c r="AF252" s="5" t="n">
        <v>0</v>
      </c>
    </row>
    <row r="253" customFormat="false" ht="15.75" hidden="false" customHeight="false" outlineLevel="0" collapsed="false">
      <c r="A253" s="5" t="s">
        <v>638</v>
      </c>
      <c r="B253" s="5" t="s">
        <v>638</v>
      </c>
      <c r="C253" s="5" t="s">
        <v>639</v>
      </c>
      <c r="D253" s="5"/>
      <c r="E253" s="5"/>
      <c r="F253" s="5"/>
      <c r="G253" s="5"/>
      <c r="H253" s="5" t="n">
        <f aca="false">(COUNTIF(J253:EC253,"=0")+COUNTIF(J253:EC253,"=1"))</f>
        <v>7</v>
      </c>
      <c r="I253" s="10" t="n">
        <f aca="false">IFERROR(ROUND(10-AVERAGE(J253:EC253)*10,0),0)</f>
        <v>10</v>
      </c>
      <c r="J253" s="5" t="n">
        <v>0</v>
      </c>
      <c r="K253" s="11" t="n">
        <v>0</v>
      </c>
      <c r="L253" s="5"/>
      <c r="M253" s="5"/>
      <c r="N253" s="5"/>
      <c r="O253" s="5"/>
      <c r="P253" s="11" t="n">
        <v>0</v>
      </c>
      <c r="Q253" s="5" t="n">
        <v>0</v>
      </c>
      <c r="R253" s="5"/>
      <c r="S253" s="5" t="n">
        <v>0</v>
      </c>
      <c r="T253" s="11" t="n">
        <v>0</v>
      </c>
      <c r="U253" s="5"/>
      <c r="V253" s="5"/>
      <c r="W253" s="5"/>
      <c r="X253" s="5"/>
      <c r="Y253" s="5"/>
      <c r="Z253" s="11" t="n">
        <v>0</v>
      </c>
      <c r="AA253" s="5"/>
      <c r="AB253" s="5"/>
    </row>
    <row r="254" customFormat="false" ht="15.75" hidden="false" customHeight="false" outlineLevel="0" collapsed="false">
      <c r="A254" s="5" t="s">
        <v>640</v>
      </c>
      <c r="B254" s="5" t="s">
        <v>640</v>
      </c>
      <c r="D254" s="5"/>
      <c r="E254" s="5"/>
      <c r="F254" s="5"/>
      <c r="G254" s="5"/>
      <c r="H254" s="5" t="n">
        <f aca="false">(COUNTIF(J254:EC254,"=0")+COUNTIF(J254:EC254,"=1"))</f>
        <v>1</v>
      </c>
      <c r="I254" s="10" t="n">
        <f aca="false">IFERROR(ROUND(10-AVERAGE(J254:EC254)*10,0),0)</f>
        <v>10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11" t="n">
        <v>0</v>
      </c>
      <c r="V254" s="5"/>
      <c r="W254" s="5"/>
      <c r="X254" s="5"/>
      <c r="Y254" s="5"/>
      <c r="Z254" s="5"/>
      <c r="AA254" s="5"/>
      <c r="AB254" s="5"/>
    </row>
    <row r="255" customFormat="false" ht="15.75" hidden="false" customHeight="false" outlineLevel="0" collapsed="false">
      <c r="A255" s="5" t="s">
        <v>641</v>
      </c>
      <c r="B255" s="5" t="s">
        <v>641</v>
      </c>
      <c r="C255" s="5" t="s">
        <v>642</v>
      </c>
      <c r="D255" s="5" t="s">
        <v>643</v>
      </c>
      <c r="E255" s="5"/>
      <c r="F255" s="5"/>
      <c r="G255" s="9" t="s">
        <v>644</v>
      </c>
      <c r="H255" s="5" t="n">
        <f aca="false">(COUNTIF(J255:EC255,"=0")+COUNTIF(J255:EC255,"=1"))</f>
        <v>1</v>
      </c>
      <c r="I255" s="12" t="n">
        <f aca="false">IFERROR(ROUND(10-AVERAGE(J255:EC255)*10,0),0)</f>
        <v>0</v>
      </c>
      <c r="J255" s="11"/>
      <c r="K255" s="11"/>
      <c r="L255" s="5"/>
      <c r="M255" s="5"/>
      <c r="N255" s="5"/>
      <c r="O255" s="5"/>
      <c r="P255" s="11" t="n">
        <v>1</v>
      </c>
      <c r="Q255" s="11"/>
      <c r="R255" s="5"/>
      <c r="S255" s="11"/>
      <c r="T255" s="11"/>
      <c r="U255" s="11"/>
      <c r="V255" s="5"/>
      <c r="W255" s="5"/>
      <c r="X255" s="11"/>
      <c r="Y255" s="5"/>
      <c r="Z255" s="5"/>
      <c r="AA255" s="5"/>
      <c r="AB255" s="5"/>
      <c r="AF255" s="5"/>
    </row>
    <row r="256" customFormat="false" ht="15.75" hidden="false" customHeight="false" outlineLevel="0" collapsed="false">
      <c r="A256" s="5" t="s">
        <v>641</v>
      </c>
      <c r="B256" s="5" t="s">
        <v>645</v>
      </c>
      <c r="C256" s="5" t="s">
        <v>87</v>
      </c>
      <c r="D256" s="5"/>
      <c r="E256" s="9" t="s">
        <v>646</v>
      </c>
      <c r="F256" s="5"/>
      <c r="G256" s="9" t="s">
        <v>647</v>
      </c>
      <c r="H256" s="5" t="n">
        <f aca="false">(COUNTIF(J256:EC256,"=0")+COUNTIF(J256:EC256,"=1"))</f>
        <v>9</v>
      </c>
      <c r="I256" s="12" t="n">
        <f aca="false">IFERROR(ROUND(10-AVERAGE(J256:EC256)*10,0),0)</f>
        <v>7</v>
      </c>
      <c r="J256" s="11" t="n">
        <v>0</v>
      </c>
      <c r="K256" s="11" t="n">
        <v>1</v>
      </c>
      <c r="L256" s="5"/>
      <c r="M256" s="5"/>
      <c r="N256" s="5"/>
      <c r="O256" s="5"/>
      <c r="P256" s="11" t="n">
        <v>1</v>
      </c>
      <c r="Q256" s="11" t="n">
        <v>0</v>
      </c>
      <c r="R256" s="5"/>
      <c r="S256" s="11" t="n">
        <v>1</v>
      </c>
      <c r="T256" s="11" t="n">
        <v>0</v>
      </c>
      <c r="U256" s="11" t="n">
        <v>0</v>
      </c>
      <c r="V256" s="5"/>
      <c r="W256" s="5"/>
      <c r="X256" s="11" t="n">
        <v>0</v>
      </c>
      <c r="Y256" s="5"/>
      <c r="Z256" s="5"/>
      <c r="AA256" s="5"/>
      <c r="AB256" s="5"/>
      <c r="AF256" s="5" t="n">
        <v>0</v>
      </c>
    </row>
    <row r="257" customFormat="false" ht="15.75" hidden="false" customHeight="false" outlineLevel="0" collapsed="false">
      <c r="A257" s="5" t="s">
        <v>648</v>
      </c>
      <c r="B257" s="5" t="s">
        <v>649</v>
      </c>
      <c r="C257" s="5" t="s">
        <v>650</v>
      </c>
      <c r="D257" s="5"/>
      <c r="E257" s="14" t="s">
        <v>651</v>
      </c>
      <c r="F257" s="5"/>
      <c r="G257" s="14" t="s">
        <v>652</v>
      </c>
      <c r="H257" s="5" t="n">
        <f aca="false">(COUNTIF(J257:EC257,"=0")+COUNTIF(J257:EC257,"=1"))</f>
        <v>1</v>
      </c>
      <c r="I257" s="15" t="n">
        <f aca="false">IFERROR(ROUND(10-AVERAGE(J257:EC257)*10,0),0)</f>
        <v>0</v>
      </c>
      <c r="J257" s="5"/>
      <c r="K257" s="5"/>
      <c r="L257" s="5"/>
      <c r="M257" s="5"/>
      <c r="N257" s="5"/>
      <c r="O257" s="5"/>
      <c r="P257" s="5" t="n">
        <v>1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customFormat="false" ht="15.75" hidden="false" customHeight="false" outlineLevel="0" collapsed="false">
      <c r="A258" s="5" t="s">
        <v>653</v>
      </c>
      <c r="B258" s="5" t="s">
        <v>654</v>
      </c>
      <c r="C258" s="5" t="s">
        <v>655</v>
      </c>
      <c r="D258" s="5" t="s">
        <v>656</v>
      </c>
      <c r="E258" s="5"/>
      <c r="F258" s="5"/>
      <c r="G258" s="5"/>
      <c r="H258" s="5" t="n">
        <f aca="false">(COUNTIF(J258:EC258,"=0")+COUNTIF(J258:EC258,"=1"))</f>
        <v>3</v>
      </c>
      <c r="I258" s="15" t="n">
        <f aca="false">IFERROR(ROUND(10-AVERAGE(J258:EC258)*10,0),0)</f>
        <v>7</v>
      </c>
      <c r="J258" s="11" t="n">
        <v>1</v>
      </c>
      <c r="K258" s="11" t="n">
        <v>0</v>
      </c>
      <c r="L258" s="5"/>
      <c r="M258" s="5"/>
      <c r="N258" s="5"/>
      <c r="O258" s="5"/>
      <c r="P258" s="11" t="n"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11"/>
      <c r="AA258" s="5"/>
      <c r="AB258" s="5"/>
    </row>
    <row r="259" customFormat="false" ht="15.75" hidden="false" customHeight="false" outlineLevel="0" collapsed="false">
      <c r="A259" s="5" t="s">
        <v>653</v>
      </c>
      <c r="B259" s="5" t="s">
        <v>654</v>
      </c>
      <c r="C259" s="5" t="s">
        <v>657</v>
      </c>
      <c r="D259" s="5" t="s">
        <v>656</v>
      </c>
      <c r="E259" s="5"/>
      <c r="F259" s="5"/>
      <c r="G259" s="5"/>
      <c r="H259" s="5" t="n">
        <f aca="false">(COUNTIF(J259:EC259,"=0")+COUNTIF(J259:EC259,"=1"))</f>
        <v>3</v>
      </c>
      <c r="I259" s="15" t="n">
        <f aca="false">IFERROR(ROUND(10-AVERAGE(J259:EC259)*10,0),0)</f>
        <v>7</v>
      </c>
      <c r="J259" s="11" t="n">
        <v>1</v>
      </c>
      <c r="K259" s="11" t="n">
        <v>0</v>
      </c>
      <c r="L259" s="5"/>
      <c r="M259" s="11"/>
      <c r="N259" s="5"/>
      <c r="O259" s="11"/>
      <c r="P259" s="11" t="n">
        <v>0</v>
      </c>
      <c r="Q259" s="11"/>
      <c r="R259" s="5"/>
      <c r="S259" s="11"/>
      <c r="T259" s="11"/>
      <c r="U259" s="11"/>
      <c r="V259" s="5"/>
      <c r="W259" s="5"/>
      <c r="X259" s="11"/>
      <c r="Y259" s="5"/>
      <c r="Z259" s="5"/>
      <c r="AA259" s="5"/>
      <c r="AB259" s="5"/>
    </row>
    <row r="260" customFormat="false" ht="15.75" hidden="false" customHeight="false" outlineLevel="0" collapsed="false">
      <c r="A260" s="5" t="s">
        <v>653</v>
      </c>
      <c r="B260" s="5" t="s">
        <v>654</v>
      </c>
      <c r="C260" s="5" t="s">
        <v>108</v>
      </c>
      <c r="D260" s="5" t="s">
        <v>656</v>
      </c>
      <c r="E260" s="5"/>
      <c r="F260" s="5"/>
      <c r="G260" s="5"/>
      <c r="H260" s="5" t="n">
        <f aca="false">(COUNTIF(J260:EC260,"=0")+COUNTIF(J260:EC260,"=1"))</f>
        <v>3</v>
      </c>
      <c r="I260" s="15" t="n">
        <f aca="false">IFERROR(ROUND(10-AVERAGE(J260:EC260)*10,0),0)</f>
        <v>7</v>
      </c>
      <c r="J260" s="5" t="n">
        <v>1</v>
      </c>
      <c r="K260" s="11" t="n">
        <v>0</v>
      </c>
      <c r="L260" s="5"/>
      <c r="M260" s="5"/>
      <c r="N260" s="5"/>
      <c r="O260" s="5"/>
      <c r="P260" s="11" t="n">
        <v>0</v>
      </c>
      <c r="Q260" s="5"/>
      <c r="R260" s="5"/>
      <c r="S260" s="5"/>
      <c r="T260" s="11"/>
      <c r="U260" s="5"/>
      <c r="V260" s="5"/>
      <c r="W260" s="5"/>
      <c r="X260" s="5"/>
      <c r="Y260" s="5"/>
      <c r="Z260" s="11"/>
      <c r="AA260" s="5"/>
      <c r="AB260" s="5"/>
    </row>
    <row r="261" customFormat="false" ht="15.75" hidden="false" customHeight="false" outlineLevel="0" collapsed="false">
      <c r="A261" s="5" t="s">
        <v>658</v>
      </c>
      <c r="B261" s="5" t="s">
        <v>659</v>
      </c>
      <c r="C261" s="5" t="s">
        <v>660</v>
      </c>
      <c r="D261" s="5"/>
      <c r="E261" s="5"/>
      <c r="F261" s="5"/>
      <c r="G261" s="9" t="s">
        <v>661</v>
      </c>
      <c r="H261" s="5" t="n">
        <f aca="false">(COUNTIF(J261:EC261,"=0")+COUNTIF(J261:EC261,"=1"))</f>
        <v>6</v>
      </c>
      <c r="I261" s="12" t="n">
        <f aca="false">IFERROR(ROUND(10-AVERAGE(J261:EC261)*10,0),0)</f>
        <v>8</v>
      </c>
      <c r="J261" s="11" t="n">
        <v>0</v>
      </c>
      <c r="K261" s="11" t="n">
        <v>0</v>
      </c>
      <c r="L261" s="5"/>
      <c r="M261" s="5"/>
      <c r="N261" s="5"/>
      <c r="O261" s="5"/>
      <c r="P261" s="11" t="n">
        <v>1</v>
      </c>
      <c r="Q261" s="5"/>
      <c r="R261" s="5"/>
      <c r="S261" s="5"/>
      <c r="T261" s="11" t="n">
        <v>0</v>
      </c>
      <c r="U261" s="5"/>
      <c r="V261" s="5"/>
      <c r="W261" s="5"/>
      <c r="X261" s="11" t="n">
        <v>0</v>
      </c>
      <c r="Y261" s="5"/>
      <c r="Z261" s="11" t="n">
        <v>0</v>
      </c>
      <c r="AA261" s="5"/>
      <c r="AB261" s="5"/>
    </row>
    <row r="262" customFormat="false" ht="15.75" hidden="false" customHeight="false" outlineLevel="0" collapsed="false">
      <c r="A262" s="5" t="s">
        <v>658</v>
      </c>
      <c r="B262" s="5" t="s">
        <v>659</v>
      </c>
      <c r="C262" s="5" t="s">
        <v>662</v>
      </c>
      <c r="D262" s="5"/>
      <c r="E262" s="5"/>
      <c r="F262" s="5"/>
      <c r="G262" s="9" t="s">
        <v>663</v>
      </c>
      <c r="H262" s="5" t="n">
        <f aca="false">(COUNTIF(J262:EC262,"=0")+COUNTIF(J262:EC262,"=1"))</f>
        <v>9</v>
      </c>
      <c r="I262" s="21" t="n">
        <f aca="false">IFERROR(ROUND(10-AVERAGE(J262:EC262)*10,0),0)</f>
        <v>4</v>
      </c>
      <c r="J262" s="11" t="n">
        <v>1</v>
      </c>
      <c r="K262" s="11" t="n">
        <v>1</v>
      </c>
      <c r="L262" s="5"/>
      <c r="M262" s="5"/>
      <c r="N262" s="5"/>
      <c r="O262" s="5"/>
      <c r="P262" s="11" t="n">
        <v>1</v>
      </c>
      <c r="Q262" s="5" t="n">
        <v>0</v>
      </c>
      <c r="R262" s="5"/>
      <c r="S262" s="5"/>
      <c r="T262" s="11" t="n">
        <v>1</v>
      </c>
      <c r="U262" s="5"/>
      <c r="V262" s="5"/>
      <c r="W262" s="5"/>
      <c r="X262" s="11" t="n">
        <v>0</v>
      </c>
      <c r="Y262" s="5"/>
      <c r="Z262" s="11" t="n">
        <v>0</v>
      </c>
      <c r="AA262" s="5"/>
      <c r="AB262" s="5"/>
      <c r="AD262" s="5" t="n">
        <v>1</v>
      </c>
      <c r="AF262" s="5" t="n">
        <v>0</v>
      </c>
    </row>
    <row r="263" customFormat="false" ht="15.75" hidden="false" customHeight="false" outlineLevel="0" collapsed="false">
      <c r="A263" s="5" t="s">
        <v>658</v>
      </c>
      <c r="B263" s="5" t="s">
        <v>664</v>
      </c>
      <c r="C263" s="5" t="s">
        <v>665</v>
      </c>
      <c r="D263" s="5"/>
      <c r="E263" s="5"/>
      <c r="F263" s="5"/>
      <c r="G263" s="9" t="s">
        <v>666</v>
      </c>
      <c r="H263" s="5" t="n">
        <f aca="false">(COUNTIF(J263:EC263,"=0")+COUNTIF(J263:EC263,"=1"))</f>
        <v>8</v>
      </c>
      <c r="I263" s="21" t="n">
        <f aca="false">IFERROR(ROUND(10-AVERAGE(J263:EC263)*10,0),0)</f>
        <v>5</v>
      </c>
      <c r="J263" s="11" t="n">
        <v>1</v>
      </c>
      <c r="K263" s="11" t="n">
        <v>1</v>
      </c>
      <c r="L263" s="5"/>
      <c r="M263" s="5"/>
      <c r="N263" s="5"/>
      <c r="O263" s="5"/>
      <c r="P263" s="11" t="n">
        <v>1</v>
      </c>
      <c r="Q263" s="5" t="n">
        <v>0</v>
      </c>
      <c r="R263" s="5"/>
      <c r="S263" s="5"/>
      <c r="T263" s="11" t="n">
        <v>0</v>
      </c>
      <c r="U263" s="5"/>
      <c r="V263" s="5"/>
      <c r="W263" s="5"/>
      <c r="X263" s="5"/>
      <c r="Y263" s="5"/>
      <c r="Z263" s="11" t="n">
        <v>1</v>
      </c>
      <c r="AA263" s="11" t="n">
        <v>0</v>
      </c>
      <c r="AB263" s="5"/>
      <c r="AF263" s="5" t="n">
        <v>0</v>
      </c>
    </row>
    <row r="264" customFormat="false" ht="15.75" hidden="false" customHeight="false" outlineLevel="0" collapsed="false">
      <c r="A264" s="5" t="s">
        <v>667</v>
      </c>
      <c r="B264" s="5" t="s">
        <v>667</v>
      </c>
      <c r="C264" s="5" t="s">
        <v>668</v>
      </c>
      <c r="D264" s="5"/>
      <c r="E264" s="5"/>
      <c r="F264" s="5"/>
      <c r="G264" s="9" t="s">
        <v>669</v>
      </c>
      <c r="H264" s="5" t="n">
        <f aca="false">(COUNTIF(J264:EC264,"=0")+COUNTIF(J264:EC264,"=1"))</f>
        <v>12</v>
      </c>
      <c r="I264" s="21" t="n">
        <f aca="false">IFERROR(ROUND(10-AVERAGE(J264:EC264)*10,0),0)</f>
        <v>3</v>
      </c>
      <c r="J264" s="11" t="n">
        <v>1</v>
      </c>
      <c r="K264" s="11" t="n">
        <v>1</v>
      </c>
      <c r="L264" s="11" t="n">
        <v>1</v>
      </c>
      <c r="M264" s="11" t="n">
        <v>1</v>
      </c>
      <c r="N264" s="5"/>
      <c r="O264" s="11" t="n">
        <v>0</v>
      </c>
      <c r="P264" s="11" t="n">
        <v>1</v>
      </c>
      <c r="Q264" s="11" t="n">
        <v>1</v>
      </c>
      <c r="R264" s="5"/>
      <c r="S264" s="11" t="n">
        <v>0</v>
      </c>
      <c r="T264" s="11" t="n">
        <v>1</v>
      </c>
      <c r="U264" s="11" t="n">
        <v>1</v>
      </c>
      <c r="V264" s="5"/>
      <c r="W264" s="5"/>
      <c r="X264" s="11" t="n">
        <v>0</v>
      </c>
      <c r="Y264" s="5"/>
      <c r="Z264" s="5"/>
      <c r="AA264" s="5"/>
      <c r="AB264" s="5"/>
      <c r="AF264" s="5" t="n">
        <v>0</v>
      </c>
    </row>
    <row r="265" customFormat="false" ht="15.75" hidden="false" customHeight="false" outlineLevel="0" collapsed="false">
      <c r="A265" s="5" t="s">
        <v>667</v>
      </c>
      <c r="B265" s="5" t="s">
        <v>670</v>
      </c>
      <c r="C265" s="5" t="s">
        <v>671</v>
      </c>
      <c r="D265" s="5"/>
      <c r="E265" s="5"/>
      <c r="F265" s="5"/>
      <c r="G265" s="9" t="s">
        <v>672</v>
      </c>
      <c r="H265" s="5" t="n">
        <f aca="false">(COUNTIF(J265:EC265,"=0")+COUNTIF(J265:EC265,"=1"))</f>
        <v>11</v>
      </c>
      <c r="I265" s="15" t="n">
        <f aca="false">IFERROR(ROUND(10-AVERAGE(J265:EC265)*10,0),0)</f>
        <v>6</v>
      </c>
      <c r="J265" s="11" t="n">
        <v>1</v>
      </c>
      <c r="K265" s="11" t="n">
        <v>0</v>
      </c>
      <c r="L265" s="11" t="n">
        <v>1</v>
      </c>
      <c r="M265" s="5"/>
      <c r="N265" s="5"/>
      <c r="O265" s="11" t="n">
        <v>0</v>
      </c>
      <c r="P265" s="11" t="n">
        <v>1</v>
      </c>
      <c r="Q265" s="11" t="n">
        <v>0</v>
      </c>
      <c r="R265" s="5"/>
      <c r="S265" s="11" t="n">
        <v>0</v>
      </c>
      <c r="T265" s="11" t="n">
        <v>0</v>
      </c>
      <c r="U265" s="11" t="n">
        <v>1</v>
      </c>
      <c r="V265" s="5"/>
      <c r="W265" s="5"/>
      <c r="X265" s="11" t="n">
        <v>0</v>
      </c>
      <c r="Y265" s="5"/>
      <c r="Z265" s="5"/>
      <c r="AA265" s="5"/>
      <c r="AB265" s="5"/>
      <c r="AE265" s="5" t="n">
        <v>0</v>
      </c>
    </row>
    <row r="266" customFormat="false" ht="15.75" hidden="false" customHeight="false" outlineLevel="0" collapsed="false">
      <c r="A266" s="5" t="s">
        <v>667</v>
      </c>
      <c r="B266" s="5" t="s">
        <v>673</v>
      </c>
      <c r="C266" s="5" t="s">
        <v>674</v>
      </c>
      <c r="D266" s="5"/>
      <c r="E266" s="5"/>
      <c r="F266" s="5"/>
      <c r="G266" s="9" t="s">
        <v>675</v>
      </c>
      <c r="H266" s="5" t="n">
        <f aca="false">(COUNTIF(J266:EC266,"=0")+COUNTIF(J266:EC266,"=1"))</f>
        <v>10</v>
      </c>
      <c r="I266" s="12" t="n">
        <f aca="false">IFERROR(ROUND(10-AVERAGE(J266:EC266)*10,0),0)</f>
        <v>8</v>
      </c>
      <c r="J266" s="11" t="n">
        <v>0</v>
      </c>
      <c r="K266" s="11" t="n">
        <v>0</v>
      </c>
      <c r="L266" s="11" t="n">
        <v>1</v>
      </c>
      <c r="M266" s="5"/>
      <c r="N266" s="5"/>
      <c r="O266" s="11" t="n">
        <v>0</v>
      </c>
      <c r="P266" s="11" t="n">
        <v>0</v>
      </c>
      <c r="Q266" s="11" t="n">
        <v>0</v>
      </c>
      <c r="R266" s="5"/>
      <c r="S266" s="11" t="n">
        <v>0</v>
      </c>
      <c r="T266" s="11" t="n">
        <v>0</v>
      </c>
      <c r="U266" s="11" t="n">
        <v>1</v>
      </c>
      <c r="V266" s="5"/>
      <c r="W266" s="5"/>
      <c r="X266" s="11" t="n">
        <v>0</v>
      </c>
      <c r="Y266" s="5"/>
      <c r="Z266" s="5"/>
      <c r="AA266" s="5"/>
      <c r="AB266" s="5"/>
    </row>
    <row r="267" customFormat="false" ht="15.75" hidden="false" customHeight="false" outlineLevel="0" collapsed="false">
      <c r="A267" s="5" t="s">
        <v>667</v>
      </c>
      <c r="B267" s="5" t="s">
        <v>673</v>
      </c>
      <c r="C267" s="5" t="s">
        <v>676</v>
      </c>
      <c r="D267" s="5"/>
      <c r="E267" s="5"/>
      <c r="F267" s="5"/>
      <c r="G267" s="9" t="s">
        <v>677</v>
      </c>
      <c r="H267" s="5" t="n">
        <f aca="false">(COUNTIF(J267:EC267,"=0")+COUNTIF(J267:EC267,"=1"))</f>
        <v>10</v>
      </c>
      <c r="I267" s="17" t="n">
        <f aca="false">IFERROR(ROUND(10-AVERAGE(J267:EC267)*10,0),0)</f>
        <v>9</v>
      </c>
      <c r="J267" s="11" t="n">
        <v>0</v>
      </c>
      <c r="K267" s="11" t="n">
        <v>0</v>
      </c>
      <c r="L267" s="11" t="n">
        <v>1</v>
      </c>
      <c r="M267" s="5"/>
      <c r="N267" s="5"/>
      <c r="O267" s="11" t="n">
        <v>0</v>
      </c>
      <c r="P267" s="11" t="n">
        <v>0</v>
      </c>
      <c r="Q267" s="11" t="n">
        <v>0</v>
      </c>
      <c r="R267" s="5"/>
      <c r="S267" s="11" t="n">
        <v>0</v>
      </c>
      <c r="T267" s="11" t="n">
        <v>0</v>
      </c>
      <c r="U267" s="11" t="n">
        <v>0</v>
      </c>
      <c r="V267" s="5"/>
      <c r="W267" s="5"/>
      <c r="X267" s="11" t="n">
        <v>0</v>
      </c>
      <c r="Y267" s="5"/>
      <c r="Z267" s="5"/>
      <c r="AA267" s="5"/>
      <c r="AB267" s="5"/>
    </row>
    <row r="268" customFormat="false" ht="15.75" hidden="false" customHeight="false" outlineLevel="0" collapsed="false">
      <c r="A268" s="5" t="s">
        <v>678</v>
      </c>
      <c r="B268" s="5" t="s">
        <v>678</v>
      </c>
      <c r="C268" s="5" t="s">
        <v>679</v>
      </c>
      <c r="D268" s="5"/>
      <c r="E268" s="5"/>
      <c r="F268" s="5"/>
      <c r="G268" s="9" t="s">
        <v>680</v>
      </c>
      <c r="H268" s="5" t="n">
        <f aca="false">(COUNTIF(J268:EC268,"=0")+COUNTIF(J268:EC268,"=1"))</f>
        <v>8</v>
      </c>
      <c r="I268" s="13" t="n">
        <f aca="false">IFERROR(ROUND(10-AVERAGE(J268:EC268)*10,0),0)</f>
        <v>3</v>
      </c>
      <c r="J268" s="11" t="n">
        <v>0</v>
      </c>
      <c r="K268" s="11" t="n">
        <v>1</v>
      </c>
      <c r="L268" s="5"/>
      <c r="M268" s="5"/>
      <c r="N268" s="5"/>
      <c r="O268" s="5" t="n">
        <v>1</v>
      </c>
      <c r="P268" s="11" t="n">
        <v>1</v>
      </c>
      <c r="Q268" s="5" t="n">
        <v>1</v>
      </c>
      <c r="R268" s="5"/>
      <c r="S268" s="5"/>
      <c r="T268" s="11" t="n">
        <v>1</v>
      </c>
      <c r="U268" s="5"/>
      <c r="V268" s="5"/>
      <c r="W268" s="5"/>
      <c r="X268" s="5"/>
      <c r="Y268" s="5"/>
      <c r="Z268" s="11" t="n">
        <v>1</v>
      </c>
      <c r="AA268" s="5"/>
      <c r="AB268" s="5"/>
      <c r="AF268" s="5" t="n">
        <v>0</v>
      </c>
    </row>
    <row r="269" customFormat="false" ht="15.75" hidden="false" customHeight="false" outlineLevel="0" collapsed="false">
      <c r="A269" s="5" t="s">
        <v>678</v>
      </c>
      <c r="B269" s="5" t="s">
        <v>681</v>
      </c>
      <c r="C269" s="5" t="s">
        <v>682</v>
      </c>
      <c r="D269" s="5"/>
      <c r="E269" s="5"/>
      <c r="F269" s="5"/>
      <c r="G269" s="9" t="s">
        <v>683</v>
      </c>
      <c r="H269" s="5" t="n">
        <f aca="false">(COUNTIF(J269:EC269,"=0")+COUNTIF(J269:EC269,"=1"))</f>
        <v>9</v>
      </c>
      <c r="I269" s="12" t="n">
        <f aca="false">IFERROR(ROUND(10-AVERAGE(J269:EC269)*10,0),0)</f>
        <v>8</v>
      </c>
      <c r="J269" s="11" t="n">
        <v>0</v>
      </c>
      <c r="K269" s="11" t="n">
        <v>0</v>
      </c>
      <c r="L269" s="5" t="n">
        <v>0</v>
      </c>
      <c r="M269" s="5"/>
      <c r="N269" s="5"/>
      <c r="O269" s="5"/>
      <c r="P269" s="11" t="n">
        <v>1</v>
      </c>
      <c r="Q269" s="11" t="n">
        <v>1</v>
      </c>
      <c r="R269" s="5"/>
      <c r="S269" s="5"/>
      <c r="T269" s="11" t="n">
        <v>0</v>
      </c>
      <c r="U269" s="11" t="n">
        <v>0</v>
      </c>
      <c r="V269" s="5"/>
      <c r="W269" s="5"/>
      <c r="X269" s="11" t="n">
        <v>0</v>
      </c>
      <c r="Y269" s="5"/>
      <c r="Z269" s="5"/>
      <c r="AA269" s="11" t="n">
        <v>0</v>
      </c>
      <c r="AB269" s="5"/>
    </row>
    <row r="270" customFormat="false" ht="15.75" hidden="false" customHeight="false" outlineLevel="0" collapsed="false">
      <c r="A270" s="5" t="s">
        <v>678</v>
      </c>
      <c r="B270" s="5" t="s">
        <v>681</v>
      </c>
      <c r="C270" s="5" t="s">
        <v>684</v>
      </c>
      <c r="D270" s="5"/>
      <c r="E270" s="5"/>
      <c r="F270" s="5"/>
      <c r="G270" s="9" t="s">
        <v>685</v>
      </c>
      <c r="H270" s="5" t="n">
        <f aca="false">(COUNTIF(J270:EC270,"=0")+COUNTIF(J270:EC270,"=1"))</f>
        <v>13</v>
      </c>
      <c r="I270" s="15" t="n">
        <f aca="false">IFERROR(ROUND(10-AVERAGE(J270:EC270)*10,0),0)</f>
        <v>7</v>
      </c>
      <c r="J270" s="11" t="n">
        <v>0</v>
      </c>
      <c r="K270" s="11" t="n">
        <v>1</v>
      </c>
      <c r="L270" s="11" t="n">
        <v>1</v>
      </c>
      <c r="M270" s="5"/>
      <c r="N270" s="5"/>
      <c r="O270" s="11" t="n">
        <v>0</v>
      </c>
      <c r="P270" s="11" t="n">
        <v>1</v>
      </c>
      <c r="Q270" s="11" t="n">
        <v>0</v>
      </c>
      <c r="R270" s="11" t="n">
        <v>1</v>
      </c>
      <c r="S270" s="11" t="n">
        <v>0</v>
      </c>
      <c r="T270" s="11" t="n">
        <v>0</v>
      </c>
      <c r="U270" s="11" t="n">
        <v>0</v>
      </c>
      <c r="V270" s="5"/>
      <c r="W270" s="5" t="n">
        <v>0</v>
      </c>
      <c r="X270" s="11" t="n">
        <v>0</v>
      </c>
      <c r="Y270" s="5"/>
      <c r="Z270" s="5"/>
      <c r="AA270" s="5"/>
      <c r="AB270" s="5"/>
      <c r="AF270" s="5" t="n">
        <v>0</v>
      </c>
    </row>
    <row r="271" customFormat="false" ht="15.75" hidden="false" customHeight="false" outlineLevel="0" collapsed="false">
      <c r="A271" s="5" t="s">
        <v>678</v>
      </c>
      <c r="B271" s="5" t="s">
        <v>686</v>
      </c>
      <c r="C271" s="5" t="s">
        <v>687</v>
      </c>
      <c r="D271" s="5"/>
      <c r="E271" s="5"/>
      <c r="F271" s="5"/>
      <c r="G271" s="5"/>
      <c r="H271" s="5" t="n">
        <f aca="false">(COUNTIF(J271:EC271,"=0")+COUNTIF(J271:EC271,"=1"))</f>
        <v>7</v>
      </c>
      <c r="I271" s="19" t="n">
        <f aca="false">IFERROR(ROUND(10-AVERAGE(J271:EC271)*10,0),0)</f>
        <v>4</v>
      </c>
      <c r="J271" s="5" t="n">
        <v>1</v>
      </c>
      <c r="K271" s="11" t="n">
        <v>1</v>
      </c>
      <c r="L271" s="5"/>
      <c r="M271" s="5"/>
      <c r="N271" s="5"/>
      <c r="O271" s="5"/>
      <c r="P271" s="11" t="n">
        <v>1</v>
      </c>
      <c r="Q271" s="5" t="n">
        <v>1</v>
      </c>
      <c r="R271" s="5"/>
      <c r="S271" s="5"/>
      <c r="T271" s="11" t="n">
        <v>0</v>
      </c>
      <c r="U271" s="5"/>
      <c r="V271" s="5"/>
      <c r="W271" s="5"/>
      <c r="X271" s="5"/>
      <c r="Y271" s="5"/>
      <c r="Z271" s="11" t="n">
        <v>0</v>
      </c>
      <c r="AA271" s="5"/>
      <c r="AB271" s="5"/>
      <c r="AF271" s="5" t="n">
        <v>0</v>
      </c>
    </row>
    <row r="272" customFormat="false" ht="15.75" hidden="false" customHeight="false" outlineLevel="0" collapsed="false">
      <c r="A272" s="5" t="s">
        <v>688</v>
      </c>
      <c r="B272" s="5" t="s">
        <v>689</v>
      </c>
      <c r="C272" s="5" t="s">
        <v>690</v>
      </c>
      <c r="D272" s="5"/>
      <c r="E272" s="14" t="s">
        <v>691</v>
      </c>
      <c r="F272" s="5"/>
      <c r="G272" s="5"/>
      <c r="H272" s="5" t="n">
        <f aca="false">(COUNTIF(J272:EC272,"=0")+COUNTIF(J272:EC272,"=1"))</f>
        <v>2</v>
      </c>
      <c r="I272" s="15" t="n">
        <f aca="false">IFERROR(ROUND(10-AVERAGE(J272:EC272)*10,0),0)</f>
        <v>5</v>
      </c>
      <c r="J272" s="5"/>
      <c r="K272" s="5"/>
      <c r="L272" s="5"/>
      <c r="M272" s="5"/>
      <c r="N272" s="5"/>
      <c r="O272" s="5"/>
      <c r="P272" s="5" t="n">
        <v>0</v>
      </c>
      <c r="Q272" s="5"/>
      <c r="R272" s="5"/>
      <c r="S272" s="5" t="n">
        <v>1</v>
      </c>
      <c r="T272" s="5"/>
      <c r="U272" s="5"/>
      <c r="V272" s="5"/>
      <c r="W272" s="5"/>
      <c r="X272" s="5"/>
      <c r="Y272" s="5"/>
      <c r="Z272" s="5"/>
      <c r="AA272" s="5"/>
      <c r="AB272" s="5"/>
    </row>
    <row r="273" customFormat="false" ht="15.75" hidden="false" customHeight="false" outlineLevel="0" collapsed="false">
      <c r="A273" s="5" t="s">
        <v>692</v>
      </c>
      <c r="B273" s="5" t="s">
        <v>693</v>
      </c>
      <c r="C273" s="5" t="s">
        <v>694</v>
      </c>
      <c r="D273" s="5"/>
      <c r="E273" s="5"/>
      <c r="F273" s="5"/>
      <c r="G273" s="9" t="s">
        <v>695</v>
      </c>
      <c r="H273" s="5" t="n">
        <f aca="false">(COUNTIF(J273:EC273,"=0")+COUNTIF(J273:EC273,"=1"))</f>
        <v>5</v>
      </c>
      <c r="I273" s="12" t="n">
        <f aca="false">IFERROR(ROUND(10-AVERAGE(J273:EC273)*10,0),0)</f>
        <v>8</v>
      </c>
      <c r="J273" s="11" t="n">
        <v>0</v>
      </c>
      <c r="K273" s="11" t="n">
        <v>0</v>
      </c>
      <c r="L273" s="5"/>
      <c r="M273" s="5"/>
      <c r="N273" s="5"/>
      <c r="O273" s="5"/>
      <c r="P273" s="11" t="n">
        <v>1</v>
      </c>
      <c r="Q273" s="5"/>
      <c r="R273" s="5"/>
      <c r="S273" s="5"/>
      <c r="T273" s="11" t="n">
        <v>0</v>
      </c>
      <c r="U273" s="5"/>
      <c r="V273" s="5"/>
      <c r="W273" s="5"/>
      <c r="X273" s="5"/>
      <c r="Y273" s="5"/>
      <c r="Z273" s="11" t="n">
        <v>0</v>
      </c>
      <c r="AA273" s="5"/>
      <c r="AB273" s="5"/>
    </row>
    <row r="274" customFormat="false" ht="15.75" hidden="false" customHeight="false" outlineLevel="0" collapsed="false">
      <c r="A274" s="5" t="s">
        <v>696</v>
      </c>
      <c r="B274" s="5" t="s">
        <v>696</v>
      </c>
      <c r="C274" s="5" t="s">
        <v>185</v>
      </c>
      <c r="D274" s="5"/>
      <c r="E274" s="5"/>
      <c r="F274" s="5"/>
      <c r="G274" s="9" t="s">
        <v>697</v>
      </c>
      <c r="H274" s="5" t="n">
        <f aca="false">(COUNTIF(J274:EC274,"=0")+COUNTIF(J274:EC274,"=1"))</f>
        <v>10</v>
      </c>
      <c r="I274" s="17" t="n">
        <f aca="false">IFERROR(ROUND(10-AVERAGE(J274:EC274)*10,0),0)</f>
        <v>9</v>
      </c>
      <c r="J274" s="11" t="n">
        <v>0</v>
      </c>
      <c r="K274" s="11" t="n">
        <v>0</v>
      </c>
      <c r="L274" s="5"/>
      <c r="M274" s="5"/>
      <c r="N274" s="5"/>
      <c r="O274" s="11" t="n">
        <v>0</v>
      </c>
      <c r="P274" s="11" t="n">
        <v>0</v>
      </c>
      <c r="Q274" s="11" t="n">
        <v>0</v>
      </c>
      <c r="R274" s="5"/>
      <c r="S274" s="11" t="n">
        <v>1</v>
      </c>
      <c r="T274" s="11" t="n">
        <v>0</v>
      </c>
      <c r="U274" s="11" t="n">
        <v>0</v>
      </c>
      <c r="V274" s="5"/>
      <c r="W274" s="5"/>
      <c r="X274" s="11" t="n">
        <v>0</v>
      </c>
      <c r="Y274" s="5"/>
      <c r="Z274" s="5"/>
      <c r="AA274" s="5"/>
      <c r="AB274" s="5"/>
      <c r="AC274" s="5" t="n">
        <v>0</v>
      </c>
    </row>
    <row r="275" customFormat="false" ht="15.75" hidden="false" customHeight="false" outlineLevel="0" collapsed="false">
      <c r="A275" s="5" t="s">
        <v>698</v>
      </c>
      <c r="B275" s="5" t="s">
        <v>698</v>
      </c>
      <c r="C275" s="5" t="s">
        <v>699</v>
      </c>
      <c r="D275" s="5" t="s">
        <v>700</v>
      </c>
      <c r="E275" s="5"/>
      <c r="F275" s="5"/>
      <c r="G275" s="9" t="s">
        <v>701</v>
      </c>
      <c r="H275" s="5" t="n">
        <f aca="false">(COUNTIF(J275:EC275,"=0")+COUNTIF(J275:EC275,"=1"))</f>
        <v>11</v>
      </c>
      <c r="I275" s="19" t="n">
        <f aca="false">IFERROR(ROUND(10-AVERAGE(J275:EC275)*10,0),0)</f>
        <v>5</v>
      </c>
      <c r="J275" s="11" t="n">
        <v>1</v>
      </c>
      <c r="K275" s="11" t="n">
        <v>1</v>
      </c>
      <c r="L275" s="11" t="n">
        <v>1</v>
      </c>
      <c r="M275" s="5"/>
      <c r="N275" s="5"/>
      <c r="O275" s="11" t="n">
        <v>0</v>
      </c>
      <c r="P275" s="11" t="n">
        <v>1</v>
      </c>
      <c r="Q275" s="11" t="n">
        <v>0</v>
      </c>
      <c r="R275" s="5"/>
      <c r="S275" s="11" t="n">
        <v>0</v>
      </c>
      <c r="T275" s="11" t="n">
        <v>0</v>
      </c>
      <c r="U275" s="11" t="n">
        <v>1</v>
      </c>
      <c r="V275" s="5"/>
      <c r="W275" s="5" t="n">
        <v>0</v>
      </c>
      <c r="X275" s="11" t="n">
        <v>0</v>
      </c>
      <c r="Y275" s="5"/>
      <c r="Z275" s="5"/>
      <c r="AA275" s="5"/>
      <c r="AB275" s="5"/>
    </row>
    <row r="276" customFormat="false" ht="15.75" hidden="false" customHeight="false" outlineLevel="0" collapsed="false">
      <c r="A276" s="5" t="s">
        <v>702</v>
      </c>
      <c r="B276" s="5" t="s">
        <v>702</v>
      </c>
      <c r="C276" s="5" t="s">
        <v>703</v>
      </c>
      <c r="D276" s="5"/>
      <c r="E276" s="5"/>
      <c r="F276" s="5"/>
      <c r="G276" s="9" t="s">
        <v>704</v>
      </c>
      <c r="H276" s="5" t="n">
        <f aca="false">(COUNTIF(J276:EC276,"=0")+COUNTIF(J276:EC276,"=1"))</f>
        <v>11</v>
      </c>
      <c r="I276" s="21" t="n">
        <f aca="false">IFERROR(ROUND(10-AVERAGE(J276:EC276)*10,0),0)</f>
        <v>4</v>
      </c>
      <c r="J276" s="11" t="n">
        <v>1</v>
      </c>
      <c r="K276" s="11" t="n">
        <v>0</v>
      </c>
      <c r="L276" s="5" t="n">
        <v>0</v>
      </c>
      <c r="M276" s="11" t="n">
        <v>0</v>
      </c>
      <c r="N276" s="5"/>
      <c r="O276" s="5"/>
      <c r="P276" s="11" t="n">
        <v>1</v>
      </c>
      <c r="Q276" s="11" t="n">
        <v>1</v>
      </c>
      <c r="R276" s="5"/>
      <c r="S276" s="11" t="n">
        <v>1</v>
      </c>
      <c r="T276" s="11" t="n">
        <v>1</v>
      </c>
      <c r="U276" s="11" t="n">
        <v>0</v>
      </c>
      <c r="V276" s="5"/>
      <c r="W276" s="5"/>
      <c r="X276" s="11" t="n">
        <v>1</v>
      </c>
      <c r="Y276" s="5"/>
      <c r="Z276" s="5"/>
      <c r="AA276" s="5"/>
      <c r="AB276" s="5"/>
      <c r="AF276" s="5" t="n">
        <v>1</v>
      </c>
    </row>
    <row r="277" customFormat="false" ht="15.75" hidden="false" customHeight="false" outlineLevel="0" collapsed="false">
      <c r="A277" s="5" t="s">
        <v>702</v>
      </c>
      <c r="B277" s="5" t="s">
        <v>702</v>
      </c>
      <c r="C277" s="5" t="s">
        <v>79</v>
      </c>
      <c r="D277" s="5"/>
      <c r="E277" s="5"/>
      <c r="F277" s="5"/>
      <c r="G277" s="9" t="s">
        <v>705</v>
      </c>
      <c r="H277" s="5" t="n">
        <f aca="false">(COUNTIF(J277:EC277,"=0")+COUNTIF(J277:EC277,"=1"))</f>
        <v>11</v>
      </c>
      <c r="I277" s="23" t="n">
        <f aca="false">IFERROR(ROUND(10-AVERAGE(J277:EC277)*10,0),0)</f>
        <v>5</v>
      </c>
      <c r="J277" s="11" t="n">
        <v>1</v>
      </c>
      <c r="K277" s="11" t="n">
        <v>0</v>
      </c>
      <c r="L277" s="5" t="n">
        <v>0</v>
      </c>
      <c r="M277" s="11" t="n">
        <v>0</v>
      </c>
      <c r="N277" s="5"/>
      <c r="O277" s="5" t="n">
        <v>1</v>
      </c>
      <c r="P277" s="11" t="n">
        <v>1</v>
      </c>
      <c r="Q277" s="11" t="n">
        <v>0</v>
      </c>
      <c r="R277" s="5"/>
      <c r="S277" s="11" t="n">
        <v>1</v>
      </c>
      <c r="T277" s="11" t="n">
        <v>1</v>
      </c>
      <c r="U277" s="11" t="n">
        <v>0</v>
      </c>
      <c r="V277" s="5"/>
      <c r="W277" s="5"/>
      <c r="X277" s="11" t="n">
        <v>1</v>
      </c>
      <c r="Y277" s="5"/>
      <c r="Z277" s="5"/>
      <c r="AA277" s="5"/>
      <c r="AB277" s="5"/>
    </row>
    <row r="278" customFormat="false" ht="15.75" hidden="false" customHeight="false" outlineLevel="0" collapsed="false">
      <c r="A278" s="5" t="s">
        <v>702</v>
      </c>
      <c r="B278" s="5" t="s">
        <v>702</v>
      </c>
      <c r="C278" s="5" t="s">
        <v>706</v>
      </c>
      <c r="D278" s="5"/>
      <c r="E278" s="5"/>
      <c r="F278" s="5"/>
      <c r="G278" s="9" t="s">
        <v>707</v>
      </c>
      <c r="H278" s="5" t="n">
        <f aca="false">(COUNTIF(J278:EC278,"=0")+COUNTIF(J278:EC278,"=1"))</f>
        <v>12</v>
      </c>
      <c r="I278" s="13" t="n">
        <f aca="false">IFERROR(ROUND(10-AVERAGE(J278:EC278)*10,0),0)</f>
        <v>3</v>
      </c>
      <c r="J278" s="11" t="n">
        <v>1</v>
      </c>
      <c r="K278" s="11" t="n">
        <v>1</v>
      </c>
      <c r="L278" s="5" t="n">
        <v>0</v>
      </c>
      <c r="M278" s="11" t="n">
        <v>0</v>
      </c>
      <c r="N278" s="5"/>
      <c r="O278" s="5"/>
      <c r="P278" s="11" t="n">
        <v>1</v>
      </c>
      <c r="Q278" s="11" t="n">
        <v>1</v>
      </c>
      <c r="R278" s="5"/>
      <c r="S278" s="11" t="n">
        <v>1</v>
      </c>
      <c r="T278" s="11" t="n">
        <v>1</v>
      </c>
      <c r="U278" s="11" t="n">
        <v>0</v>
      </c>
      <c r="V278" s="5"/>
      <c r="W278" s="5"/>
      <c r="X278" s="11" t="n">
        <v>1</v>
      </c>
      <c r="Y278" s="5"/>
      <c r="Z278" s="5"/>
      <c r="AA278" s="5"/>
      <c r="AB278" s="5"/>
      <c r="AD278" s="5" t="n">
        <v>0</v>
      </c>
      <c r="AF278" s="5" t="n">
        <v>1</v>
      </c>
    </row>
    <row r="279" customFormat="false" ht="15.75" hidden="false" customHeight="false" outlineLevel="0" collapsed="false">
      <c r="A279" s="5" t="s">
        <v>702</v>
      </c>
      <c r="B279" s="5" t="s">
        <v>702</v>
      </c>
      <c r="C279" s="5" t="s">
        <v>708</v>
      </c>
      <c r="D279" s="5"/>
      <c r="E279" s="5"/>
      <c r="F279" s="5"/>
      <c r="G279" s="9" t="s">
        <v>709</v>
      </c>
      <c r="H279" s="5" t="n">
        <f aca="false">(COUNTIF(J279:EC279,"=0")+COUNTIF(J279:EC279,"=1"))</f>
        <v>9</v>
      </c>
      <c r="I279" s="15" t="n">
        <f aca="false">IFERROR(ROUND(10-AVERAGE(J279:EC279)*10,0),0)</f>
        <v>7</v>
      </c>
      <c r="J279" s="11" t="n">
        <v>1</v>
      </c>
      <c r="K279" s="11" t="n">
        <v>0</v>
      </c>
      <c r="L279" s="5" t="n">
        <v>0</v>
      </c>
      <c r="M279" s="11" t="n">
        <v>0</v>
      </c>
      <c r="N279" s="5"/>
      <c r="O279" s="5"/>
      <c r="P279" s="11" t="n">
        <v>1</v>
      </c>
      <c r="Q279" s="11" t="n">
        <v>0</v>
      </c>
      <c r="R279" s="5"/>
      <c r="S279" s="5"/>
      <c r="T279" s="11" t="n">
        <v>0</v>
      </c>
      <c r="U279" s="11" t="n">
        <v>0</v>
      </c>
      <c r="V279" s="5"/>
      <c r="W279" s="5"/>
      <c r="X279" s="11" t="n">
        <v>1</v>
      </c>
      <c r="Y279" s="5"/>
      <c r="Z279" s="5"/>
      <c r="AA279" s="5"/>
      <c r="AB279" s="5"/>
    </row>
    <row r="280" customFormat="false" ht="15.75" hidden="false" customHeight="false" outlineLevel="0" collapsed="false">
      <c r="A280" s="5" t="s">
        <v>702</v>
      </c>
      <c r="B280" s="5" t="s">
        <v>702</v>
      </c>
      <c r="C280" s="5" t="s">
        <v>710</v>
      </c>
      <c r="D280" s="5"/>
      <c r="E280" s="5"/>
      <c r="F280" s="5"/>
      <c r="G280" s="9" t="s">
        <v>711</v>
      </c>
      <c r="H280" s="5" t="n">
        <f aca="false">(COUNTIF(J280:EC280,"=0")+COUNTIF(J280:EC280,"=1"))</f>
        <v>9</v>
      </c>
      <c r="I280" s="15" t="n">
        <f aca="false">IFERROR(ROUND(10-AVERAGE(J280:EC280)*10,0),0)</f>
        <v>7</v>
      </c>
      <c r="J280" s="11" t="n">
        <v>1</v>
      </c>
      <c r="K280" s="11" t="n">
        <v>0</v>
      </c>
      <c r="L280" s="5" t="n">
        <v>0</v>
      </c>
      <c r="M280" s="11" t="n">
        <v>0</v>
      </c>
      <c r="N280" s="5"/>
      <c r="O280" s="5"/>
      <c r="P280" s="11" t="n">
        <v>1</v>
      </c>
      <c r="Q280" s="11" t="n">
        <v>0</v>
      </c>
      <c r="R280" s="5"/>
      <c r="S280" s="5"/>
      <c r="T280" s="11" t="n">
        <v>0</v>
      </c>
      <c r="U280" s="11" t="n">
        <v>0</v>
      </c>
      <c r="V280" s="5"/>
      <c r="W280" s="5"/>
      <c r="X280" s="11" t="n">
        <v>1</v>
      </c>
      <c r="Y280" s="5"/>
      <c r="Z280" s="5"/>
      <c r="AA280" s="5"/>
      <c r="AB280" s="5"/>
    </row>
    <row r="281" customFormat="false" ht="15.75" hidden="false" customHeight="false" outlineLevel="0" collapsed="false">
      <c r="A281" s="5" t="s">
        <v>712</v>
      </c>
      <c r="D281" s="5"/>
      <c r="E281" s="5"/>
      <c r="F281" s="5"/>
      <c r="G281" s="5"/>
      <c r="H281" s="5" t="n">
        <f aca="false">(COUNTIF(J281:EC281,"=0")+COUNTIF(J281:EC281,"=1"))</f>
        <v>0</v>
      </c>
      <c r="I281" s="12" t="n">
        <f aca="false">IFERROR(ROUND(10-AVERAGE(J281:EC281)*10,0),0)</f>
        <v>0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customFormat="false" ht="15.75" hidden="false" customHeight="false" outlineLevel="0" collapsed="false">
      <c r="A282" s="5" t="s">
        <v>713</v>
      </c>
      <c r="B282" s="5" t="s">
        <v>713</v>
      </c>
      <c r="C282" s="5" t="s">
        <v>714</v>
      </c>
      <c r="D282" s="5"/>
      <c r="E282" s="5"/>
      <c r="F282" s="5"/>
      <c r="G282" s="9" t="s">
        <v>715</v>
      </c>
      <c r="H282" s="5" t="n">
        <f aca="false">(COUNTIF(J282:EC282,"=0")+COUNTIF(J282:EC282,"=1"))</f>
        <v>5</v>
      </c>
      <c r="I282" s="16" t="n">
        <f aca="false">IFERROR(ROUND(10-AVERAGE(J282:EC282)*10,0),0)</f>
        <v>8</v>
      </c>
      <c r="J282" s="5" t="n">
        <v>0</v>
      </c>
      <c r="K282" s="11" t="n">
        <v>0</v>
      </c>
      <c r="L282" s="5"/>
      <c r="M282" s="5"/>
      <c r="N282" s="5"/>
      <c r="O282" s="5"/>
      <c r="P282" s="11" t="n">
        <v>1</v>
      </c>
      <c r="Q282" s="5" t="n">
        <v>0</v>
      </c>
      <c r="R282" s="5"/>
      <c r="S282" s="5"/>
      <c r="T282" s="11" t="n">
        <v>0</v>
      </c>
      <c r="U282" s="5"/>
      <c r="V282" s="5"/>
      <c r="W282" s="5"/>
      <c r="X282" s="5"/>
      <c r="Y282" s="5"/>
      <c r="Z282" s="5"/>
      <c r="AA282" s="5"/>
      <c r="AB282" s="5"/>
    </row>
    <row r="283" customFormat="false" ht="15.75" hidden="false" customHeight="false" outlineLevel="0" collapsed="false">
      <c r="A283" s="5" t="s">
        <v>713</v>
      </c>
      <c r="B283" s="5" t="s">
        <v>713</v>
      </c>
      <c r="C283" s="5" t="s">
        <v>716</v>
      </c>
      <c r="D283" s="5"/>
      <c r="E283" s="14" t="s">
        <v>717</v>
      </c>
      <c r="F283" s="5"/>
      <c r="G283" s="14" t="s">
        <v>718</v>
      </c>
      <c r="H283" s="5" t="n">
        <f aca="false">(COUNTIF(J283:EC283,"=0")+COUNTIF(J283:EC283,"=1"))</f>
        <v>7</v>
      </c>
      <c r="I283" s="12" t="n">
        <f aca="false">IFERROR(ROUND(10-AVERAGE(J283:EC283)*10,0),0)</f>
        <v>9</v>
      </c>
      <c r="J283" s="5" t="n">
        <v>0</v>
      </c>
      <c r="K283" s="11" t="n">
        <v>0</v>
      </c>
      <c r="L283" s="5"/>
      <c r="M283" s="5"/>
      <c r="N283" s="5"/>
      <c r="O283" s="5"/>
      <c r="P283" s="11" t="n">
        <v>1</v>
      </c>
      <c r="Q283" s="5" t="n">
        <v>0</v>
      </c>
      <c r="R283" s="5"/>
      <c r="S283" s="5" t="n">
        <v>0</v>
      </c>
      <c r="T283" s="11" t="n">
        <v>0</v>
      </c>
      <c r="U283" s="5"/>
      <c r="V283" s="5"/>
      <c r="W283" s="5"/>
      <c r="X283" s="5"/>
      <c r="Y283" s="5"/>
      <c r="Z283" s="11" t="n">
        <v>0</v>
      </c>
      <c r="AA283" s="5"/>
      <c r="AB283" s="5"/>
    </row>
    <row r="284" customFormat="false" ht="15.75" hidden="false" customHeight="false" outlineLevel="0" collapsed="false">
      <c r="A284" s="5" t="s">
        <v>719</v>
      </c>
      <c r="B284" s="5" t="s">
        <v>719</v>
      </c>
      <c r="C284" s="5" t="s">
        <v>720</v>
      </c>
      <c r="D284" s="5"/>
      <c r="E284" s="5"/>
      <c r="F284" s="5"/>
      <c r="G284" s="5"/>
      <c r="H284" s="5" t="n">
        <f aca="false">(COUNTIF(J284:EC284,"=0")+COUNTIF(J284:EC284,"=1"))</f>
        <v>10</v>
      </c>
      <c r="I284" s="23" t="n">
        <f aca="false">IFERROR(ROUND(10-AVERAGE(J284:EC284)*10,0),0)</f>
        <v>4</v>
      </c>
      <c r="J284" s="11" t="n">
        <v>0</v>
      </c>
      <c r="K284" s="11" t="n">
        <v>0</v>
      </c>
      <c r="L284" s="5"/>
      <c r="M284" s="5"/>
      <c r="N284" s="5"/>
      <c r="O284" s="11" t="n">
        <v>1</v>
      </c>
      <c r="P284" s="11" t="n">
        <v>1</v>
      </c>
      <c r="Q284" s="11" t="n">
        <v>1</v>
      </c>
      <c r="R284" s="5"/>
      <c r="S284" s="11" t="n">
        <v>0</v>
      </c>
      <c r="T284" s="11" t="n">
        <v>0</v>
      </c>
      <c r="U284" s="11" t="n">
        <v>1</v>
      </c>
      <c r="V284" s="5"/>
      <c r="W284" s="5"/>
      <c r="X284" s="11" t="n">
        <v>1</v>
      </c>
      <c r="Y284" s="5"/>
      <c r="Z284" s="5"/>
      <c r="AA284" s="5"/>
      <c r="AB284" s="5"/>
      <c r="AD284" s="5" t="n">
        <v>1</v>
      </c>
    </row>
    <row r="285" customFormat="false" ht="15.75" hidden="false" customHeight="false" outlineLevel="0" collapsed="false">
      <c r="A285" s="5" t="s">
        <v>719</v>
      </c>
      <c r="B285" s="5" t="s">
        <v>719</v>
      </c>
      <c r="C285" s="5" t="s">
        <v>721</v>
      </c>
      <c r="D285" s="5"/>
      <c r="E285" s="5"/>
      <c r="F285" s="5"/>
      <c r="G285" s="9" t="s">
        <v>722</v>
      </c>
      <c r="H285" s="5" t="n">
        <f aca="false">(COUNTIF(J285:EC285,"=0")+COUNTIF(J285:EC285,"=1"))</f>
        <v>10</v>
      </c>
      <c r="I285" s="16" t="n">
        <f aca="false">IFERROR(ROUND(10-AVERAGE(J285:EC285)*10,0),0)</f>
        <v>7</v>
      </c>
      <c r="J285" s="11" t="n">
        <v>0</v>
      </c>
      <c r="K285" s="11" t="n">
        <v>0</v>
      </c>
      <c r="L285" s="5"/>
      <c r="M285" s="5"/>
      <c r="N285" s="5"/>
      <c r="O285" s="5" t="n">
        <v>0</v>
      </c>
      <c r="P285" s="11" t="n">
        <v>1</v>
      </c>
      <c r="Q285" s="5" t="n">
        <v>0</v>
      </c>
      <c r="R285" s="5"/>
      <c r="S285" s="5"/>
      <c r="T285" s="11" t="n">
        <v>0</v>
      </c>
      <c r="U285" s="11" t="n">
        <v>0</v>
      </c>
      <c r="V285" s="5"/>
      <c r="W285" s="5" t="n">
        <v>0</v>
      </c>
      <c r="X285" s="11" t="n">
        <v>1</v>
      </c>
      <c r="Y285" s="5"/>
      <c r="Z285" s="5"/>
      <c r="AA285" s="5"/>
      <c r="AB285" s="5"/>
      <c r="AF285" s="5" t="n">
        <v>1</v>
      </c>
    </row>
    <row r="286" customFormat="false" ht="15.75" hidden="false" customHeight="false" outlineLevel="0" collapsed="false">
      <c r="A286" s="5" t="s">
        <v>723</v>
      </c>
      <c r="B286" s="5" t="s">
        <v>724</v>
      </c>
      <c r="C286" s="5" t="s">
        <v>725</v>
      </c>
      <c r="D286" s="5"/>
      <c r="E286" s="5"/>
      <c r="F286" s="5"/>
      <c r="G286" s="9" t="s">
        <v>726</v>
      </c>
      <c r="H286" s="5" t="n">
        <f aca="false">(COUNTIF(J286:EC286,"=0")+COUNTIF(J286:EC286,"=1"))</f>
        <v>6</v>
      </c>
      <c r="I286" s="16" t="n">
        <f aca="false">IFERROR(ROUND(10-AVERAGE(J286:EC286)*10,0),0)</f>
        <v>8</v>
      </c>
      <c r="J286" s="11" t="n">
        <v>1</v>
      </c>
      <c r="K286" s="11" t="n">
        <v>0</v>
      </c>
      <c r="L286" s="5"/>
      <c r="M286" s="5"/>
      <c r="N286" s="5"/>
      <c r="O286" s="5"/>
      <c r="P286" s="11" t="n">
        <v>0</v>
      </c>
      <c r="Q286" s="5" t="n">
        <v>0</v>
      </c>
      <c r="R286" s="5"/>
      <c r="S286" s="5"/>
      <c r="T286" s="5"/>
      <c r="U286" s="5"/>
      <c r="V286" s="5"/>
      <c r="W286" s="5" t="n">
        <v>0</v>
      </c>
      <c r="X286" s="5"/>
      <c r="Y286" s="5"/>
      <c r="Z286" s="5"/>
      <c r="AA286" s="5"/>
      <c r="AB286" s="5"/>
      <c r="AD286" s="5" t="n">
        <v>0</v>
      </c>
    </row>
    <row r="287" customFormat="false" ht="15.75" hidden="false" customHeight="false" outlineLevel="0" collapsed="false">
      <c r="A287" s="5" t="s">
        <v>727</v>
      </c>
      <c r="B287" s="5" t="s">
        <v>727</v>
      </c>
      <c r="C287" s="5" t="s">
        <v>478</v>
      </c>
      <c r="D287" s="5"/>
      <c r="E287" s="5"/>
      <c r="F287" s="5"/>
      <c r="G287" s="5"/>
      <c r="H287" s="5" t="n">
        <f aca="false">(COUNTIF(J287:EC287,"=0")+COUNTIF(J287:EC287,"=1"))</f>
        <v>14</v>
      </c>
      <c r="I287" s="16" t="n">
        <f aca="false">IFERROR(ROUND(10-AVERAGE(J287:EC287)*10,0),0)</f>
        <v>8</v>
      </c>
      <c r="J287" s="11" t="n">
        <v>1</v>
      </c>
      <c r="K287" s="11" t="n">
        <v>0</v>
      </c>
      <c r="L287" s="11" t="n">
        <v>0</v>
      </c>
      <c r="M287" s="11" t="n">
        <v>0</v>
      </c>
      <c r="N287" s="5"/>
      <c r="O287" s="11" t="n">
        <v>1</v>
      </c>
      <c r="P287" s="11" t="n">
        <v>0</v>
      </c>
      <c r="Q287" s="11" t="n">
        <v>0</v>
      </c>
      <c r="R287" s="5"/>
      <c r="S287" s="11" t="n">
        <v>0</v>
      </c>
      <c r="T287" s="11" t="n">
        <v>0</v>
      </c>
      <c r="U287" s="11" t="n">
        <v>1</v>
      </c>
      <c r="V287" s="5"/>
      <c r="W287" s="5" t="n">
        <v>0</v>
      </c>
      <c r="X287" s="11" t="n">
        <v>0</v>
      </c>
      <c r="Y287" s="5"/>
      <c r="Z287" s="5"/>
      <c r="AA287" s="5"/>
      <c r="AB287" s="5"/>
      <c r="AC287" s="5" t="n">
        <v>0</v>
      </c>
      <c r="AF287" s="5" t="n">
        <v>0</v>
      </c>
    </row>
    <row r="288" customFormat="false" ht="15.75" hidden="false" customHeight="false" outlineLevel="0" collapsed="false">
      <c r="A288" s="5" t="s">
        <v>728</v>
      </c>
      <c r="D288" s="5"/>
      <c r="E288" s="5"/>
      <c r="F288" s="5"/>
      <c r="G288" s="5"/>
      <c r="H288" s="5" t="n">
        <f aca="false">(COUNTIF(J288:EC288,"=0")+COUNTIF(J288:EC288,"=1"))</f>
        <v>3</v>
      </c>
      <c r="I288" s="10" t="n">
        <f aca="false">IFERROR(ROUND(10-AVERAGE(J288:EC288)*10,0),0)</f>
        <v>10</v>
      </c>
      <c r="J288" s="5"/>
      <c r="K288" s="5"/>
      <c r="L288" s="5"/>
      <c r="M288" s="5"/>
      <c r="N288" s="5"/>
      <c r="O288" s="5"/>
      <c r="P288" s="5"/>
      <c r="Q288" s="5"/>
      <c r="R288" s="5"/>
      <c r="S288" s="11"/>
      <c r="T288" s="11" t="n">
        <v>0</v>
      </c>
      <c r="U288" s="11" t="n">
        <v>0</v>
      </c>
      <c r="V288" s="5"/>
      <c r="W288" s="5"/>
      <c r="X288" s="11" t="n">
        <v>0</v>
      </c>
      <c r="Y288" s="5"/>
      <c r="Z288" s="5"/>
      <c r="AA288" s="5"/>
      <c r="AB288" s="5"/>
    </row>
    <row r="289" customFormat="false" ht="15.75" hidden="false" customHeight="false" outlineLevel="0" collapsed="false">
      <c r="A289" s="5" t="s">
        <v>729</v>
      </c>
      <c r="B289" s="5" t="s">
        <v>729</v>
      </c>
      <c r="C289" s="5" t="s">
        <v>730</v>
      </c>
      <c r="D289" s="25"/>
      <c r="E289" s="5"/>
      <c r="F289" s="5"/>
      <c r="G289" s="9" t="s">
        <v>731</v>
      </c>
      <c r="H289" s="5" t="n">
        <f aca="false">(COUNTIF(J289:EC289,"=0")+COUNTIF(J289:EC289,"=1"))</f>
        <v>11</v>
      </c>
      <c r="I289" s="12" t="n">
        <f aca="false">IFERROR(ROUND(10-AVERAGE(J289:EC289)*10,0),0)</f>
        <v>8</v>
      </c>
      <c r="J289" s="11" t="n">
        <v>1</v>
      </c>
      <c r="K289" s="11" t="n">
        <v>1</v>
      </c>
      <c r="L289" s="11" t="n">
        <v>0</v>
      </c>
      <c r="M289" s="5"/>
      <c r="N289" s="5"/>
      <c r="O289" s="11" t="n">
        <v>0</v>
      </c>
      <c r="P289" s="11" t="n">
        <v>0</v>
      </c>
      <c r="Q289" s="11" t="n">
        <v>0</v>
      </c>
      <c r="R289" s="5"/>
      <c r="S289" s="11" t="n">
        <v>0</v>
      </c>
      <c r="T289" s="11" t="n">
        <v>0</v>
      </c>
      <c r="U289" s="11" t="n">
        <v>0</v>
      </c>
      <c r="V289" s="5"/>
      <c r="W289" s="11" t="n">
        <v>0</v>
      </c>
      <c r="X289" s="11" t="n">
        <v>0</v>
      </c>
      <c r="Y289" s="5"/>
      <c r="Z289" s="5"/>
      <c r="AA289" s="5"/>
      <c r="AB289" s="5"/>
    </row>
    <row r="290" customFormat="false" ht="15.75" hidden="false" customHeight="false" outlineLevel="0" collapsed="false">
      <c r="A290" s="5" t="s">
        <v>729</v>
      </c>
      <c r="B290" s="5" t="s">
        <v>729</v>
      </c>
      <c r="C290" s="5" t="s">
        <v>732</v>
      </c>
      <c r="D290" s="25"/>
      <c r="E290" s="5"/>
      <c r="F290" s="5"/>
      <c r="G290" s="9" t="s">
        <v>733</v>
      </c>
      <c r="H290" s="5" t="n">
        <f aca="false">(COUNTIF(J290:EC290,"=0")+COUNTIF(J290:EC290,"=1"))</f>
        <v>12</v>
      </c>
      <c r="I290" s="12" t="n">
        <f aca="false">IFERROR(ROUND(10-AVERAGE(J290:EC290)*10,0),0)</f>
        <v>8</v>
      </c>
      <c r="J290" s="11" t="n">
        <v>1</v>
      </c>
      <c r="K290" s="11" t="n">
        <v>1</v>
      </c>
      <c r="L290" s="11" t="n">
        <v>0</v>
      </c>
      <c r="M290" s="11" t="n">
        <v>1</v>
      </c>
      <c r="N290" s="5"/>
      <c r="O290" s="11" t="n">
        <v>0</v>
      </c>
      <c r="P290" s="11" t="n">
        <v>0</v>
      </c>
      <c r="Q290" s="11" t="n">
        <v>0</v>
      </c>
      <c r="R290" s="5"/>
      <c r="S290" s="11" t="n">
        <v>0</v>
      </c>
      <c r="T290" s="11" t="n">
        <v>0</v>
      </c>
      <c r="U290" s="11" t="n">
        <v>0</v>
      </c>
      <c r="V290" s="5"/>
      <c r="W290" s="11" t="n">
        <v>0</v>
      </c>
      <c r="X290" s="11" t="n">
        <v>0</v>
      </c>
      <c r="Y290" s="5"/>
      <c r="Z290" s="5"/>
      <c r="AA290" s="5"/>
      <c r="AB290" s="5"/>
    </row>
    <row r="291" customFormat="false" ht="15.75" hidden="false" customHeight="false" outlineLevel="0" collapsed="false">
      <c r="A291" s="5" t="s">
        <v>729</v>
      </c>
      <c r="B291" s="5" t="s">
        <v>729</v>
      </c>
      <c r="C291" s="5" t="s">
        <v>734</v>
      </c>
      <c r="D291" s="25"/>
      <c r="E291" s="5"/>
      <c r="F291" s="5"/>
      <c r="G291" s="9" t="s">
        <v>735</v>
      </c>
      <c r="H291" s="5" t="n">
        <f aca="false">(COUNTIF(J291:EC291,"=0")+COUNTIF(J291:EC291,"=1"))</f>
        <v>13</v>
      </c>
      <c r="I291" s="16" t="n">
        <f aca="false">IFERROR(ROUND(10-AVERAGE(J291:EC291)*10,0),0)</f>
        <v>7</v>
      </c>
      <c r="J291" s="11" t="n">
        <v>1</v>
      </c>
      <c r="K291" s="11" t="n">
        <v>1</v>
      </c>
      <c r="L291" s="11" t="n">
        <v>0</v>
      </c>
      <c r="M291" s="11" t="n">
        <v>1</v>
      </c>
      <c r="N291" s="5"/>
      <c r="O291" s="11" t="n">
        <v>0</v>
      </c>
      <c r="P291" s="11" t="n">
        <v>0</v>
      </c>
      <c r="Q291" s="11" t="n">
        <v>0</v>
      </c>
      <c r="R291" s="5"/>
      <c r="S291" s="11" t="n">
        <v>0</v>
      </c>
      <c r="T291" s="11" t="n">
        <v>0</v>
      </c>
      <c r="U291" s="11" t="n">
        <v>0</v>
      </c>
      <c r="V291" s="5"/>
      <c r="W291" s="11" t="n">
        <v>1</v>
      </c>
      <c r="X291" s="11" t="n">
        <v>0</v>
      </c>
      <c r="Y291" s="5"/>
      <c r="Z291" s="5"/>
      <c r="AA291" s="5"/>
      <c r="AB291" s="5"/>
      <c r="AF291" s="5" t="n">
        <v>0</v>
      </c>
    </row>
    <row r="292" customFormat="false" ht="15.75" hidden="false" customHeight="false" outlineLevel="0" collapsed="false">
      <c r="A292" s="5" t="s">
        <v>729</v>
      </c>
      <c r="B292" s="5" t="s">
        <v>729</v>
      </c>
      <c r="C292" s="5" t="s">
        <v>736</v>
      </c>
      <c r="D292" s="25"/>
      <c r="E292" s="5"/>
      <c r="F292" s="5"/>
      <c r="G292" s="9" t="s">
        <v>737</v>
      </c>
      <c r="H292" s="5" t="n">
        <f aca="false">(COUNTIF(J292:EC292,"=0")+COUNTIF(J292:EC292,"=1"))</f>
        <v>11</v>
      </c>
      <c r="I292" s="12" t="n">
        <f aca="false">IFERROR(ROUND(10-AVERAGE(J292:EC292)*10,0),0)</f>
        <v>8</v>
      </c>
      <c r="J292" s="11" t="n">
        <v>1</v>
      </c>
      <c r="K292" s="11" t="n">
        <v>1</v>
      </c>
      <c r="L292" s="11" t="n">
        <v>0</v>
      </c>
      <c r="M292" s="5"/>
      <c r="N292" s="5"/>
      <c r="O292" s="11" t="n">
        <v>0</v>
      </c>
      <c r="P292" s="11" t="n">
        <v>0</v>
      </c>
      <c r="Q292" s="11" t="n">
        <v>0</v>
      </c>
      <c r="R292" s="5"/>
      <c r="S292" s="11" t="n">
        <v>0</v>
      </c>
      <c r="T292" s="11" t="n">
        <v>0</v>
      </c>
      <c r="U292" s="11" t="n">
        <v>0</v>
      </c>
      <c r="V292" s="5"/>
      <c r="W292" s="11" t="n">
        <v>0</v>
      </c>
      <c r="X292" s="11" t="n">
        <v>0</v>
      </c>
      <c r="Y292" s="5"/>
      <c r="Z292" s="5"/>
      <c r="AA292" s="5"/>
      <c r="AB292" s="5"/>
    </row>
    <row r="293" customFormat="false" ht="15.75" hidden="false" customHeight="false" outlineLevel="0" collapsed="false">
      <c r="A293" s="5" t="s">
        <v>729</v>
      </c>
      <c r="B293" s="5" t="s">
        <v>729</v>
      </c>
      <c r="C293" s="5" t="s">
        <v>87</v>
      </c>
      <c r="D293" s="25"/>
      <c r="E293" s="5"/>
      <c r="F293" s="5"/>
      <c r="G293" s="9" t="s">
        <v>738</v>
      </c>
      <c r="H293" s="5" t="n">
        <f aca="false">(COUNTIF(J293:EC293,"=0")+COUNTIF(J293:EC293,"=1"))</f>
        <v>13</v>
      </c>
      <c r="I293" s="12" t="n">
        <f aca="false">IFERROR(ROUND(10-AVERAGE(J293:EC293)*10,0),0)</f>
        <v>8</v>
      </c>
      <c r="J293" s="11" t="n">
        <v>1</v>
      </c>
      <c r="K293" s="11" t="n">
        <v>1</v>
      </c>
      <c r="L293" s="11" t="n">
        <v>0</v>
      </c>
      <c r="M293" s="11" t="n">
        <v>0</v>
      </c>
      <c r="N293" s="5"/>
      <c r="O293" s="11" t="n">
        <v>0</v>
      </c>
      <c r="P293" s="11" t="n">
        <v>0</v>
      </c>
      <c r="Q293" s="11" t="n">
        <v>0</v>
      </c>
      <c r="R293" s="5"/>
      <c r="S293" s="11" t="n">
        <v>0</v>
      </c>
      <c r="T293" s="11" t="n">
        <v>0</v>
      </c>
      <c r="U293" s="11" t="n">
        <v>0</v>
      </c>
      <c r="V293" s="5"/>
      <c r="W293" s="11" t="n">
        <v>0</v>
      </c>
      <c r="X293" s="11" t="n">
        <v>0</v>
      </c>
      <c r="Y293" s="5"/>
      <c r="Z293" s="5"/>
      <c r="AA293" s="5"/>
      <c r="AB293" s="5"/>
      <c r="AF293" s="5" t="n">
        <v>0</v>
      </c>
    </row>
    <row r="294" customFormat="false" ht="15.75" hidden="false" customHeight="false" outlineLevel="0" collapsed="false">
      <c r="A294" s="5" t="s">
        <v>739</v>
      </c>
      <c r="B294" s="5" t="s">
        <v>740</v>
      </c>
      <c r="D294" s="5"/>
      <c r="E294" s="5"/>
      <c r="F294" s="5"/>
      <c r="G294" s="5"/>
      <c r="H294" s="5" t="n">
        <f aca="false">(COUNTIF(J294:EC294,"=0")+COUNTIF(J294:EC294,"=1"))</f>
        <v>1</v>
      </c>
      <c r="I294" s="10" t="n">
        <f aca="false">IFERROR(ROUND(10-AVERAGE(J294:EC294)*10,0),0)</f>
        <v>10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11" t="n">
        <v>0</v>
      </c>
      <c r="V294" s="5"/>
      <c r="W294" s="5"/>
      <c r="X294" s="5"/>
      <c r="Y294" s="5"/>
      <c r="Z294" s="5"/>
      <c r="AA294" s="5"/>
      <c r="AB294" s="5"/>
    </row>
    <row r="295" customFormat="false" ht="15.75" hidden="false" customHeight="false" outlineLevel="0" collapsed="false">
      <c r="A295" s="5" t="s">
        <v>741</v>
      </c>
      <c r="B295" s="5" t="s">
        <v>741</v>
      </c>
      <c r="C295" s="5" t="s">
        <v>741</v>
      </c>
      <c r="D295" s="5"/>
      <c r="E295" s="5"/>
      <c r="F295" s="5"/>
      <c r="G295" s="9" t="s">
        <v>742</v>
      </c>
      <c r="H295" s="5" t="n">
        <f aca="false">(COUNTIF(J295:EC295,"=0")+COUNTIF(J295:EC295,"=1"))</f>
        <v>11</v>
      </c>
      <c r="I295" s="16" t="n">
        <f aca="false">IFERROR(ROUND(10-AVERAGE(J295:EC295)*10,0),0)</f>
        <v>7</v>
      </c>
      <c r="J295" s="11" t="n">
        <v>1</v>
      </c>
      <c r="K295" s="11" t="n">
        <v>0</v>
      </c>
      <c r="L295" s="5"/>
      <c r="M295" s="11" t="n">
        <v>0</v>
      </c>
      <c r="N295" s="5"/>
      <c r="O295" s="5"/>
      <c r="P295" s="11" t="n">
        <v>1</v>
      </c>
      <c r="Q295" s="11" t="n">
        <v>0</v>
      </c>
      <c r="R295" s="5"/>
      <c r="S295" s="5"/>
      <c r="T295" s="11" t="n">
        <v>1</v>
      </c>
      <c r="U295" s="11" t="n">
        <v>0</v>
      </c>
      <c r="V295" s="5"/>
      <c r="W295" s="5" t="n">
        <v>0</v>
      </c>
      <c r="X295" s="11" t="n">
        <v>0</v>
      </c>
      <c r="Y295" s="5"/>
      <c r="Z295" s="5"/>
      <c r="AA295" s="11" t="n">
        <v>0</v>
      </c>
      <c r="AB295" s="5"/>
      <c r="AF295" s="5" t="n">
        <v>0</v>
      </c>
    </row>
    <row r="296" customFormat="false" ht="15.75" hidden="false" customHeight="false" outlineLevel="0" collapsed="false">
      <c r="A296" s="5" t="s">
        <v>741</v>
      </c>
      <c r="B296" s="5" t="s">
        <v>741</v>
      </c>
      <c r="C296" s="5" t="s">
        <v>743</v>
      </c>
      <c r="D296" s="5"/>
      <c r="E296" s="5"/>
      <c r="F296" s="5"/>
      <c r="G296" s="9" t="s">
        <v>744</v>
      </c>
      <c r="H296" s="5" t="n">
        <f aca="false">(COUNTIF(J296:EC296,"=0")+COUNTIF(J296:EC296,"=1"))</f>
        <v>8</v>
      </c>
      <c r="I296" s="16" t="n">
        <f aca="false">IFERROR(ROUND(10-AVERAGE(J296:EC296)*10,0),0)</f>
        <v>6</v>
      </c>
      <c r="J296" s="11" t="n">
        <v>0</v>
      </c>
      <c r="K296" s="11" t="n">
        <v>0</v>
      </c>
      <c r="L296" s="5"/>
      <c r="M296" s="5"/>
      <c r="N296" s="5"/>
      <c r="O296" s="5"/>
      <c r="P296" s="11" t="n">
        <v>1</v>
      </c>
      <c r="Q296" s="11" t="n">
        <v>0</v>
      </c>
      <c r="R296" s="5"/>
      <c r="S296" s="5"/>
      <c r="T296" s="11" t="n">
        <v>1</v>
      </c>
      <c r="U296" s="11" t="n">
        <v>0</v>
      </c>
      <c r="V296" s="5"/>
      <c r="W296" s="5"/>
      <c r="X296" s="11" t="n">
        <v>0</v>
      </c>
      <c r="Y296" s="5"/>
      <c r="Z296" s="5"/>
      <c r="AA296" s="5"/>
      <c r="AB296" s="5"/>
      <c r="AF296" s="5" t="n">
        <v>1</v>
      </c>
    </row>
    <row r="297" customFormat="false" ht="15.75" hidden="false" customHeight="false" outlineLevel="0" collapsed="false">
      <c r="A297" s="5" t="s">
        <v>745</v>
      </c>
      <c r="B297" s="5" t="s">
        <v>746</v>
      </c>
      <c r="C297" s="5" t="s">
        <v>747</v>
      </c>
      <c r="D297" s="5"/>
      <c r="E297" s="14" t="s">
        <v>748</v>
      </c>
      <c r="F297" s="5"/>
      <c r="G297" s="14" t="s">
        <v>749</v>
      </c>
      <c r="H297" s="5" t="n">
        <f aca="false">(COUNTIF(J297:EC297,"=0")+COUNTIF(J297:EC297,"=1"))</f>
        <v>0</v>
      </c>
      <c r="I297" s="16" t="n">
        <f aca="false">IFERROR(ROUND(10-AVERAGE(J297:EC297)*10,0),0)</f>
        <v>0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customFormat="false" ht="15.75" hidden="false" customHeight="false" outlineLevel="0" collapsed="false">
      <c r="A298" s="5" t="s">
        <v>750</v>
      </c>
      <c r="B298" s="5" t="s">
        <v>750</v>
      </c>
      <c r="C298" s="5" t="s">
        <v>751</v>
      </c>
      <c r="D298" s="5"/>
      <c r="E298" s="5"/>
      <c r="F298" s="5"/>
      <c r="G298" s="5"/>
      <c r="H298" s="5" t="n">
        <f aca="false">(COUNTIF(J298:EC298,"=0")+COUNTIF(J298:EC298,"=1"))</f>
        <v>10</v>
      </c>
      <c r="I298" s="16" t="n">
        <f aca="false">IFERROR(ROUND(10-AVERAGE(J298:EC298)*10,0),0)</f>
        <v>6</v>
      </c>
      <c r="J298" s="11" t="n">
        <v>0</v>
      </c>
      <c r="K298" s="11" t="n">
        <v>0</v>
      </c>
      <c r="L298" s="5"/>
      <c r="M298" s="5"/>
      <c r="N298" s="5"/>
      <c r="O298" s="11" t="n">
        <v>1</v>
      </c>
      <c r="P298" s="11" t="n">
        <v>1</v>
      </c>
      <c r="Q298" s="11" t="n">
        <v>1</v>
      </c>
      <c r="R298" s="5"/>
      <c r="S298" s="11" t="n">
        <v>0</v>
      </c>
      <c r="T298" s="11" t="n">
        <v>0</v>
      </c>
      <c r="U298" s="11" t="n">
        <v>0</v>
      </c>
      <c r="V298" s="5"/>
      <c r="W298" s="5"/>
      <c r="X298" s="11" t="n">
        <v>0</v>
      </c>
      <c r="Y298" s="5"/>
      <c r="Z298" s="5"/>
      <c r="AA298" s="5"/>
      <c r="AB298" s="5"/>
      <c r="AF298" s="5" t="n">
        <v>1</v>
      </c>
    </row>
    <row r="299" customFormat="false" ht="15.75" hidden="false" customHeight="false" outlineLevel="0" collapsed="false">
      <c r="A299" s="5" t="s">
        <v>752</v>
      </c>
      <c r="B299" s="5" t="s">
        <v>753</v>
      </c>
      <c r="C299" s="5" t="s">
        <v>754</v>
      </c>
      <c r="D299" s="5"/>
      <c r="E299" s="5"/>
      <c r="F299" s="5"/>
      <c r="G299" s="5"/>
      <c r="H299" s="5" t="n">
        <f aca="false">(COUNTIF(J299:EC299,"=0")+COUNTIF(J299:EC299,"=1"))</f>
        <v>6</v>
      </c>
      <c r="I299" s="12" t="n">
        <f aca="false">IFERROR(ROUND(10-AVERAGE(J299:EC299)*10,0),0)</f>
        <v>8</v>
      </c>
      <c r="J299" s="5" t="n">
        <v>0</v>
      </c>
      <c r="K299" s="11" t="n">
        <v>0</v>
      </c>
      <c r="L299" s="5"/>
      <c r="M299" s="5"/>
      <c r="N299" s="5"/>
      <c r="O299" s="5"/>
      <c r="P299" s="11" t="n">
        <v>0</v>
      </c>
      <c r="Q299" s="5"/>
      <c r="R299" s="5"/>
      <c r="S299" s="5"/>
      <c r="T299" s="11" t="n">
        <v>1</v>
      </c>
      <c r="U299" s="5"/>
      <c r="V299" s="5"/>
      <c r="W299" s="5"/>
      <c r="X299" s="5"/>
      <c r="Y299" s="5"/>
      <c r="Z299" s="11" t="n">
        <v>0</v>
      </c>
      <c r="AA299" s="11" t="n">
        <v>0</v>
      </c>
      <c r="AB299" s="5"/>
    </row>
    <row r="300" customFormat="false" ht="15.75" hidden="false" customHeight="false" outlineLevel="0" collapsed="false">
      <c r="A300" s="5" t="s">
        <v>752</v>
      </c>
      <c r="B300" s="5" t="s">
        <v>752</v>
      </c>
      <c r="C300" s="5" t="s">
        <v>87</v>
      </c>
      <c r="D300" s="5"/>
      <c r="E300" s="5"/>
      <c r="F300" s="5"/>
      <c r="G300" s="9" t="s">
        <v>755</v>
      </c>
      <c r="H300" s="5" t="n">
        <f aca="false">(COUNTIF(J300:EC300,"=0")+COUNTIF(J300:EC300,"=1"))</f>
        <v>8</v>
      </c>
      <c r="I300" s="16" t="n">
        <f aca="false">IFERROR(ROUND(10-AVERAGE(J300:EC300)*10,0),0)</f>
        <v>8</v>
      </c>
      <c r="J300" s="11" t="n">
        <v>0</v>
      </c>
      <c r="K300" s="11" t="n">
        <v>0</v>
      </c>
      <c r="L300" s="5"/>
      <c r="M300" s="5"/>
      <c r="N300" s="5"/>
      <c r="O300" s="5"/>
      <c r="P300" s="11" t="n">
        <v>1</v>
      </c>
      <c r="Q300" s="5" t="n">
        <v>0</v>
      </c>
      <c r="R300" s="5"/>
      <c r="S300" s="5"/>
      <c r="T300" s="11" t="n">
        <v>1</v>
      </c>
      <c r="U300" s="5"/>
      <c r="V300" s="5"/>
      <c r="W300" s="5"/>
      <c r="X300" s="5"/>
      <c r="Y300" s="5"/>
      <c r="Z300" s="11" t="n">
        <v>0</v>
      </c>
      <c r="AA300" s="11" t="n">
        <v>0</v>
      </c>
      <c r="AB300" s="5"/>
      <c r="AF300" s="5" t="n">
        <v>0</v>
      </c>
    </row>
    <row r="301" customFormat="false" ht="15.75" hidden="false" customHeight="false" outlineLevel="0" collapsed="false">
      <c r="A301" s="5" t="s">
        <v>752</v>
      </c>
      <c r="B301" s="5" t="s">
        <v>756</v>
      </c>
      <c r="C301" s="5" t="s">
        <v>757</v>
      </c>
      <c r="D301" s="5"/>
      <c r="E301" s="5"/>
      <c r="F301" s="5"/>
      <c r="G301" s="5"/>
      <c r="H301" s="5" t="n">
        <f aca="false">(COUNTIF(J301:EC301,"=0")+COUNTIF(J301:EC301,"=1"))</f>
        <v>5</v>
      </c>
      <c r="I301" s="10" t="n">
        <f aca="false">IFERROR(ROUND(10-AVERAGE(J301:EC301)*10,0),0)</f>
        <v>8</v>
      </c>
      <c r="J301" s="5" t="n">
        <v>1</v>
      </c>
      <c r="K301" s="11" t="n">
        <v>0</v>
      </c>
      <c r="L301" s="5"/>
      <c r="M301" s="5"/>
      <c r="N301" s="5"/>
      <c r="O301" s="5"/>
      <c r="P301" s="11" t="n">
        <v>0</v>
      </c>
      <c r="Q301" s="5"/>
      <c r="R301" s="5"/>
      <c r="S301" s="5"/>
      <c r="T301" s="11" t="n">
        <v>0</v>
      </c>
      <c r="U301" s="5"/>
      <c r="V301" s="5"/>
      <c r="W301" s="5"/>
      <c r="X301" s="5"/>
      <c r="Y301" s="5"/>
      <c r="Z301" s="11" t="n">
        <v>0</v>
      </c>
      <c r="AA301" s="5"/>
      <c r="AB301" s="5"/>
    </row>
    <row r="302" customFormat="false" ht="15.75" hidden="false" customHeight="false" outlineLevel="0" collapsed="false">
      <c r="A302" s="5" t="s">
        <v>752</v>
      </c>
      <c r="B302" s="5" t="s">
        <v>758</v>
      </c>
      <c r="C302" s="5" t="s">
        <v>759</v>
      </c>
      <c r="D302" s="5"/>
      <c r="E302" s="5"/>
      <c r="F302" s="5"/>
      <c r="G302" s="5"/>
      <c r="H302" s="5" t="n">
        <f aca="false">(COUNTIF(J302:EC302,"=0")+COUNTIF(J302:EC302,"=1"))</f>
        <v>6</v>
      </c>
      <c r="I302" s="12" t="n">
        <f aca="false">IFERROR(ROUND(10-AVERAGE(J302:EC302)*10,0),0)</f>
        <v>7</v>
      </c>
      <c r="J302" s="5" t="n">
        <v>0</v>
      </c>
      <c r="K302" s="11" t="n">
        <v>0</v>
      </c>
      <c r="L302" s="5"/>
      <c r="M302" s="5"/>
      <c r="N302" s="5"/>
      <c r="O302" s="5"/>
      <c r="P302" s="11" t="n">
        <v>0</v>
      </c>
      <c r="Q302" s="5"/>
      <c r="R302" s="5"/>
      <c r="S302" s="5" t="n">
        <v>1</v>
      </c>
      <c r="T302" s="11" t="n">
        <v>1</v>
      </c>
      <c r="U302" s="5"/>
      <c r="V302" s="5"/>
      <c r="W302" s="5"/>
      <c r="X302" s="5"/>
      <c r="Y302" s="5"/>
      <c r="Z302" s="11" t="n">
        <v>0</v>
      </c>
      <c r="AA302" s="5"/>
      <c r="AB302" s="5"/>
    </row>
    <row r="303" customFormat="false" ht="15.75" hidden="false" customHeight="false" outlineLevel="0" collapsed="false">
      <c r="A303" s="5" t="s">
        <v>752</v>
      </c>
      <c r="B303" s="5" t="s">
        <v>758</v>
      </c>
      <c r="C303" s="5" t="s">
        <v>87</v>
      </c>
      <c r="D303" s="5"/>
      <c r="E303" s="14" t="s">
        <v>760</v>
      </c>
      <c r="F303" s="5"/>
      <c r="G303" s="5"/>
      <c r="H303" s="5"/>
      <c r="I303" s="10"/>
      <c r="J303" s="5"/>
      <c r="K303" s="11"/>
      <c r="L303" s="5"/>
      <c r="M303" s="5"/>
      <c r="N303" s="5"/>
      <c r="O303" s="5"/>
      <c r="P303" s="11" t="n">
        <v>0</v>
      </c>
      <c r="Q303" s="5"/>
      <c r="R303" s="5"/>
      <c r="S303" s="5"/>
      <c r="T303" s="11"/>
      <c r="U303" s="5"/>
      <c r="V303" s="5"/>
      <c r="W303" s="5"/>
      <c r="X303" s="5"/>
      <c r="Y303" s="5"/>
      <c r="Z303" s="11"/>
      <c r="AA303" s="5"/>
      <c r="AB303" s="5"/>
    </row>
    <row r="304" customFormat="false" ht="15.75" hidden="false" customHeight="false" outlineLevel="0" collapsed="false">
      <c r="A304" s="5" t="s">
        <v>752</v>
      </c>
      <c r="B304" s="5" t="s">
        <v>758</v>
      </c>
      <c r="C304" s="5" t="s">
        <v>761</v>
      </c>
      <c r="D304" s="5"/>
      <c r="E304" s="14" t="s">
        <v>762</v>
      </c>
      <c r="F304" s="5"/>
      <c r="G304" s="14" t="s">
        <v>763</v>
      </c>
      <c r="H304" s="5" t="n">
        <f aca="false">(COUNTIF(J304:EC304,"=0")+COUNTIF(J304:EC304,"=1"))</f>
        <v>2</v>
      </c>
      <c r="I304" s="10" t="n">
        <f aca="false">IFERROR(ROUND(10-AVERAGE(J304:EC304)*10,0),0)</f>
        <v>0</v>
      </c>
      <c r="J304" s="5"/>
      <c r="K304" s="11"/>
      <c r="L304" s="5"/>
      <c r="M304" s="5"/>
      <c r="N304" s="5"/>
      <c r="O304" s="5"/>
      <c r="P304" s="11" t="n">
        <v>1</v>
      </c>
      <c r="Q304" s="5"/>
      <c r="R304" s="5"/>
      <c r="S304" s="5" t="n">
        <v>1</v>
      </c>
      <c r="T304" s="11"/>
      <c r="U304" s="5"/>
      <c r="V304" s="5"/>
      <c r="W304" s="5"/>
      <c r="X304" s="5"/>
      <c r="Y304" s="5"/>
      <c r="Z304" s="11"/>
      <c r="AA304" s="5"/>
      <c r="AB304" s="5"/>
    </row>
    <row r="305" customFormat="false" ht="15.75" hidden="false" customHeight="false" outlineLevel="0" collapsed="false">
      <c r="A305" s="5" t="s">
        <v>752</v>
      </c>
      <c r="B305" s="5" t="s">
        <v>758</v>
      </c>
      <c r="C305" s="5" t="s">
        <v>764</v>
      </c>
      <c r="D305" s="5"/>
      <c r="E305" s="14" t="s">
        <v>765</v>
      </c>
      <c r="F305" s="5"/>
      <c r="G305" s="14" t="s">
        <v>766</v>
      </c>
      <c r="H305" s="5" t="n">
        <f aca="false">(COUNTIF(J305:EC305,"=0")+COUNTIF(J305:EC305,"=1"))</f>
        <v>2</v>
      </c>
      <c r="I305" s="16" t="n">
        <f aca="false">IFERROR(ROUND(10-AVERAGE(J305:EC305)*10,0),0)</f>
        <v>0</v>
      </c>
      <c r="J305" s="5"/>
      <c r="K305" s="11"/>
      <c r="L305" s="5"/>
      <c r="M305" s="5"/>
      <c r="N305" s="5"/>
      <c r="O305" s="5"/>
      <c r="P305" s="11" t="n">
        <v>1</v>
      </c>
      <c r="Q305" s="5"/>
      <c r="R305" s="5"/>
      <c r="S305" s="5" t="n">
        <v>1</v>
      </c>
      <c r="T305" s="11"/>
      <c r="U305" s="5"/>
      <c r="V305" s="5"/>
      <c r="W305" s="5"/>
      <c r="X305" s="5"/>
      <c r="Y305" s="5"/>
      <c r="Z305" s="11"/>
      <c r="AA305" s="5"/>
      <c r="AB305" s="5"/>
    </row>
    <row r="306" customFormat="false" ht="15.75" hidden="false" customHeight="false" outlineLevel="0" collapsed="false">
      <c r="A306" s="5" t="s">
        <v>752</v>
      </c>
      <c r="B306" s="5" t="s">
        <v>767</v>
      </c>
      <c r="C306" s="5" t="s">
        <v>768</v>
      </c>
      <c r="D306" s="5"/>
      <c r="E306" s="5"/>
      <c r="F306" s="5"/>
      <c r="G306" s="5"/>
      <c r="H306" s="5" t="n">
        <f aca="false">(COUNTIF(J306:EC306,"=0")+COUNTIF(J306:EC306,"=1"))</f>
        <v>5</v>
      </c>
      <c r="I306" s="10" t="n">
        <f aca="false">IFERROR(ROUND(10-AVERAGE(J306:EC306)*10,0),0)</f>
        <v>8</v>
      </c>
      <c r="J306" s="5" t="n">
        <v>1</v>
      </c>
      <c r="K306" s="11" t="n">
        <v>0</v>
      </c>
      <c r="L306" s="5"/>
      <c r="M306" s="5"/>
      <c r="N306" s="5"/>
      <c r="O306" s="5"/>
      <c r="P306" s="11" t="n">
        <v>0</v>
      </c>
      <c r="Q306" s="5"/>
      <c r="R306" s="5"/>
      <c r="S306" s="5"/>
      <c r="T306" s="11" t="n">
        <v>0</v>
      </c>
      <c r="U306" s="5"/>
      <c r="V306" s="5"/>
      <c r="W306" s="5"/>
      <c r="X306" s="5"/>
      <c r="Y306" s="5"/>
      <c r="Z306" s="11" t="n">
        <v>0</v>
      </c>
      <c r="AA306" s="5"/>
      <c r="AB306" s="5"/>
    </row>
    <row r="307" customFormat="false" ht="15.75" hidden="false" customHeight="false" outlineLevel="0" collapsed="false">
      <c r="A307" s="5" t="s">
        <v>752</v>
      </c>
      <c r="B307" s="5" t="s">
        <v>769</v>
      </c>
      <c r="C307" s="5" t="s">
        <v>770</v>
      </c>
      <c r="D307" s="5"/>
      <c r="E307" s="5"/>
      <c r="F307" s="5"/>
      <c r="G307" s="14" t="s">
        <v>771</v>
      </c>
      <c r="H307" s="5" t="n">
        <f aca="false">(COUNTIF(J307:EC307,"=0")+COUNTIF(J307:EC307,"=1"))</f>
        <v>7</v>
      </c>
      <c r="I307" s="15" t="n">
        <f aca="false">IFERROR(ROUND(10-AVERAGE(J307:EC307)*10,0),0)</f>
        <v>6</v>
      </c>
      <c r="J307" s="5" t="n">
        <v>1</v>
      </c>
      <c r="K307" s="11" t="n">
        <v>0</v>
      </c>
      <c r="L307" s="5"/>
      <c r="M307" s="5"/>
      <c r="N307" s="5"/>
      <c r="O307" s="5"/>
      <c r="P307" s="11" t="n">
        <v>1</v>
      </c>
      <c r="Q307" s="5"/>
      <c r="R307" s="5"/>
      <c r="S307" s="5"/>
      <c r="T307" s="11" t="n">
        <v>1</v>
      </c>
      <c r="U307" s="5"/>
      <c r="V307" s="5"/>
      <c r="W307" s="5"/>
      <c r="X307" s="5"/>
      <c r="Y307" s="5"/>
      <c r="Z307" s="11" t="n">
        <v>0</v>
      </c>
      <c r="AA307" s="11" t="n">
        <v>0</v>
      </c>
      <c r="AB307" s="5"/>
      <c r="AD307" s="5" t="n">
        <v>0</v>
      </c>
    </row>
    <row r="308" customFormat="false" ht="15.75" hidden="false" customHeight="false" outlineLevel="0" collapsed="false">
      <c r="A308" s="5" t="s">
        <v>752</v>
      </c>
      <c r="B308" s="5" t="s">
        <v>772</v>
      </c>
      <c r="C308" s="5" t="s">
        <v>773</v>
      </c>
      <c r="D308" s="5"/>
      <c r="E308" s="5"/>
      <c r="F308" s="5"/>
      <c r="G308" s="9" t="s">
        <v>774</v>
      </c>
      <c r="H308" s="5" t="n">
        <f aca="false">(COUNTIF(J308:EC308,"=0")+COUNTIF(J308:EC308,"=1"))</f>
        <v>10</v>
      </c>
      <c r="I308" s="15" t="n">
        <f aca="false">IFERROR(ROUND(10-AVERAGE(J308:EC308)*10,0),0)</f>
        <v>6</v>
      </c>
      <c r="J308" s="11" t="n">
        <v>1</v>
      </c>
      <c r="K308" s="11" t="n">
        <v>0</v>
      </c>
      <c r="L308" s="11" t="n">
        <v>0</v>
      </c>
      <c r="M308" s="5"/>
      <c r="N308" s="5"/>
      <c r="O308" s="11" t="n">
        <v>0</v>
      </c>
      <c r="P308" s="11" t="n">
        <v>1</v>
      </c>
      <c r="Q308" s="11" t="n">
        <v>0</v>
      </c>
      <c r="R308" s="5"/>
      <c r="S308" s="11" t="n">
        <v>0</v>
      </c>
      <c r="T308" s="11" t="n">
        <v>1</v>
      </c>
      <c r="U308" s="11" t="n">
        <v>1</v>
      </c>
      <c r="V308" s="5"/>
      <c r="W308" s="5"/>
      <c r="X308" s="5"/>
      <c r="Y308" s="5"/>
      <c r="Z308" s="5"/>
      <c r="AA308" s="11" t="n">
        <v>0</v>
      </c>
      <c r="AB308" s="5"/>
    </row>
    <row r="309" customFormat="false" ht="15.75" hidden="false" customHeight="false" outlineLevel="0" collapsed="false">
      <c r="A309" s="5" t="s">
        <v>752</v>
      </c>
      <c r="B309" s="5" t="s">
        <v>772</v>
      </c>
      <c r="C309" s="5" t="s">
        <v>775</v>
      </c>
      <c r="D309" s="5"/>
      <c r="E309" s="5"/>
      <c r="F309" s="5"/>
      <c r="G309" s="9" t="s">
        <v>776</v>
      </c>
      <c r="H309" s="5" t="n">
        <f aca="false">(COUNTIF(J309:EC309,"=0")+COUNTIF(J309:EC309,"=1"))</f>
        <v>5</v>
      </c>
      <c r="I309" s="19" t="n">
        <f aca="false">IFERROR(ROUND(10-AVERAGE(J309:EC309)*10,0),0)</f>
        <v>6</v>
      </c>
      <c r="J309" s="5" t="n">
        <v>0</v>
      </c>
      <c r="K309" s="11" t="n">
        <v>0</v>
      </c>
      <c r="L309" s="5"/>
      <c r="M309" s="5"/>
      <c r="N309" s="5"/>
      <c r="O309" s="5"/>
      <c r="P309" s="11" t="n">
        <v>1</v>
      </c>
      <c r="Q309" s="5"/>
      <c r="R309" s="5"/>
      <c r="S309" s="5"/>
      <c r="T309" s="11" t="n">
        <v>1</v>
      </c>
      <c r="U309" s="5"/>
      <c r="V309" s="5"/>
      <c r="W309" s="5"/>
      <c r="X309" s="5"/>
      <c r="Y309" s="5"/>
      <c r="Z309" s="11" t="n">
        <v>0</v>
      </c>
      <c r="AA309" s="5"/>
      <c r="AB309" s="5"/>
    </row>
    <row r="310" customFormat="false" ht="15.75" hidden="false" customHeight="false" outlineLevel="0" collapsed="false">
      <c r="A310" s="5" t="s">
        <v>752</v>
      </c>
      <c r="B310" s="5" t="s">
        <v>772</v>
      </c>
      <c r="C310" s="5" t="s">
        <v>777</v>
      </c>
      <c r="D310" s="5"/>
      <c r="E310" s="5"/>
      <c r="F310" s="5"/>
      <c r="G310" s="9" t="s">
        <v>778</v>
      </c>
      <c r="H310" s="5" t="n">
        <f aca="false">(COUNTIF(J310:EC310,"=0")+COUNTIF(J310:EC310,"=1"))</f>
        <v>5</v>
      </c>
      <c r="I310" s="15" t="n">
        <f aca="false">IFERROR(ROUND(10-AVERAGE(J310:EC310)*10,0),0)</f>
        <v>6</v>
      </c>
      <c r="J310" s="11" t="n">
        <v>0</v>
      </c>
      <c r="K310" s="11" t="n">
        <v>0</v>
      </c>
      <c r="L310" s="5"/>
      <c r="M310" s="5"/>
      <c r="N310" s="5"/>
      <c r="O310" s="5"/>
      <c r="P310" s="11" t="n">
        <v>1</v>
      </c>
      <c r="Q310" s="5"/>
      <c r="R310" s="5"/>
      <c r="S310" s="5"/>
      <c r="T310" s="11" t="n">
        <v>1</v>
      </c>
      <c r="U310" s="5"/>
      <c r="V310" s="5"/>
      <c r="W310" s="5"/>
      <c r="X310" s="5"/>
      <c r="Y310" s="5"/>
      <c r="Z310" s="11" t="n">
        <v>0</v>
      </c>
      <c r="AA310" s="5"/>
      <c r="AB310" s="5"/>
    </row>
    <row r="311" customFormat="false" ht="15.75" hidden="false" customHeight="false" outlineLevel="0" collapsed="false">
      <c r="A311" s="5" t="s">
        <v>752</v>
      </c>
      <c r="B311" s="5" t="s">
        <v>779</v>
      </c>
      <c r="C311" s="5" t="s">
        <v>780</v>
      </c>
      <c r="D311" s="5"/>
      <c r="E311" s="5"/>
      <c r="F311" s="5"/>
      <c r="G311" s="9" t="s">
        <v>781</v>
      </c>
      <c r="H311" s="5" t="n">
        <f aca="false">(COUNTIF(J311:EC311,"=0")+COUNTIF(J311:EC311,"=1"))</f>
        <v>8</v>
      </c>
      <c r="I311" s="17" t="n">
        <f aca="false">IFERROR(ROUND(10-AVERAGE(J311:EC311)*10,0),0)</f>
        <v>9</v>
      </c>
      <c r="J311" s="11" t="n">
        <v>0</v>
      </c>
      <c r="K311" s="11" t="n">
        <v>0</v>
      </c>
      <c r="L311" s="5"/>
      <c r="M311" s="5"/>
      <c r="N311" s="5"/>
      <c r="O311" s="11" t="n">
        <v>0</v>
      </c>
      <c r="P311" s="11" t="n">
        <v>1</v>
      </c>
      <c r="Q311" s="11" t="n">
        <v>0</v>
      </c>
      <c r="R311" s="5"/>
      <c r="S311" s="11" t="n">
        <v>0</v>
      </c>
      <c r="T311" s="11" t="n">
        <v>0</v>
      </c>
      <c r="U311" s="11" t="n">
        <v>0</v>
      </c>
      <c r="V311" s="5"/>
      <c r="W311" s="5"/>
      <c r="X311" s="5"/>
      <c r="Y311" s="5"/>
      <c r="Z311" s="5"/>
      <c r="AA311" s="5"/>
      <c r="AB311" s="5"/>
    </row>
    <row r="312" customFormat="false" ht="15.75" hidden="false" customHeight="false" outlineLevel="0" collapsed="false">
      <c r="A312" s="5" t="s">
        <v>752</v>
      </c>
      <c r="B312" s="5" t="s">
        <v>779</v>
      </c>
      <c r="C312" s="5" t="s">
        <v>782</v>
      </c>
      <c r="D312" s="5"/>
      <c r="E312" s="5"/>
      <c r="F312" s="5"/>
      <c r="G312" s="9" t="s">
        <v>783</v>
      </c>
      <c r="H312" s="5" t="n">
        <f aca="false">(COUNTIF(J312:EC312,"=0")+COUNTIF(J312:EC312,"=1"))</f>
        <v>8</v>
      </c>
      <c r="I312" s="12" t="n">
        <f aca="false">IFERROR(ROUND(10-AVERAGE(J312:EC312)*10,0),0)</f>
        <v>8</v>
      </c>
      <c r="J312" s="11" t="n">
        <v>0</v>
      </c>
      <c r="K312" s="11" t="n">
        <v>0</v>
      </c>
      <c r="L312" s="5"/>
      <c r="M312" s="5"/>
      <c r="N312" s="5"/>
      <c r="O312" s="11" t="n">
        <v>1</v>
      </c>
      <c r="P312" s="11" t="n">
        <v>1</v>
      </c>
      <c r="Q312" s="11" t="n">
        <v>0</v>
      </c>
      <c r="R312" s="5"/>
      <c r="S312" s="11" t="n">
        <v>0</v>
      </c>
      <c r="T312" s="11" t="n">
        <v>0</v>
      </c>
      <c r="U312" s="11" t="n">
        <v>0</v>
      </c>
      <c r="V312" s="5"/>
      <c r="W312" s="5"/>
      <c r="X312" s="5"/>
      <c r="Y312" s="5"/>
      <c r="Z312" s="5"/>
      <c r="AA312" s="5"/>
      <c r="AB312" s="5"/>
    </row>
    <row r="313" customFormat="false" ht="15.75" hidden="false" customHeight="false" outlineLevel="0" collapsed="false">
      <c r="A313" s="5" t="s">
        <v>752</v>
      </c>
      <c r="B313" s="5" t="s">
        <v>779</v>
      </c>
      <c r="C313" s="5" t="s">
        <v>87</v>
      </c>
      <c r="D313" s="5"/>
      <c r="E313" s="5"/>
      <c r="F313" s="5"/>
      <c r="G313" s="9" t="s">
        <v>784</v>
      </c>
      <c r="H313" s="5" t="n">
        <f aca="false">(COUNTIF(J313:EC313,"=0")+COUNTIF(J313:EC313,"=1"))</f>
        <v>4</v>
      </c>
      <c r="I313" s="19" t="n">
        <f aca="false">IFERROR(ROUND(10-AVERAGE(J313:EC313)*10,0),0)</f>
        <v>8</v>
      </c>
      <c r="J313" s="5" t="n">
        <v>0</v>
      </c>
      <c r="K313" s="11" t="n">
        <v>0</v>
      </c>
      <c r="L313" s="5"/>
      <c r="M313" s="5"/>
      <c r="N313" s="5"/>
      <c r="O313" s="5"/>
      <c r="P313" s="11" t="n">
        <v>1</v>
      </c>
      <c r="Q313" s="5"/>
      <c r="R313" s="5"/>
      <c r="S313" s="5"/>
      <c r="T313" s="5" t="n">
        <v>0</v>
      </c>
      <c r="U313" s="5"/>
      <c r="V313" s="5"/>
      <c r="W313" s="5"/>
      <c r="X313" s="5"/>
      <c r="Y313" s="5"/>
      <c r="Z313" s="5"/>
      <c r="AA313" s="5"/>
      <c r="AB313" s="5"/>
    </row>
    <row r="314" customFormat="false" ht="15.75" hidden="false" customHeight="false" outlineLevel="0" collapsed="false">
      <c r="A314" s="5" t="s">
        <v>752</v>
      </c>
      <c r="B314" s="5" t="s">
        <v>779</v>
      </c>
      <c r="C314" s="5" t="s">
        <v>785</v>
      </c>
      <c r="D314" s="5"/>
      <c r="E314" s="5"/>
      <c r="F314" s="5"/>
      <c r="G314" s="9" t="s">
        <v>786</v>
      </c>
      <c r="H314" s="5" t="n">
        <f aca="false">(COUNTIF(J314:EC314,"=0")+COUNTIF(J314:EC314,"=1"))</f>
        <v>5</v>
      </c>
      <c r="I314" s="15" t="n">
        <f aca="false">IFERROR(ROUND(10-AVERAGE(J314:EC314)*10,0),0)</f>
        <v>6</v>
      </c>
      <c r="J314" s="11" t="n">
        <v>0</v>
      </c>
      <c r="K314" s="11" t="n">
        <v>0</v>
      </c>
      <c r="L314" s="5"/>
      <c r="M314" s="5"/>
      <c r="N314" s="5"/>
      <c r="O314" s="5"/>
      <c r="P314" s="11" t="n">
        <v>1</v>
      </c>
      <c r="Q314" s="5"/>
      <c r="R314" s="5"/>
      <c r="S314" s="5"/>
      <c r="T314" s="11" t="n">
        <v>1</v>
      </c>
      <c r="U314" s="5"/>
      <c r="V314" s="5"/>
      <c r="W314" s="5"/>
      <c r="X314" s="5"/>
      <c r="Y314" s="5"/>
      <c r="Z314" s="11" t="n">
        <v>0</v>
      </c>
      <c r="AA314" s="5"/>
      <c r="AB314" s="5"/>
    </row>
    <row r="315" customFormat="false" ht="15.75" hidden="false" customHeight="false" outlineLevel="0" collapsed="false">
      <c r="A315" s="5" t="s">
        <v>752</v>
      </c>
      <c r="B315" s="5" t="s">
        <v>779</v>
      </c>
      <c r="C315" s="5" t="s">
        <v>787</v>
      </c>
      <c r="D315" s="5"/>
      <c r="E315" s="5"/>
      <c r="F315" s="5"/>
      <c r="G315" s="9" t="s">
        <v>788</v>
      </c>
      <c r="H315" s="5" t="n">
        <f aca="false">(COUNTIF(J315:EC315,"=0")+COUNTIF(J315:EC315,"=1"))</f>
        <v>5</v>
      </c>
      <c r="I315" s="23" t="n">
        <f aca="false">IFERROR(ROUND(10-AVERAGE(J315:EC315)*10,0),0)</f>
        <v>4</v>
      </c>
      <c r="J315" s="11" t="n">
        <v>1</v>
      </c>
      <c r="K315" s="11" t="n">
        <v>0</v>
      </c>
      <c r="L315" s="5"/>
      <c r="M315" s="5"/>
      <c r="N315" s="5"/>
      <c r="O315" s="5"/>
      <c r="P315" s="11" t="n">
        <v>1</v>
      </c>
      <c r="Q315" s="5"/>
      <c r="R315" s="5"/>
      <c r="S315" s="5"/>
      <c r="T315" s="11" t="n">
        <v>1</v>
      </c>
      <c r="U315" s="5"/>
      <c r="V315" s="5"/>
      <c r="W315" s="5"/>
      <c r="X315" s="5"/>
      <c r="Y315" s="5"/>
      <c r="Z315" s="11" t="n">
        <v>0</v>
      </c>
      <c r="AA315" s="5"/>
      <c r="AB315" s="5"/>
    </row>
    <row r="316" customFormat="false" ht="15.75" hidden="false" customHeight="false" outlineLevel="0" collapsed="false">
      <c r="A316" s="5" t="s">
        <v>752</v>
      </c>
      <c r="B316" s="5" t="s">
        <v>789</v>
      </c>
      <c r="C316" s="5" t="s">
        <v>790</v>
      </c>
      <c r="D316" s="5"/>
      <c r="E316" s="5"/>
      <c r="F316" s="5"/>
      <c r="G316" s="9" t="s">
        <v>791</v>
      </c>
      <c r="H316" s="5" t="n">
        <f aca="false">(COUNTIF(J316:EC316,"=0")+COUNTIF(J316:EC316,"=1"))</f>
        <v>5</v>
      </c>
      <c r="I316" s="10" t="n">
        <f aca="false">IFERROR(ROUND(10-AVERAGE(J316:EC316)*10,0),0)</f>
        <v>10</v>
      </c>
      <c r="J316" s="5" t="n">
        <v>0</v>
      </c>
      <c r="K316" s="11" t="n">
        <v>0</v>
      </c>
      <c r="L316" s="5"/>
      <c r="M316" s="5"/>
      <c r="N316" s="5"/>
      <c r="O316" s="5"/>
      <c r="P316" s="11" t="n">
        <v>0</v>
      </c>
      <c r="Q316" s="5"/>
      <c r="R316" s="5"/>
      <c r="S316" s="5"/>
      <c r="T316" s="11" t="n">
        <v>0</v>
      </c>
      <c r="U316" s="5"/>
      <c r="V316" s="5"/>
      <c r="W316" s="5"/>
      <c r="X316" s="5"/>
      <c r="Y316" s="5"/>
      <c r="Z316" s="11" t="n">
        <v>0</v>
      </c>
      <c r="AA316" s="5"/>
      <c r="AB316" s="5"/>
    </row>
    <row r="317" customFormat="false" ht="15.75" hidden="false" customHeight="false" outlineLevel="0" collapsed="false">
      <c r="A317" s="5" t="s">
        <v>752</v>
      </c>
      <c r="B317" s="5" t="s">
        <v>789</v>
      </c>
      <c r="C317" s="5" t="s">
        <v>792</v>
      </c>
      <c r="D317" s="5"/>
      <c r="E317" s="5"/>
      <c r="F317" s="5"/>
      <c r="G317" s="9" t="s">
        <v>793</v>
      </c>
      <c r="H317" s="5" t="n">
        <f aca="false">(COUNTIF(J317:EC317,"=0")+COUNTIF(J317:EC317,"=1"))</f>
        <v>5</v>
      </c>
      <c r="I317" s="12" t="n">
        <f aca="false">IFERROR(ROUND(10-AVERAGE(J317:EC317)*10,0),0)</f>
        <v>8</v>
      </c>
      <c r="J317" s="5" t="n">
        <v>0</v>
      </c>
      <c r="K317" s="11" t="n">
        <v>0</v>
      </c>
      <c r="L317" s="5"/>
      <c r="M317" s="5"/>
      <c r="N317" s="5"/>
      <c r="O317" s="5"/>
      <c r="P317" s="11" t="n">
        <v>1</v>
      </c>
      <c r="Q317" s="5"/>
      <c r="R317" s="5"/>
      <c r="S317" s="5"/>
      <c r="T317" s="11" t="n">
        <v>0</v>
      </c>
      <c r="U317" s="5"/>
      <c r="V317" s="5"/>
      <c r="W317" s="5"/>
      <c r="X317" s="5"/>
      <c r="Y317" s="5"/>
      <c r="Z317" s="11" t="n">
        <v>0</v>
      </c>
      <c r="AA317" s="5"/>
      <c r="AB317" s="5"/>
    </row>
    <row r="318" customFormat="false" ht="15.75" hidden="false" customHeight="false" outlineLevel="0" collapsed="false">
      <c r="A318" s="5" t="s">
        <v>752</v>
      </c>
      <c r="B318" s="5" t="s">
        <v>789</v>
      </c>
      <c r="C318" s="5" t="s">
        <v>794</v>
      </c>
      <c r="D318" s="5"/>
      <c r="E318" s="5"/>
      <c r="F318" s="5"/>
      <c r="G318" s="5"/>
      <c r="H318" s="5" t="n">
        <f aca="false">(COUNTIF(J318:EC318,"=0")+COUNTIF(J318:EC318,"=1"))</f>
        <v>5</v>
      </c>
      <c r="I318" s="10" t="n">
        <f aca="false">IFERROR(ROUND(10-AVERAGE(J318:EC318)*10,0),0)</f>
        <v>10</v>
      </c>
      <c r="J318" s="11" t="n">
        <v>0</v>
      </c>
      <c r="K318" s="11" t="n">
        <v>0</v>
      </c>
      <c r="L318" s="5"/>
      <c r="M318" s="5"/>
      <c r="N318" s="5"/>
      <c r="O318" s="5"/>
      <c r="P318" s="11" t="n">
        <v>0</v>
      </c>
      <c r="Q318" s="5"/>
      <c r="R318" s="5"/>
      <c r="S318" s="5"/>
      <c r="T318" s="11" t="n">
        <v>0</v>
      </c>
      <c r="U318" s="5"/>
      <c r="V318" s="5"/>
      <c r="W318" s="5"/>
      <c r="X318" s="5"/>
      <c r="Y318" s="5"/>
      <c r="Z318" s="11" t="n">
        <v>0</v>
      </c>
      <c r="AA318" s="5"/>
      <c r="AB318" s="5"/>
    </row>
    <row r="319" customFormat="false" ht="15.75" hidden="false" customHeight="false" outlineLevel="0" collapsed="false">
      <c r="A319" s="5" t="s">
        <v>752</v>
      </c>
      <c r="B319" s="5" t="s">
        <v>795</v>
      </c>
      <c r="C319" s="5" t="s">
        <v>796</v>
      </c>
      <c r="D319" s="5"/>
      <c r="E319" s="5"/>
      <c r="F319" s="5"/>
      <c r="G319" s="9" t="s">
        <v>797</v>
      </c>
      <c r="H319" s="5" t="n">
        <f aca="false">(COUNTIF(J319:EC319,"=0")+COUNTIF(J319:EC319,"=1"))</f>
        <v>10</v>
      </c>
      <c r="I319" s="16" t="n">
        <f aca="false">IFERROR(ROUND(10-AVERAGE(J319:EC319)*10,0),0)</f>
        <v>6</v>
      </c>
      <c r="J319" s="11" t="n">
        <v>1</v>
      </c>
      <c r="K319" s="11" t="n">
        <v>0</v>
      </c>
      <c r="L319" s="11" t="n">
        <v>0</v>
      </c>
      <c r="M319" s="5"/>
      <c r="N319" s="5"/>
      <c r="O319" s="11" t="n">
        <v>0</v>
      </c>
      <c r="P319" s="11" t="n">
        <v>1</v>
      </c>
      <c r="Q319" s="11" t="n">
        <v>0</v>
      </c>
      <c r="R319" s="5"/>
      <c r="S319" s="11" t="n">
        <v>0</v>
      </c>
      <c r="T319" s="11" t="n">
        <v>1</v>
      </c>
      <c r="U319" s="11" t="n">
        <v>0</v>
      </c>
      <c r="V319" s="5"/>
      <c r="W319" s="5"/>
      <c r="X319" s="5"/>
      <c r="Y319" s="5"/>
      <c r="Z319" s="5"/>
      <c r="AA319" s="5"/>
      <c r="AB319" s="5"/>
      <c r="AF319" s="5" t="n">
        <v>1</v>
      </c>
    </row>
    <row r="320" customFormat="false" ht="15.75" hidden="false" customHeight="false" outlineLevel="0" collapsed="false">
      <c r="A320" s="5" t="s">
        <v>752</v>
      </c>
      <c r="B320" s="5" t="s">
        <v>798</v>
      </c>
      <c r="C320" s="5" t="s">
        <v>799</v>
      </c>
      <c r="D320" s="25"/>
      <c r="E320" s="5"/>
      <c r="F320" s="5"/>
      <c r="G320" s="9" t="s">
        <v>800</v>
      </c>
      <c r="H320" s="5" t="n">
        <f aca="false">(COUNTIF(J320:EC320,"=0")+COUNTIF(J320:EC320,"=1"))</f>
        <v>5</v>
      </c>
      <c r="I320" s="19" t="n">
        <f aca="false">IFERROR(ROUND(10-AVERAGE(J320:EC320)*10,0),0)</f>
        <v>6</v>
      </c>
      <c r="J320" s="5" t="n">
        <v>0</v>
      </c>
      <c r="K320" s="11" t="n">
        <v>0</v>
      </c>
      <c r="L320" s="5"/>
      <c r="M320" s="5"/>
      <c r="N320" s="5"/>
      <c r="O320" s="5"/>
      <c r="P320" s="11" t="n">
        <v>0</v>
      </c>
      <c r="Q320" s="5"/>
      <c r="R320" s="5"/>
      <c r="S320" s="5"/>
      <c r="T320" s="11" t="n">
        <v>1</v>
      </c>
      <c r="U320" s="5"/>
      <c r="V320" s="5"/>
      <c r="W320" s="5"/>
      <c r="X320" s="5"/>
      <c r="Y320" s="5"/>
      <c r="Z320" s="11" t="n">
        <v>1</v>
      </c>
      <c r="AA320" s="5"/>
      <c r="AB320" s="5"/>
    </row>
    <row r="321" customFormat="false" ht="15.75" hidden="false" customHeight="false" outlineLevel="0" collapsed="false">
      <c r="A321" s="5" t="s">
        <v>752</v>
      </c>
      <c r="B321" s="5" t="s">
        <v>798</v>
      </c>
      <c r="C321" s="5" t="s">
        <v>801</v>
      </c>
      <c r="D321" s="5"/>
      <c r="E321" s="5"/>
      <c r="F321" s="5"/>
      <c r="G321" s="9" t="s">
        <v>802</v>
      </c>
      <c r="H321" s="5" t="n">
        <f aca="false">(COUNTIF(J321:EC321,"=0")+COUNTIF(J321:EC321,"=1"))</f>
        <v>5</v>
      </c>
      <c r="I321" s="10" t="n">
        <f aca="false">IFERROR(ROUND(10-AVERAGE(J321:EC321)*10,0),0)</f>
        <v>10</v>
      </c>
      <c r="J321" s="5" t="n">
        <v>0</v>
      </c>
      <c r="K321" s="11" t="n">
        <v>0</v>
      </c>
      <c r="L321" s="5"/>
      <c r="M321" s="5"/>
      <c r="N321" s="5"/>
      <c r="O321" s="5"/>
      <c r="P321" s="11" t="n">
        <v>0</v>
      </c>
      <c r="Q321" s="5"/>
      <c r="R321" s="5"/>
      <c r="S321" s="5"/>
      <c r="T321" s="11" t="n">
        <v>0</v>
      </c>
      <c r="U321" s="5"/>
      <c r="V321" s="5"/>
      <c r="W321" s="5"/>
      <c r="X321" s="5"/>
      <c r="Y321" s="5"/>
      <c r="Z321" s="11" t="n">
        <v>0</v>
      </c>
      <c r="AA321" s="5"/>
      <c r="AB321" s="5"/>
    </row>
    <row r="322" customFormat="false" ht="15.75" hidden="false" customHeight="false" outlineLevel="0" collapsed="false">
      <c r="A322" s="5" t="s">
        <v>752</v>
      </c>
      <c r="B322" s="5" t="s">
        <v>798</v>
      </c>
      <c r="C322" s="5" t="s">
        <v>803</v>
      </c>
      <c r="D322" s="5"/>
      <c r="E322" s="5"/>
      <c r="F322" s="5"/>
      <c r="G322" s="9" t="s">
        <v>804</v>
      </c>
      <c r="H322" s="5" t="n">
        <f aca="false">(COUNTIF(J322:EC322,"=0")+COUNTIF(J322:EC322,"=1"))</f>
        <v>5</v>
      </c>
      <c r="I322" s="21" t="n">
        <f aca="false">IFERROR(ROUND(10-AVERAGE(J322:EC322)*10,0),0)</f>
        <v>2</v>
      </c>
      <c r="J322" s="5" t="n">
        <v>1</v>
      </c>
      <c r="K322" s="11" t="n">
        <v>0</v>
      </c>
      <c r="L322" s="5"/>
      <c r="M322" s="5"/>
      <c r="N322" s="5"/>
      <c r="O322" s="5"/>
      <c r="P322" s="11" t="n">
        <v>1</v>
      </c>
      <c r="Q322" s="5"/>
      <c r="R322" s="5"/>
      <c r="S322" s="5"/>
      <c r="T322" s="11" t="n">
        <v>1</v>
      </c>
      <c r="U322" s="5"/>
      <c r="V322" s="5"/>
      <c r="W322" s="5"/>
      <c r="X322" s="5"/>
      <c r="Y322" s="5"/>
      <c r="Z322" s="11" t="n">
        <v>1</v>
      </c>
      <c r="AA322" s="5"/>
      <c r="AB322" s="5"/>
    </row>
    <row r="323" customFormat="false" ht="15.75" hidden="false" customHeight="false" outlineLevel="0" collapsed="false">
      <c r="A323" s="5" t="s">
        <v>752</v>
      </c>
      <c r="B323" s="5" t="s">
        <v>798</v>
      </c>
      <c r="C323" s="5" t="s">
        <v>805</v>
      </c>
      <c r="D323" s="25"/>
      <c r="E323" s="5"/>
      <c r="F323" s="5"/>
      <c r="G323" s="9" t="s">
        <v>806</v>
      </c>
      <c r="H323" s="5" t="n">
        <f aca="false">(COUNTIF(J323:EC323,"=0")+COUNTIF(J323:EC323,"=1"))</f>
        <v>5</v>
      </c>
      <c r="I323" s="12" t="n">
        <f aca="false">IFERROR(ROUND(10-AVERAGE(J323:EC323)*10,0),0)</f>
        <v>8</v>
      </c>
      <c r="J323" s="5" t="n">
        <v>0</v>
      </c>
      <c r="K323" s="11" t="n">
        <v>0</v>
      </c>
      <c r="L323" s="5"/>
      <c r="M323" s="5"/>
      <c r="N323" s="5"/>
      <c r="O323" s="5"/>
      <c r="P323" s="11" t="n">
        <v>0</v>
      </c>
      <c r="Q323" s="5"/>
      <c r="R323" s="5"/>
      <c r="S323" s="5"/>
      <c r="T323" s="11" t="n">
        <v>0</v>
      </c>
      <c r="U323" s="5"/>
      <c r="V323" s="5"/>
      <c r="W323" s="5"/>
      <c r="X323" s="5"/>
      <c r="Y323" s="5"/>
      <c r="Z323" s="11" t="n">
        <v>1</v>
      </c>
      <c r="AA323" s="5"/>
      <c r="AB323" s="5"/>
    </row>
    <row r="324" customFormat="false" ht="15.75" hidden="false" customHeight="false" outlineLevel="0" collapsed="false">
      <c r="A324" s="5" t="s">
        <v>752</v>
      </c>
      <c r="B324" s="5" t="s">
        <v>807</v>
      </c>
      <c r="C324" s="5" t="s">
        <v>808</v>
      </c>
      <c r="D324" s="5"/>
      <c r="E324" s="5"/>
      <c r="F324" s="5"/>
      <c r="G324" s="9" t="s">
        <v>809</v>
      </c>
      <c r="H324" s="5" t="n">
        <f aca="false">(COUNTIF(J324:EC324,"=0")+COUNTIF(J324:EC324,"=1"))</f>
        <v>9</v>
      </c>
      <c r="I324" s="17" t="n">
        <f aca="false">IFERROR(ROUND(10-AVERAGE(J324:EC324)*10,0),0)</f>
        <v>8</v>
      </c>
      <c r="J324" s="11" t="n">
        <v>0</v>
      </c>
      <c r="K324" s="11" t="n">
        <v>0</v>
      </c>
      <c r="L324" s="5"/>
      <c r="M324" s="5"/>
      <c r="N324" s="5"/>
      <c r="O324" s="11" t="n">
        <v>0</v>
      </c>
      <c r="P324" s="11" t="n">
        <v>1</v>
      </c>
      <c r="Q324" s="11" t="n">
        <v>0</v>
      </c>
      <c r="R324" s="5"/>
      <c r="S324" s="11" t="n">
        <v>0</v>
      </c>
      <c r="T324" s="11" t="n">
        <v>1</v>
      </c>
      <c r="U324" s="11" t="n">
        <v>0</v>
      </c>
      <c r="V324" s="5"/>
      <c r="W324" s="5"/>
      <c r="X324" s="5"/>
      <c r="Y324" s="5"/>
      <c r="Z324" s="5"/>
      <c r="AA324" s="11" t="n">
        <v>0</v>
      </c>
      <c r="AB324" s="5"/>
    </row>
    <row r="325" customFormat="false" ht="15.75" hidden="false" customHeight="false" outlineLevel="0" collapsed="false">
      <c r="A325" s="5" t="s">
        <v>752</v>
      </c>
      <c r="B325" s="5" t="s">
        <v>807</v>
      </c>
      <c r="C325" s="5" t="s">
        <v>810</v>
      </c>
      <c r="D325" s="5"/>
      <c r="E325" s="5"/>
      <c r="F325" s="5"/>
      <c r="G325" s="5"/>
      <c r="H325" s="5" t="n">
        <f aca="false">(COUNTIF(J325:EC325,"=0")+COUNTIF(J325:EC325,"=1"))</f>
        <v>1</v>
      </c>
      <c r="I325" s="15" t="n">
        <f aca="false">IFERROR(ROUND(10-AVERAGE(J325:EC325)*10,0),0)</f>
        <v>0</v>
      </c>
      <c r="J325" s="5"/>
      <c r="K325" s="5"/>
      <c r="L325" s="5"/>
      <c r="M325" s="5"/>
      <c r="N325" s="5"/>
      <c r="O325" s="5"/>
      <c r="P325" s="5" t="n">
        <v>1</v>
      </c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customFormat="false" ht="15.75" hidden="false" customHeight="false" outlineLevel="0" collapsed="false">
      <c r="A326" s="5" t="s">
        <v>752</v>
      </c>
      <c r="B326" s="5" t="s">
        <v>807</v>
      </c>
      <c r="C326" s="5" t="s">
        <v>811</v>
      </c>
      <c r="D326" s="5"/>
      <c r="E326" s="5"/>
      <c r="F326" s="5"/>
      <c r="G326" s="9" t="s">
        <v>812</v>
      </c>
      <c r="H326" s="5" t="n">
        <f aca="false">(COUNTIF(J326:EC326,"=0")+COUNTIF(J326:EC326,"=1"))</f>
        <v>8</v>
      </c>
      <c r="I326" s="12" t="n">
        <f aca="false">IFERROR(ROUND(10-AVERAGE(J326:EC326)*10,0),0)</f>
        <v>8</v>
      </c>
      <c r="J326" s="11" t="n">
        <v>0</v>
      </c>
      <c r="K326" s="11" t="n">
        <v>0</v>
      </c>
      <c r="L326" s="5"/>
      <c r="M326" s="5"/>
      <c r="N326" s="5"/>
      <c r="O326" s="11" t="n">
        <v>0</v>
      </c>
      <c r="P326" s="11" t="n">
        <v>1</v>
      </c>
      <c r="Q326" s="11" t="n">
        <v>0</v>
      </c>
      <c r="R326" s="5"/>
      <c r="S326" s="11" t="n">
        <v>0</v>
      </c>
      <c r="T326" s="11" t="n">
        <v>1</v>
      </c>
      <c r="U326" s="11" t="n">
        <v>0</v>
      </c>
      <c r="V326" s="5"/>
      <c r="W326" s="5"/>
      <c r="X326" s="5"/>
      <c r="Y326" s="5"/>
      <c r="Z326" s="5"/>
      <c r="AA326" s="5"/>
      <c r="AB326" s="5"/>
    </row>
    <row r="327" customFormat="false" ht="15.75" hidden="false" customHeight="false" outlineLevel="0" collapsed="false">
      <c r="A327" s="5" t="s">
        <v>752</v>
      </c>
      <c r="B327" s="5" t="s">
        <v>813</v>
      </c>
      <c r="C327" s="5" t="s">
        <v>814</v>
      </c>
      <c r="D327" s="5"/>
      <c r="E327" s="5"/>
      <c r="F327" s="5"/>
      <c r="G327" s="9" t="s">
        <v>815</v>
      </c>
      <c r="H327" s="5" t="n">
        <f aca="false">(COUNTIF(J327:EC327,"=0")+COUNTIF(J327:EC327,"=1"))</f>
        <v>5</v>
      </c>
      <c r="I327" s="19" t="n">
        <f aca="false">IFERROR(ROUND(10-AVERAGE(J327:EC327)*10,0),0)</f>
        <v>6</v>
      </c>
      <c r="J327" s="5" t="n">
        <v>0</v>
      </c>
      <c r="K327" s="11" t="n">
        <v>0</v>
      </c>
      <c r="L327" s="5"/>
      <c r="M327" s="5"/>
      <c r="N327" s="5"/>
      <c r="O327" s="5"/>
      <c r="P327" s="11" t="n">
        <v>1</v>
      </c>
      <c r="Q327" s="5"/>
      <c r="R327" s="5"/>
      <c r="S327" s="5"/>
      <c r="T327" s="11" t="n">
        <v>1</v>
      </c>
      <c r="U327" s="5"/>
      <c r="V327" s="5"/>
      <c r="W327" s="5"/>
      <c r="X327" s="5"/>
      <c r="Y327" s="5"/>
      <c r="Z327" s="11" t="n">
        <v>0</v>
      </c>
      <c r="AA327" s="5"/>
      <c r="AB327" s="5"/>
    </row>
    <row r="328" customFormat="false" ht="15.75" hidden="false" customHeight="false" outlineLevel="0" collapsed="false">
      <c r="A328" s="5" t="s">
        <v>752</v>
      </c>
      <c r="B328" s="5" t="s">
        <v>813</v>
      </c>
      <c r="C328" s="5" t="s">
        <v>816</v>
      </c>
      <c r="D328" s="5"/>
      <c r="E328" s="5"/>
      <c r="F328" s="5"/>
      <c r="G328" s="9" t="s">
        <v>817</v>
      </c>
      <c r="H328" s="5" t="n">
        <f aca="false">(COUNTIF(J328:EC328,"=0")+COUNTIF(J328:EC328,"=1"))</f>
        <v>6</v>
      </c>
      <c r="I328" s="12" t="n">
        <f aca="false">IFERROR(ROUND(10-AVERAGE(J328:EC328)*10,0),0)</f>
        <v>8</v>
      </c>
      <c r="J328" s="5" t="n">
        <v>0</v>
      </c>
      <c r="K328" s="11" t="n">
        <v>0</v>
      </c>
      <c r="L328" s="5"/>
      <c r="M328" s="5"/>
      <c r="N328" s="5"/>
      <c r="O328" s="5"/>
      <c r="P328" s="11" t="n">
        <v>1</v>
      </c>
      <c r="Q328" s="5"/>
      <c r="R328" s="5"/>
      <c r="S328" s="5"/>
      <c r="T328" s="5" t="n">
        <v>0</v>
      </c>
      <c r="U328" s="5"/>
      <c r="V328" s="5"/>
      <c r="W328" s="5"/>
      <c r="X328" s="5"/>
      <c r="Y328" s="5"/>
      <c r="Z328" s="11" t="n">
        <v>0</v>
      </c>
      <c r="AA328" s="11" t="n">
        <v>0</v>
      </c>
      <c r="AB328" s="5"/>
    </row>
    <row r="329" customFormat="false" ht="15.75" hidden="false" customHeight="false" outlineLevel="0" collapsed="false">
      <c r="A329" s="5" t="s">
        <v>752</v>
      </c>
      <c r="B329" s="5" t="s">
        <v>813</v>
      </c>
      <c r="C329" s="5" t="s">
        <v>818</v>
      </c>
      <c r="D329" s="5"/>
      <c r="E329" s="5"/>
      <c r="F329" s="5"/>
      <c r="G329" s="9" t="s">
        <v>819</v>
      </c>
      <c r="H329" s="5" t="n">
        <f aca="false">(COUNTIF(J329:EC329,"=0")+COUNTIF(J329:EC329,"=1"))</f>
        <v>5</v>
      </c>
      <c r="I329" s="16" t="n">
        <f aca="false">IFERROR(ROUND(10-AVERAGE(J329:EC329)*10,0),0)</f>
        <v>6</v>
      </c>
      <c r="J329" s="5" t="n">
        <v>0</v>
      </c>
      <c r="K329" s="11" t="n">
        <v>0</v>
      </c>
      <c r="L329" s="5"/>
      <c r="M329" s="5"/>
      <c r="N329" s="5"/>
      <c r="O329" s="5"/>
      <c r="P329" s="11" t="n">
        <v>1</v>
      </c>
      <c r="Q329" s="5"/>
      <c r="R329" s="5"/>
      <c r="S329" s="5"/>
      <c r="T329" s="5" t="n">
        <v>1</v>
      </c>
      <c r="U329" s="5"/>
      <c r="V329" s="5"/>
      <c r="W329" s="5"/>
      <c r="X329" s="5"/>
      <c r="Y329" s="5"/>
      <c r="Z329" s="11" t="n">
        <v>0</v>
      </c>
      <c r="AA329" s="5"/>
      <c r="AB329" s="5"/>
    </row>
    <row r="330" customFormat="false" ht="15.75" hidden="false" customHeight="false" outlineLevel="0" collapsed="false">
      <c r="A330" s="5" t="s">
        <v>752</v>
      </c>
      <c r="B330" s="5" t="s">
        <v>820</v>
      </c>
      <c r="C330" s="5" t="s">
        <v>821</v>
      </c>
      <c r="D330" s="5"/>
      <c r="E330" s="5"/>
      <c r="F330" s="5"/>
      <c r="G330" s="9" t="s">
        <v>822</v>
      </c>
      <c r="H330" s="5" t="n">
        <f aca="false">(COUNTIF(J330:EC330,"=0")+COUNTIF(J330:EC330,"=1"))</f>
        <v>5</v>
      </c>
      <c r="I330" s="12" t="n">
        <f aca="false">IFERROR(ROUND(10-AVERAGE(J330:EC330)*10,0),0)</f>
        <v>8</v>
      </c>
      <c r="J330" s="5" t="n">
        <v>0</v>
      </c>
      <c r="K330" s="11" t="n">
        <v>0</v>
      </c>
      <c r="L330" s="5"/>
      <c r="M330" s="5"/>
      <c r="N330" s="5"/>
      <c r="O330" s="5"/>
      <c r="P330" s="11" t="n">
        <v>1</v>
      </c>
      <c r="Q330" s="5"/>
      <c r="R330" s="5"/>
      <c r="S330" s="5"/>
      <c r="T330" s="11" t="n">
        <v>0</v>
      </c>
      <c r="U330" s="5"/>
      <c r="V330" s="5"/>
      <c r="W330" s="5"/>
      <c r="X330" s="5"/>
      <c r="Y330" s="5"/>
      <c r="Z330" s="11" t="n">
        <v>0</v>
      </c>
      <c r="AA330" s="5"/>
      <c r="AB330" s="5"/>
    </row>
    <row r="331" customFormat="false" ht="15.75" hidden="false" customHeight="false" outlineLevel="0" collapsed="false">
      <c r="A331" s="5" t="s">
        <v>752</v>
      </c>
      <c r="B331" s="5" t="s">
        <v>823</v>
      </c>
      <c r="C331" s="5" t="s">
        <v>824</v>
      </c>
      <c r="D331" s="5"/>
      <c r="E331" s="5"/>
      <c r="F331" s="5"/>
      <c r="G331" s="9" t="s">
        <v>825</v>
      </c>
      <c r="H331" s="5" t="n">
        <f aca="false">(COUNTIF(J331:EC331,"=0")+COUNTIF(J331:EC331,"=1"))</f>
        <v>5</v>
      </c>
      <c r="I331" s="12" t="n">
        <f aca="false">IFERROR(ROUND(10-AVERAGE(J331:EC331)*10,0),0)</f>
        <v>8</v>
      </c>
      <c r="J331" s="5" t="n">
        <v>0</v>
      </c>
      <c r="K331" s="11" t="n">
        <v>0</v>
      </c>
      <c r="L331" s="5"/>
      <c r="M331" s="5"/>
      <c r="N331" s="5"/>
      <c r="O331" s="5"/>
      <c r="P331" s="11" t="n">
        <v>0</v>
      </c>
      <c r="Q331" s="5"/>
      <c r="R331" s="5"/>
      <c r="S331" s="5"/>
      <c r="T331" s="11" t="n">
        <v>1</v>
      </c>
      <c r="U331" s="5"/>
      <c r="V331" s="5"/>
      <c r="W331" s="5"/>
      <c r="X331" s="5"/>
      <c r="Y331" s="5"/>
      <c r="Z331" s="11" t="n">
        <v>0</v>
      </c>
      <c r="AA331" s="5"/>
      <c r="AB331" s="5"/>
    </row>
    <row r="332" customFormat="false" ht="15.75" hidden="false" customHeight="false" outlineLevel="0" collapsed="false">
      <c r="A332" s="5" t="s">
        <v>752</v>
      </c>
      <c r="B332" s="5" t="s">
        <v>823</v>
      </c>
      <c r="C332" s="5" t="s">
        <v>826</v>
      </c>
      <c r="D332" s="5" t="s">
        <v>827</v>
      </c>
      <c r="E332" s="5"/>
      <c r="F332" s="5"/>
      <c r="G332" s="9" t="s">
        <v>828</v>
      </c>
      <c r="H332" s="5" t="n">
        <f aca="false">(COUNTIF(J332:EC332,"=0")+COUNTIF(J332:EC332,"=1"))</f>
        <v>5</v>
      </c>
      <c r="I332" s="12" t="n">
        <f aca="false">IFERROR(ROUND(10-AVERAGE(J332:EC332)*10,0),0)</f>
        <v>8</v>
      </c>
      <c r="J332" s="5" t="n">
        <v>0</v>
      </c>
      <c r="K332" s="11" t="n">
        <v>0</v>
      </c>
      <c r="L332" s="5"/>
      <c r="M332" s="5"/>
      <c r="N332" s="5"/>
      <c r="O332" s="5"/>
      <c r="P332" s="11" t="n">
        <v>0</v>
      </c>
      <c r="Q332" s="5"/>
      <c r="R332" s="5"/>
      <c r="S332" s="5"/>
      <c r="T332" s="11" t="n">
        <v>1</v>
      </c>
      <c r="U332" s="5"/>
      <c r="V332" s="5"/>
      <c r="W332" s="5"/>
      <c r="X332" s="5"/>
      <c r="Y332" s="5"/>
      <c r="Z332" s="11" t="n">
        <v>0</v>
      </c>
      <c r="AA332" s="5"/>
      <c r="AB332" s="5"/>
    </row>
    <row r="333" customFormat="false" ht="15.75" hidden="false" customHeight="false" outlineLevel="0" collapsed="false">
      <c r="A333" s="5" t="s">
        <v>829</v>
      </c>
      <c r="B333" s="5" t="s">
        <v>830</v>
      </c>
      <c r="C333" s="5" t="s">
        <v>831</v>
      </c>
      <c r="D333" s="5"/>
      <c r="E333" s="5"/>
      <c r="F333" s="5"/>
      <c r="G333" s="9" t="s">
        <v>832</v>
      </c>
      <c r="H333" s="5" t="n">
        <f aca="false">(COUNTIF(J333:EC333,"=0")+COUNTIF(J333:EC333,"=1"))</f>
        <v>6</v>
      </c>
      <c r="I333" s="12" t="n">
        <f aca="false">IFERROR(ROUND(10-AVERAGE(J333:EC333)*10,0),0)</f>
        <v>8</v>
      </c>
      <c r="J333" s="11" t="n">
        <v>0</v>
      </c>
      <c r="K333" s="11" t="n">
        <v>0</v>
      </c>
      <c r="L333" s="5"/>
      <c r="M333" s="5"/>
      <c r="N333" s="5"/>
      <c r="O333" s="5"/>
      <c r="P333" s="11" t="n">
        <v>1</v>
      </c>
      <c r="Q333" s="5" t="n">
        <v>0</v>
      </c>
      <c r="R333" s="5"/>
      <c r="S333" s="5"/>
      <c r="T333" s="11" t="n">
        <v>0</v>
      </c>
      <c r="U333" s="5"/>
      <c r="V333" s="5"/>
      <c r="W333" s="5"/>
      <c r="X333" s="5"/>
      <c r="Y333" s="5"/>
      <c r="Z333" s="11" t="n">
        <v>0</v>
      </c>
      <c r="AA333" s="5"/>
      <c r="AB333" s="5"/>
    </row>
    <row r="334" customFormat="false" ht="15.75" hidden="false" customHeight="false" outlineLevel="0" collapsed="false">
      <c r="A334" s="5" t="s">
        <v>829</v>
      </c>
      <c r="B334" s="5" t="s">
        <v>833</v>
      </c>
      <c r="C334" s="5" t="s">
        <v>834</v>
      </c>
      <c r="D334" s="5"/>
      <c r="E334" s="5"/>
      <c r="F334" s="5"/>
      <c r="G334" s="9" t="s">
        <v>835</v>
      </c>
      <c r="H334" s="5" t="n">
        <f aca="false">(COUNTIF(J334:EC334,"=0")+COUNTIF(J334:EC334,"=1"))</f>
        <v>8</v>
      </c>
      <c r="I334" s="17" t="n">
        <f aca="false">IFERROR(ROUND(10-AVERAGE(J334:EC334)*10,0),0)</f>
        <v>9</v>
      </c>
      <c r="J334" s="11" t="n">
        <v>0</v>
      </c>
      <c r="K334" s="11" t="n">
        <v>0</v>
      </c>
      <c r="L334" s="5"/>
      <c r="M334" s="5"/>
      <c r="N334" s="5"/>
      <c r="O334" s="11" t="n">
        <v>0</v>
      </c>
      <c r="P334" s="11" t="n">
        <v>1</v>
      </c>
      <c r="Q334" s="11" t="n">
        <v>0</v>
      </c>
      <c r="R334" s="5"/>
      <c r="S334" s="11" t="n">
        <v>0</v>
      </c>
      <c r="T334" s="11" t="n">
        <v>0</v>
      </c>
      <c r="U334" s="11" t="n">
        <v>0</v>
      </c>
      <c r="V334" s="5"/>
      <c r="W334" s="5"/>
      <c r="X334" s="5"/>
      <c r="Y334" s="5"/>
      <c r="Z334" s="5"/>
      <c r="AA334" s="5"/>
      <c r="AB334" s="5"/>
    </row>
    <row r="335" customFormat="false" ht="15.75" hidden="false" customHeight="false" outlineLevel="0" collapsed="false">
      <c r="A335" s="5" t="s">
        <v>836</v>
      </c>
      <c r="B335" s="5" t="s">
        <v>836</v>
      </c>
      <c r="C335" s="5" t="s">
        <v>837</v>
      </c>
      <c r="D335" s="5"/>
      <c r="E335" s="5"/>
      <c r="F335" s="5"/>
      <c r="G335" s="9" t="s">
        <v>838</v>
      </c>
      <c r="H335" s="5" t="n">
        <f aca="false">(COUNTIF(J335:EC335,"=0")+COUNTIF(J335:EC335,"=1"))</f>
        <v>5</v>
      </c>
      <c r="I335" s="19" t="n">
        <f aca="false">IFERROR(ROUND(10-AVERAGE(J335:EC335)*10,0),0)</f>
        <v>8</v>
      </c>
      <c r="J335" s="5" t="n">
        <v>0</v>
      </c>
      <c r="K335" s="11" t="n">
        <v>0</v>
      </c>
      <c r="L335" s="5"/>
      <c r="M335" s="5"/>
      <c r="N335" s="5"/>
      <c r="O335" s="5"/>
      <c r="P335" s="11" t="n">
        <v>1</v>
      </c>
      <c r="Q335" s="5"/>
      <c r="R335" s="5"/>
      <c r="S335" s="5"/>
      <c r="T335" s="5"/>
      <c r="U335" s="5"/>
      <c r="V335" s="5"/>
      <c r="W335" s="5" t="n">
        <v>0</v>
      </c>
      <c r="X335" s="5"/>
      <c r="Y335" s="5"/>
      <c r="Z335" s="5"/>
      <c r="AA335" s="5"/>
      <c r="AB335" s="5"/>
      <c r="AG335" s="5" t="n">
        <v>0</v>
      </c>
    </row>
    <row r="336" customFormat="false" ht="15.75" hidden="false" customHeight="false" outlineLevel="0" collapsed="false">
      <c r="A336" s="5" t="s">
        <v>839</v>
      </c>
      <c r="B336" s="5" t="s">
        <v>840</v>
      </c>
      <c r="C336" s="5" t="s">
        <v>841</v>
      </c>
      <c r="D336" s="5"/>
      <c r="E336" s="5"/>
      <c r="F336" s="5"/>
      <c r="G336" s="5"/>
      <c r="H336" s="5" t="n">
        <f aca="false">(COUNTIF(J336:EC336,"=0")+COUNTIF(J336:EC336,"=1"))</f>
        <v>3</v>
      </c>
      <c r="I336" s="13" t="n">
        <f aca="false">IFERROR(ROUND(10-AVERAGE(J336:EC336)*10,0),0)</f>
        <v>0</v>
      </c>
      <c r="J336" s="11" t="n">
        <v>1</v>
      </c>
      <c r="K336" s="11" t="n">
        <v>1</v>
      </c>
      <c r="L336" s="5"/>
      <c r="M336" s="5"/>
      <c r="N336" s="5"/>
      <c r="O336" s="5"/>
      <c r="P336" s="11" t="n">
        <v>1</v>
      </c>
      <c r="Q336" s="5"/>
      <c r="R336" s="5"/>
      <c r="S336" s="5"/>
      <c r="T336" s="11"/>
      <c r="U336" s="11"/>
      <c r="V336" s="11"/>
      <c r="W336" s="5"/>
      <c r="X336" s="5"/>
      <c r="Y336" s="5"/>
      <c r="Z336" s="5"/>
      <c r="AA336" s="5"/>
      <c r="AB336" s="5"/>
      <c r="AE336" s="5"/>
    </row>
    <row r="337" customFormat="false" ht="15.75" hidden="false" customHeight="false" outlineLevel="0" collapsed="false">
      <c r="A337" s="5" t="s">
        <v>839</v>
      </c>
      <c r="B337" s="5" t="s">
        <v>840</v>
      </c>
      <c r="C337" s="5" t="s">
        <v>842</v>
      </c>
      <c r="D337" s="5" t="s">
        <v>843</v>
      </c>
      <c r="E337" s="5"/>
      <c r="F337" s="5"/>
      <c r="G337" s="5"/>
      <c r="H337" s="5" t="n">
        <f aca="false">(COUNTIF(J337:EC337,"=0")+COUNTIF(J337:EC337,"=1"))</f>
        <v>10</v>
      </c>
      <c r="I337" s="13" t="n">
        <f aca="false">IFERROR(ROUND(10-AVERAGE(J337:EC337)*10,0),0)</f>
        <v>2</v>
      </c>
      <c r="J337" s="11" t="n">
        <v>1</v>
      </c>
      <c r="K337" s="11" t="n">
        <v>1</v>
      </c>
      <c r="L337" s="5"/>
      <c r="M337" s="5"/>
      <c r="N337" s="5"/>
      <c r="O337" s="5" t="n">
        <v>1</v>
      </c>
      <c r="P337" s="11" t="n">
        <v>1</v>
      </c>
      <c r="Q337" s="5" t="n">
        <v>1</v>
      </c>
      <c r="R337" s="5"/>
      <c r="S337" s="5"/>
      <c r="T337" s="11" t="n">
        <v>0</v>
      </c>
      <c r="U337" s="11" t="n">
        <v>1</v>
      </c>
      <c r="V337" s="11" t="n">
        <v>1</v>
      </c>
      <c r="W337" s="5"/>
      <c r="X337" s="5"/>
      <c r="Y337" s="5"/>
      <c r="Z337" s="5"/>
      <c r="AA337" s="5"/>
      <c r="AB337" s="5"/>
      <c r="AE337" s="5" t="n">
        <v>1</v>
      </c>
      <c r="AF337" s="5" t="n">
        <v>0</v>
      </c>
    </row>
    <row r="338" customFormat="false" ht="15.75" hidden="false" customHeight="false" outlineLevel="0" collapsed="false">
      <c r="A338" s="5" t="s">
        <v>844</v>
      </c>
      <c r="B338" s="5" t="s">
        <v>845</v>
      </c>
      <c r="C338" s="5" t="s">
        <v>844</v>
      </c>
      <c r="D338" s="5"/>
      <c r="E338" s="5"/>
      <c r="F338" s="5"/>
      <c r="G338" s="14" t="s">
        <v>846</v>
      </c>
      <c r="H338" s="5" t="n">
        <f aca="false">(COUNTIF(J338:EC338,"=0")+COUNTIF(J338:EC338,"=1"))</f>
        <v>11</v>
      </c>
      <c r="I338" s="17" t="n">
        <f aca="false">IFERROR(ROUND(10-AVERAGE(J338:EC338)*10,0),0)</f>
        <v>9</v>
      </c>
      <c r="J338" s="11" t="n">
        <v>0</v>
      </c>
      <c r="K338" s="11" t="n">
        <v>0</v>
      </c>
      <c r="L338" s="11" t="n">
        <v>0</v>
      </c>
      <c r="M338" s="11" t="n">
        <v>1</v>
      </c>
      <c r="N338" s="5"/>
      <c r="O338" s="11" t="n">
        <v>0</v>
      </c>
      <c r="P338" s="11" t="n">
        <v>0</v>
      </c>
      <c r="Q338" s="11" t="n">
        <v>0</v>
      </c>
      <c r="R338" s="5"/>
      <c r="S338" s="11" t="n">
        <v>0</v>
      </c>
      <c r="T338" s="11" t="n">
        <v>0</v>
      </c>
      <c r="U338" s="11" t="n">
        <v>0</v>
      </c>
      <c r="V338" s="5"/>
      <c r="W338" s="5"/>
      <c r="X338" s="5"/>
      <c r="Y338" s="5"/>
      <c r="Z338" s="5"/>
      <c r="AA338" s="11" t="n">
        <v>0</v>
      </c>
      <c r="AB338" s="5"/>
    </row>
    <row r="339" customFormat="false" ht="15.75" hidden="false" customHeight="false" outlineLevel="0" collapsed="false">
      <c r="A339" s="5" t="s">
        <v>847</v>
      </c>
      <c r="B339" s="5" t="s">
        <v>847</v>
      </c>
      <c r="C339" s="5" t="s">
        <v>848</v>
      </c>
      <c r="D339" s="5"/>
      <c r="E339" s="5"/>
      <c r="F339" s="5"/>
      <c r="G339" s="9" t="s">
        <v>849</v>
      </c>
      <c r="H339" s="5" t="n">
        <f aca="false">(COUNTIF(J339:EC339,"=0")+COUNTIF(J339:EC339,"=1"))</f>
        <v>8</v>
      </c>
      <c r="I339" s="19" t="n">
        <f aca="false">IFERROR(ROUND(10-AVERAGE(J339:EC339)*10,0),0)</f>
        <v>6</v>
      </c>
      <c r="J339" s="11" t="n">
        <v>1</v>
      </c>
      <c r="K339" s="11" t="n">
        <v>0</v>
      </c>
      <c r="L339" s="5"/>
      <c r="M339" s="11" t="n">
        <v>1</v>
      </c>
      <c r="N339" s="5"/>
      <c r="O339" s="5"/>
      <c r="P339" s="11" t="n">
        <v>1</v>
      </c>
      <c r="Q339" s="5" t="n">
        <v>0</v>
      </c>
      <c r="R339" s="5"/>
      <c r="S339" s="5" t="n">
        <v>0</v>
      </c>
      <c r="T339" s="11" t="n">
        <v>0</v>
      </c>
      <c r="U339" s="11" t="n">
        <v>0</v>
      </c>
      <c r="V339" s="5"/>
      <c r="W339" s="5"/>
      <c r="X339" s="5"/>
      <c r="Y339" s="5"/>
      <c r="Z339" s="5"/>
      <c r="AA339" s="5"/>
      <c r="AB339" s="5"/>
    </row>
    <row r="340" customFormat="false" ht="15.75" hidden="false" customHeight="false" outlineLevel="0" collapsed="false">
      <c r="A340" s="5" t="s">
        <v>850</v>
      </c>
      <c r="B340" s="5" t="s">
        <v>851</v>
      </c>
      <c r="C340" s="5" t="s">
        <v>852</v>
      </c>
      <c r="D340" s="5"/>
      <c r="E340" s="5"/>
      <c r="F340" s="5"/>
      <c r="G340" s="5"/>
      <c r="H340" s="5" t="n">
        <f aca="false">(COUNTIF(J340:EC340,"=0")+COUNTIF(J340:EC340,"=1"))</f>
        <v>7</v>
      </c>
      <c r="I340" s="17" t="n">
        <f aca="false">IFERROR(ROUND(10-AVERAGE(J340:EC340)*10,0),0)</f>
        <v>9</v>
      </c>
      <c r="J340" s="11" t="n">
        <v>0</v>
      </c>
      <c r="K340" s="11" t="n">
        <v>0</v>
      </c>
      <c r="L340" s="5"/>
      <c r="M340" s="5"/>
      <c r="N340" s="5"/>
      <c r="O340" s="11" t="n">
        <v>1</v>
      </c>
      <c r="P340" s="11" t="n">
        <v>0</v>
      </c>
      <c r="Q340" s="11" t="n">
        <v>0</v>
      </c>
      <c r="R340" s="5"/>
      <c r="S340" s="5"/>
      <c r="T340" s="11" t="n">
        <v>0</v>
      </c>
      <c r="U340" s="11" t="n">
        <v>0</v>
      </c>
      <c r="V340" s="5"/>
      <c r="W340" s="5"/>
      <c r="X340" s="5"/>
      <c r="Y340" s="5"/>
      <c r="Z340" s="5"/>
      <c r="AA340" s="5"/>
      <c r="AB340" s="5"/>
    </row>
    <row r="341" customFormat="false" ht="15.75" hidden="false" customHeight="false" outlineLevel="0" collapsed="false">
      <c r="A341" s="5" t="s">
        <v>850</v>
      </c>
      <c r="B341" s="5" t="s">
        <v>853</v>
      </c>
      <c r="C341" s="5" t="s">
        <v>854</v>
      </c>
      <c r="D341" s="5"/>
      <c r="E341" s="5"/>
      <c r="F341" s="5"/>
      <c r="G341" s="14" t="s">
        <v>855</v>
      </c>
      <c r="H341" s="5" t="n">
        <f aca="false">(COUNTIF(J341:EC341,"=0")+COUNTIF(J341:EC341,"=1"))</f>
        <v>7</v>
      </c>
      <c r="I341" s="17" t="n">
        <f aca="false">IFERROR(ROUND(10-AVERAGE(J341:EC341)*10,0),0)</f>
        <v>9</v>
      </c>
      <c r="J341" s="11" t="n">
        <v>0</v>
      </c>
      <c r="K341" s="11" t="n">
        <v>0</v>
      </c>
      <c r="L341" s="5"/>
      <c r="M341" s="5"/>
      <c r="N341" s="5"/>
      <c r="O341" s="11" t="n">
        <v>1</v>
      </c>
      <c r="P341" s="11" t="n">
        <v>0</v>
      </c>
      <c r="Q341" s="11" t="n">
        <v>0</v>
      </c>
      <c r="R341" s="5"/>
      <c r="S341" s="5"/>
      <c r="T341" s="11" t="n">
        <v>0</v>
      </c>
      <c r="U341" s="11" t="n">
        <v>0</v>
      </c>
      <c r="V341" s="5"/>
      <c r="W341" s="5"/>
      <c r="X341" s="5"/>
      <c r="Y341" s="5"/>
      <c r="Z341" s="5"/>
      <c r="AA341" s="5"/>
      <c r="AB341" s="5"/>
    </row>
    <row r="342" customFormat="false" ht="15.75" hidden="false" customHeight="false" outlineLevel="0" collapsed="false">
      <c r="A342" s="5" t="s">
        <v>850</v>
      </c>
      <c r="B342" s="5" t="s">
        <v>853</v>
      </c>
      <c r="C342" s="5" t="s">
        <v>856</v>
      </c>
      <c r="D342" s="5"/>
      <c r="E342" s="5"/>
      <c r="F342" s="5"/>
      <c r="G342" s="5"/>
      <c r="H342" s="5" t="n">
        <f aca="false">(COUNTIF(J342:EC342,"=0")+COUNTIF(J342:EC342,"=1"))</f>
        <v>7</v>
      </c>
      <c r="I342" s="17" t="n">
        <f aca="false">IFERROR(ROUND(10-AVERAGE(J342:EC342)*10,0),0)</f>
        <v>9</v>
      </c>
      <c r="J342" s="11" t="n">
        <v>0</v>
      </c>
      <c r="K342" s="11" t="n">
        <v>0</v>
      </c>
      <c r="L342" s="5"/>
      <c r="M342" s="5"/>
      <c r="N342" s="5"/>
      <c r="O342" s="11" t="n">
        <v>1</v>
      </c>
      <c r="P342" s="11" t="n">
        <v>0</v>
      </c>
      <c r="Q342" s="11" t="n">
        <v>0</v>
      </c>
      <c r="R342" s="5"/>
      <c r="S342" s="5"/>
      <c r="T342" s="11" t="n">
        <v>0</v>
      </c>
      <c r="U342" s="11" t="n">
        <v>0</v>
      </c>
      <c r="V342" s="5"/>
      <c r="W342" s="5"/>
      <c r="X342" s="5"/>
      <c r="Y342" s="5"/>
      <c r="Z342" s="5"/>
      <c r="AA342" s="5"/>
      <c r="AB342" s="5"/>
    </row>
    <row r="343" customFormat="false" ht="15.75" hidden="false" customHeight="false" outlineLevel="0" collapsed="false">
      <c r="A343" s="5" t="s">
        <v>850</v>
      </c>
      <c r="B343" s="5" t="s">
        <v>857</v>
      </c>
      <c r="C343" s="5" t="s">
        <v>858</v>
      </c>
      <c r="D343" s="5"/>
      <c r="E343" s="5"/>
      <c r="F343" s="5"/>
      <c r="G343" s="14" t="s">
        <v>859</v>
      </c>
      <c r="H343" s="5" t="n">
        <f aca="false">(COUNTIF(J343:EC343,"=0")+COUNTIF(J343:EC343,"=1"))</f>
        <v>7</v>
      </c>
      <c r="I343" s="17" t="n">
        <f aca="false">IFERROR(ROUND(10-AVERAGE(J343:EC343)*10,0),0)</f>
        <v>9</v>
      </c>
      <c r="J343" s="11" t="n">
        <v>0</v>
      </c>
      <c r="K343" s="11" t="n">
        <v>0</v>
      </c>
      <c r="L343" s="5"/>
      <c r="M343" s="5"/>
      <c r="N343" s="5"/>
      <c r="O343" s="11" t="n">
        <v>1</v>
      </c>
      <c r="P343" s="11" t="n">
        <v>0</v>
      </c>
      <c r="Q343" s="11" t="n">
        <v>0</v>
      </c>
      <c r="R343" s="5"/>
      <c r="S343" s="5"/>
      <c r="T343" s="11" t="n">
        <v>0</v>
      </c>
      <c r="U343" s="11" t="n">
        <v>0</v>
      </c>
      <c r="V343" s="5"/>
      <c r="W343" s="5"/>
      <c r="X343" s="5"/>
      <c r="Y343" s="5"/>
      <c r="Z343" s="5"/>
      <c r="AA343" s="5"/>
      <c r="AB343" s="5"/>
    </row>
    <row r="344" customFormat="false" ht="15.75" hidden="false" customHeight="false" outlineLevel="0" collapsed="false">
      <c r="A344" s="5" t="s">
        <v>860</v>
      </c>
      <c r="B344" s="5" t="s">
        <v>860</v>
      </c>
      <c r="C344" s="5" t="s">
        <v>861</v>
      </c>
      <c r="D344" s="5"/>
      <c r="E344" s="5"/>
      <c r="F344" s="5"/>
      <c r="G344" s="5"/>
      <c r="H344" s="5" t="n">
        <f aca="false">(COUNTIF(J344:EC344,"=0")+COUNTIF(J344:EC344,"=1"))</f>
        <v>7</v>
      </c>
      <c r="I344" s="10" t="n">
        <f aca="false">IFERROR(ROUND(10-AVERAGE(J344:EC344)*10,0),0)</f>
        <v>10</v>
      </c>
      <c r="J344" s="5" t="n">
        <v>0</v>
      </c>
      <c r="K344" s="11" t="n">
        <v>0</v>
      </c>
      <c r="L344" s="5"/>
      <c r="M344" s="5"/>
      <c r="N344" s="5"/>
      <c r="O344" s="5"/>
      <c r="P344" s="11" t="n">
        <v>0</v>
      </c>
      <c r="Q344" s="5" t="n">
        <v>0</v>
      </c>
      <c r="R344" s="5"/>
      <c r="S344" s="5"/>
      <c r="T344" s="11" t="n">
        <v>0</v>
      </c>
      <c r="U344" s="5"/>
      <c r="V344" s="5"/>
      <c r="W344" s="5" t="n">
        <v>0</v>
      </c>
      <c r="X344" s="5"/>
      <c r="Y344" s="5"/>
      <c r="Z344" s="11" t="n">
        <v>0</v>
      </c>
      <c r="AA344" s="5"/>
      <c r="AB344" s="5"/>
    </row>
    <row r="345" customFormat="false" ht="15.75" hidden="false" customHeight="false" outlineLevel="0" collapsed="false">
      <c r="A345" s="5" t="s">
        <v>862</v>
      </c>
      <c r="B345" s="5" t="s">
        <v>862</v>
      </c>
      <c r="C345" s="5" t="s">
        <v>863</v>
      </c>
      <c r="D345" s="5"/>
      <c r="E345" s="5"/>
      <c r="F345" s="5"/>
      <c r="G345" s="5"/>
      <c r="H345" s="5" t="n">
        <f aca="false">(COUNTIF(J345:EC345,"=0")+COUNTIF(J345:EC345,"=1"))</f>
        <v>5</v>
      </c>
      <c r="I345" s="15" t="n">
        <f aca="false">IFERROR(ROUND(10-AVERAGE(J345:EC345)*10,0),0)</f>
        <v>4</v>
      </c>
      <c r="J345" s="11" t="n">
        <v>1</v>
      </c>
      <c r="K345" s="11" t="n">
        <v>0</v>
      </c>
      <c r="L345" s="5"/>
      <c r="M345" s="5"/>
      <c r="N345" s="5"/>
      <c r="O345" s="5"/>
      <c r="P345" s="11" t="n">
        <v>0</v>
      </c>
      <c r="Q345" s="5" t="n">
        <v>1</v>
      </c>
      <c r="R345" s="5"/>
      <c r="S345" s="5"/>
      <c r="T345" s="11"/>
      <c r="U345" s="5"/>
      <c r="V345" s="5"/>
      <c r="W345" s="11"/>
      <c r="X345" s="11"/>
      <c r="Y345" s="5"/>
      <c r="Z345" s="5"/>
      <c r="AA345" s="5"/>
      <c r="AB345" s="5"/>
      <c r="AD345" s="5" t="n">
        <v>1</v>
      </c>
    </row>
    <row r="346" customFormat="false" ht="15.75" hidden="false" customHeight="false" outlineLevel="0" collapsed="false">
      <c r="A346" s="5" t="s">
        <v>862</v>
      </c>
      <c r="B346" s="5" t="s">
        <v>862</v>
      </c>
      <c r="C346" s="5" t="s">
        <v>864</v>
      </c>
      <c r="D346" s="5"/>
      <c r="E346" s="5"/>
      <c r="F346" s="5"/>
      <c r="G346" s="5"/>
      <c r="H346" s="5" t="n">
        <f aca="false">(COUNTIF(J346:EC346,"=0")+COUNTIF(J346:EC346,"=1"))</f>
        <v>4</v>
      </c>
      <c r="I346" s="15" t="n">
        <f aca="false">IFERROR(ROUND(10-AVERAGE(J346:EC346)*10,0),0)</f>
        <v>5</v>
      </c>
      <c r="J346" s="5" t="n">
        <v>1</v>
      </c>
      <c r="K346" s="11" t="n">
        <v>0</v>
      </c>
      <c r="L346" s="5"/>
      <c r="M346" s="5"/>
      <c r="N346" s="5"/>
      <c r="O346" s="5"/>
      <c r="P346" s="5" t="n">
        <v>0</v>
      </c>
      <c r="Q346" s="5" t="n">
        <v>1</v>
      </c>
      <c r="R346" s="5"/>
      <c r="S346" s="5"/>
      <c r="T346" s="11"/>
      <c r="U346" s="11"/>
      <c r="V346" s="5"/>
      <c r="W346" s="5"/>
      <c r="X346" s="11"/>
      <c r="Y346" s="5"/>
      <c r="Z346" s="5"/>
      <c r="AA346" s="5"/>
      <c r="AB346" s="5"/>
    </row>
    <row r="347" customFormat="false" ht="15.75" hidden="false" customHeight="false" outlineLevel="0" collapsed="false">
      <c r="A347" s="5" t="s">
        <v>862</v>
      </c>
      <c r="B347" s="5" t="s">
        <v>862</v>
      </c>
      <c r="C347" s="5" t="s">
        <v>865</v>
      </c>
      <c r="D347" s="5"/>
      <c r="E347" s="5"/>
      <c r="F347" s="5"/>
      <c r="G347" s="5"/>
      <c r="H347" s="5" t="n">
        <f aca="false">(COUNTIF(J347:EC347,"=0")+COUNTIF(J347:EC347,"=1"))</f>
        <v>4</v>
      </c>
      <c r="I347" s="15" t="n">
        <f aca="false">IFERROR(ROUND(10-AVERAGE(J347:EC347)*10,0),0)</f>
        <v>5</v>
      </c>
      <c r="J347" s="11" t="n">
        <v>1</v>
      </c>
      <c r="K347" s="11" t="n">
        <v>0</v>
      </c>
      <c r="L347" s="11"/>
      <c r="M347" s="11"/>
      <c r="N347" s="11"/>
      <c r="O347" s="11"/>
      <c r="P347" s="11" t="n">
        <v>0</v>
      </c>
      <c r="Q347" s="11" t="n">
        <v>1</v>
      </c>
      <c r="R347" s="11"/>
      <c r="S347" s="11"/>
      <c r="T347" s="11"/>
      <c r="U347" s="11"/>
      <c r="V347" s="5"/>
      <c r="W347" s="11"/>
      <c r="X347" s="11"/>
      <c r="Y347" s="5"/>
      <c r="Z347" s="11"/>
      <c r="AA347" s="5"/>
      <c r="AB347" s="5"/>
    </row>
    <row r="348" customFormat="false" ht="15.75" hidden="false" customHeight="false" outlineLevel="0" collapsed="false">
      <c r="A348" s="5" t="s">
        <v>862</v>
      </c>
      <c r="B348" s="5" t="s">
        <v>862</v>
      </c>
      <c r="C348" s="5" t="s">
        <v>866</v>
      </c>
      <c r="D348" s="5"/>
      <c r="E348" s="5"/>
      <c r="F348" s="5"/>
      <c r="G348" s="5"/>
      <c r="H348" s="5" t="n">
        <f aca="false">(COUNTIF(J348:EC348,"=0")+COUNTIF(J348:EC348,"=1"))</f>
        <v>5</v>
      </c>
      <c r="I348" s="15" t="n">
        <f aca="false">IFERROR(ROUND(10-AVERAGE(J348:EC348)*10,0),0)</f>
        <v>6</v>
      </c>
      <c r="J348" s="5" t="n">
        <v>1</v>
      </c>
      <c r="K348" s="11" t="n">
        <v>0</v>
      </c>
      <c r="L348" s="5"/>
      <c r="M348" s="5"/>
      <c r="N348" s="5"/>
      <c r="O348" s="5" t="n">
        <v>0</v>
      </c>
      <c r="P348" s="5" t="n">
        <v>0</v>
      </c>
      <c r="Q348" s="5" t="n">
        <v>1</v>
      </c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customFormat="false" ht="15.75" hidden="false" customHeight="false" outlineLevel="0" collapsed="false">
      <c r="A349" s="5" t="s">
        <v>867</v>
      </c>
      <c r="B349" s="5" t="s">
        <v>868</v>
      </c>
      <c r="C349" s="5" t="s">
        <v>869</v>
      </c>
      <c r="D349" s="5"/>
      <c r="E349" s="5"/>
      <c r="F349" s="5"/>
      <c r="G349" s="9" t="s">
        <v>870</v>
      </c>
      <c r="H349" s="5" t="n">
        <f aca="false">(COUNTIF(J349:EC349,"=0")+COUNTIF(J349:EC349,"=1"))</f>
        <v>11</v>
      </c>
      <c r="I349" s="12" t="n">
        <f aca="false">IFERROR(ROUND(10-AVERAGE(J349:EC349)*10,0),0)</f>
        <v>6</v>
      </c>
      <c r="J349" s="11" t="n">
        <v>1</v>
      </c>
      <c r="K349" s="11" t="n">
        <v>1</v>
      </c>
      <c r="L349" s="11" t="n">
        <v>0</v>
      </c>
      <c r="M349" s="5"/>
      <c r="N349" s="5"/>
      <c r="O349" s="11" t="n">
        <v>0</v>
      </c>
      <c r="P349" s="11" t="n">
        <v>0</v>
      </c>
      <c r="Q349" s="11" t="n">
        <v>0</v>
      </c>
      <c r="R349" s="5"/>
      <c r="S349" s="5" t="n">
        <v>1</v>
      </c>
      <c r="T349" s="11" t="n">
        <v>0</v>
      </c>
      <c r="U349" s="11" t="n">
        <v>0</v>
      </c>
      <c r="V349" s="5"/>
      <c r="W349" s="5"/>
      <c r="X349" s="5"/>
      <c r="Y349" s="5"/>
      <c r="Z349" s="5"/>
      <c r="AA349" s="5"/>
      <c r="AB349" s="5"/>
      <c r="AC349" s="5" t="n">
        <v>1</v>
      </c>
      <c r="AF349" s="5" t="n">
        <v>0</v>
      </c>
    </row>
    <row r="350" customFormat="false" ht="15.75" hidden="false" customHeight="false" outlineLevel="0" collapsed="false">
      <c r="A350" s="5" t="s">
        <v>871</v>
      </c>
      <c r="B350" s="5" t="s">
        <v>871</v>
      </c>
      <c r="C350" s="5" t="s">
        <v>872</v>
      </c>
      <c r="D350" s="5"/>
      <c r="E350" s="5"/>
      <c r="F350" s="5"/>
      <c r="G350" s="9" t="s">
        <v>873</v>
      </c>
      <c r="H350" s="5" t="n">
        <f aca="false">(COUNTIF(J350:EC350,"=0")+COUNTIF(J350:EC350,"=1"))</f>
        <v>9</v>
      </c>
      <c r="I350" s="12" t="n">
        <f aca="false">IFERROR(ROUND(10-AVERAGE(J350:EC350)*10,0),0)</f>
        <v>8</v>
      </c>
      <c r="J350" s="5" t="n">
        <v>0</v>
      </c>
      <c r="K350" s="11" t="n">
        <v>0</v>
      </c>
      <c r="L350" s="5"/>
      <c r="M350" s="5"/>
      <c r="N350" s="5"/>
      <c r="O350" s="5"/>
      <c r="P350" s="11" t="n">
        <v>0</v>
      </c>
      <c r="Q350" s="5" t="n">
        <v>0</v>
      </c>
      <c r="R350" s="5"/>
      <c r="S350" s="5"/>
      <c r="T350" s="11" t="n">
        <v>0</v>
      </c>
      <c r="U350" s="5"/>
      <c r="V350" s="5"/>
      <c r="W350" s="5"/>
      <c r="X350" s="5"/>
      <c r="Y350" s="5"/>
      <c r="Z350" s="11" t="n">
        <v>1</v>
      </c>
      <c r="AA350" s="5"/>
      <c r="AB350" s="5"/>
      <c r="AC350" s="5" t="n">
        <v>1</v>
      </c>
      <c r="AF350" s="5" t="n">
        <v>0</v>
      </c>
      <c r="AG350" s="5" t="n">
        <v>0</v>
      </c>
    </row>
    <row r="351" customFormat="false" ht="15.75" hidden="false" customHeight="false" outlineLevel="0" collapsed="false">
      <c r="A351" s="5" t="s">
        <v>874</v>
      </c>
      <c r="B351" s="5" t="s">
        <v>874</v>
      </c>
      <c r="C351" s="5" t="s">
        <v>668</v>
      </c>
      <c r="D351" s="5"/>
      <c r="E351" s="5"/>
      <c r="F351" s="5"/>
      <c r="G351" s="9" t="s">
        <v>875</v>
      </c>
      <c r="H351" s="5" t="n">
        <f aca="false">(COUNTIF(J351:EC351,"=0")+COUNTIF(J351:EC351,"=1"))</f>
        <v>11</v>
      </c>
      <c r="I351" s="16" t="n">
        <f aca="false">IFERROR(ROUND(10-AVERAGE(J351:EC351)*10,0),0)</f>
        <v>6</v>
      </c>
      <c r="J351" s="11" t="n">
        <v>1</v>
      </c>
      <c r="K351" s="11" t="n">
        <v>0</v>
      </c>
      <c r="L351" s="11" t="n">
        <v>1</v>
      </c>
      <c r="M351" s="5"/>
      <c r="N351" s="5"/>
      <c r="O351" s="11" t="n">
        <v>0</v>
      </c>
      <c r="P351" s="11" t="n">
        <v>0</v>
      </c>
      <c r="Q351" s="11" t="n">
        <v>0</v>
      </c>
      <c r="R351" s="5"/>
      <c r="S351" s="11" t="n">
        <v>0</v>
      </c>
      <c r="T351" s="11" t="n">
        <v>0</v>
      </c>
      <c r="U351" s="11" t="n">
        <v>1</v>
      </c>
      <c r="V351" s="5"/>
      <c r="W351" s="5"/>
      <c r="X351" s="5"/>
      <c r="Y351" s="5"/>
      <c r="Z351" s="5"/>
      <c r="AA351" s="5"/>
      <c r="AB351" s="5"/>
      <c r="AE351" s="5" t="n">
        <v>1</v>
      </c>
      <c r="AF351" s="5" t="n">
        <v>0</v>
      </c>
    </row>
    <row r="352" customFormat="false" ht="15.75" hidden="false" customHeight="false" outlineLevel="0" collapsed="false">
      <c r="A352" s="5" t="s">
        <v>876</v>
      </c>
      <c r="B352" s="5" t="s">
        <v>876</v>
      </c>
      <c r="C352" s="5" t="s">
        <v>877</v>
      </c>
      <c r="D352" s="5"/>
      <c r="E352" s="5"/>
      <c r="F352" s="5"/>
      <c r="G352" s="9" t="s">
        <v>878</v>
      </c>
      <c r="H352" s="5" t="n">
        <f aca="false">(COUNTIF(J352:EC352,"=0")+COUNTIF(J352:EC352,"=1"))</f>
        <v>6</v>
      </c>
      <c r="I352" s="12" t="n">
        <f aca="false">IFERROR(ROUND(10-AVERAGE(J352:EC352)*10,0),0)</f>
        <v>8</v>
      </c>
      <c r="J352" s="11" t="n">
        <v>0</v>
      </c>
      <c r="K352" s="11" t="n">
        <v>1</v>
      </c>
      <c r="L352" s="5"/>
      <c r="M352" s="5"/>
      <c r="N352" s="5"/>
      <c r="O352" s="5"/>
      <c r="P352" s="11" t="n">
        <v>0</v>
      </c>
      <c r="Q352" s="11" t="n">
        <v>0</v>
      </c>
      <c r="R352" s="5"/>
      <c r="S352" s="5"/>
      <c r="T352" s="11" t="n">
        <v>0</v>
      </c>
      <c r="U352" s="11" t="n">
        <v>0</v>
      </c>
      <c r="V352" s="5"/>
      <c r="W352" s="5"/>
      <c r="X352" s="5"/>
      <c r="Y352" s="5"/>
      <c r="Z352" s="5"/>
      <c r="AA352" s="5"/>
      <c r="AB352" s="5"/>
    </row>
    <row r="353" customFormat="false" ht="15.75" hidden="false" customHeight="false" outlineLevel="0" collapsed="false">
      <c r="A353" s="5" t="s">
        <v>876</v>
      </c>
      <c r="B353" s="5" t="s">
        <v>876</v>
      </c>
      <c r="C353" s="5" t="s">
        <v>879</v>
      </c>
      <c r="D353" s="5" t="s">
        <v>880</v>
      </c>
      <c r="E353" s="5"/>
      <c r="F353" s="5"/>
      <c r="G353" s="5"/>
      <c r="H353" s="5" t="n">
        <f aca="false">(COUNTIF(J353:EC353,"=0")+COUNTIF(J353:EC353,"=1"))</f>
        <v>6</v>
      </c>
      <c r="I353" s="12" t="n">
        <f aca="false">IFERROR(ROUND(10-AVERAGE(J353:EC353)*10,0),0)</f>
        <v>8</v>
      </c>
      <c r="J353" s="11" t="n">
        <v>0</v>
      </c>
      <c r="K353" s="11" t="n">
        <v>1</v>
      </c>
      <c r="L353" s="5"/>
      <c r="M353" s="5"/>
      <c r="N353" s="5"/>
      <c r="O353" s="5"/>
      <c r="P353" s="11" t="n">
        <v>0</v>
      </c>
      <c r="Q353" s="11" t="n">
        <v>0</v>
      </c>
      <c r="R353" s="5"/>
      <c r="S353" s="5"/>
      <c r="T353" s="11" t="n">
        <v>0</v>
      </c>
      <c r="U353" s="11" t="n">
        <v>0</v>
      </c>
      <c r="V353" s="5"/>
      <c r="W353" s="5"/>
      <c r="X353" s="5"/>
      <c r="Y353" s="5"/>
      <c r="Z353" s="5"/>
      <c r="AA353" s="5"/>
      <c r="AB353" s="5"/>
    </row>
    <row r="354" customFormat="false" ht="15.75" hidden="false" customHeight="false" outlineLevel="0" collapsed="false">
      <c r="A354" s="5" t="s">
        <v>876</v>
      </c>
      <c r="B354" s="5" t="s">
        <v>876</v>
      </c>
      <c r="C354" s="5" t="s">
        <v>881</v>
      </c>
      <c r="D354" s="5" t="s">
        <v>882</v>
      </c>
      <c r="E354" s="5"/>
      <c r="F354" s="5"/>
      <c r="G354" s="5"/>
      <c r="H354" s="5" t="n">
        <f aca="false">(COUNTIF(J354:EC354,"=0")+COUNTIF(J354:EC354,"=1"))</f>
        <v>6</v>
      </c>
      <c r="I354" s="12" t="n">
        <f aca="false">IFERROR(ROUND(10-AVERAGE(J354:EC354)*10,0),0)</f>
        <v>8</v>
      </c>
      <c r="J354" s="11" t="n">
        <v>0</v>
      </c>
      <c r="K354" s="11" t="n">
        <v>1</v>
      </c>
      <c r="L354" s="5"/>
      <c r="M354" s="5"/>
      <c r="N354" s="5"/>
      <c r="O354" s="5"/>
      <c r="P354" s="11" t="n">
        <v>0</v>
      </c>
      <c r="Q354" s="11" t="n">
        <v>0</v>
      </c>
      <c r="R354" s="5"/>
      <c r="S354" s="5"/>
      <c r="T354" s="11" t="n">
        <v>0</v>
      </c>
      <c r="U354" s="11" t="n">
        <v>0</v>
      </c>
      <c r="V354" s="5"/>
      <c r="W354" s="5"/>
      <c r="X354" s="5"/>
      <c r="Y354" s="5"/>
      <c r="Z354" s="5"/>
      <c r="AA354" s="5"/>
      <c r="AB354" s="5"/>
    </row>
    <row r="355" customFormat="false" ht="15.75" hidden="false" customHeight="false" outlineLevel="0" collapsed="false">
      <c r="A355" s="5" t="s">
        <v>876</v>
      </c>
      <c r="B355" s="5" t="s">
        <v>876</v>
      </c>
      <c r="C355" s="5" t="s">
        <v>883</v>
      </c>
      <c r="D355" s="25"/>
      <c r="E355" s="5"/>
      <c r="F355" s="5"/>
      <c r="G355" s="9" t="s">
        <v>884</v>
      </c>
      <c r="H355" s="5" t="n">
        <f aca="false">(COUNTIF(J355:EC355,"=0")+COUNTIF(J355:EC355,"=1"))</f>
        <v>10</v>
      </c>
      <c r="I355" s="17" t="n">
        <f aca="false">IFERROR(ROUND(10-AVERAGE(J355:EC355)*10,0),0)</f>
        <v>9</v>
      </c>
      <c r="J355" s="11" t="n">
        <v>0</v>
      </c>
      <c r="K355" s="11" t="n">
        <v>1</v>
      </c>
      <c r="L355" s="11" t="n">
        <v>0</v>
      </c>
      <c r="M355" s="5"/>
      <c r="N355" s="5"/>
      <c r="O355" s="11" t="n">
        <v>0</v>
      </c>
      <c r="P355" s="11" t="n">
        <v>0</v>
      </c>
      <c r="Q355" s="11" t="n">
        <v>0</v>
      </c>
      <c r="R355" s="5"/>
      <c r="S355" s="11" t="n">
        <v>0</v>
      </c>
      <c r="T355" s="11" t="n">
        <v>0</v>
      </c>
      <c r="U355" s="11" t="n">
        <v>0</v>
      </c>
      <c r="V355" s="5"/>
      <c r="W355" s="5"/>
      <c r="X355" s="5"/>
      <c r="Y355" s="5"/>
      <c r="Z355" s="5"/>
      <c r="AA355" s="11" t="n">
        <v>0</v>
      </c>
      <c r="AB355" s="5"/>
    </row>
    <row r="356" customFormat="false" ht="15.75" hidden="false" customHeight="false" outlineLevel="0" collapsed="false">
      <c r="A356" s="5" t="s">
        <v>876</v>
      </c>
      <c r="B356" s="5" t="s">
        <v>876</v>
      </c>
      <c r="C356" s="5" t="s">
        <v>885</v>
      </c>
      <c r="D356" s="5"/>
      <c r="E356" s="5"/>
      <c r="F356" s="5"/>
      <c r="G356" s="9" t="s">
        <v>886</v>
      </c>
      <c r="H356" s="5" t="n">
        <f aca="false">(COUNTIF(J356:EC356,"=0")+COUNTIF(J356:EC356,"=1"))</f>
        <v>10</v>
      </c>
      <c r="I356" s="12" t="n">
        <f aca="false">IFERROR(ROUND(10-AVERAGE(J356:EC356)*10,0),0)</f>
        <v>7</v>
      </c>
      <c r="J356" s="11" t="n">
        <v>0</v>
      </c>
      <c r="K356" s="11" t="n">
        <v>1</v>
      </c>
      <c r="L356" s="11" t="n">
        <v>0</v>
      </c>
      <c r="M356" s="5"/>
      <c r="N356" s="5"/>
      <c r="O356" s="11" t="n">
        <v>0</v>
      </c>
      <c r="P356" s="11" t="n">
        <v>0</v>
      </c>
      <c r="Q356" s="11" t="n">
        <v>0</v>
      </c>
      <c r="R356" s="5"/>
      <c r="S356" s="11" t="n">
        <v>1</v>
      </c>
      <c r="T356" s="11" t="n">
        <v>1</v>
      </c>
      <c r="U356" s="11" t="n">
        <v>0</v>
      </c>
      <c r="V356" s="5"/>
      <c r="W356" s="5" t="n">
        <v>0</v>
      </c>
      <c r="X356" s="5"/>
      <c r="Y356" s="5"/>
      <c r="Z356" s="5"/>
      <c r="AA356" s="5"/>
      <c r="AB356" s="5"/>
    </row>
    <row r="357" customFormat="false" ht="15.75" hidden="false" customHeight="false" outlineLevel="0" collapsed="false">
      <c r="A357" s="5" t="s">
        <v>876</v>
      </c>
      <c r="B357" s="5" t="s">
        <v>876</v>
      </c>
      <c r="C357" s="5" t="s">
        <v>887</v>
      </c>
      <c r="D357" s="5"/>
      <c r="E357" s="5"/>
      <c r="F357" s="5"/>
      <c r="G357" s="9" t="s">
        <v>888</v>
      </c>
      <c r="H357" s="5" t="n">
        <f aca="false">(COUNTIF(J357:EC357,"=0")+COUNTIF(J357:EC357,"=1"))</f>
        <v>6</v>
      </c>
      <c r="I357" s="12" t="n">
        <f aca="false">IFERROR(ROUND(10-AVERAGE(J357:EC357)*10,0),0)</f>
        <v>8</v>
      </c>
      <c r="J357" s="5" t="n">
        <v>0</v>
      </c>
      <c r="K357" s="11" t="n">
        <v>1</v>
      </c>
      <c r="L357" s="5"/>
      <c r="M357" s="5"/>
      <c r="N357" s="5"/>
      <c r="O357" s="5"/>
      <c r="P357" s="11" t="n">
        <v>0</v>
      </c>
      <c r="Q357" s="5" t="n">
        <v>0</v>
      </c>
      <c r="R357" s="5"/>
      <c r="S357" s="5"/>
      <c r="T357" s="11" t="n">
        <v>0</v>
      </c>
      <c r="U357" s="5"/>
      <c r="V357" s="5"/>
      <c r="W357" s="5"/>
      <c r="X357" s="5"/>
      <c r="Y357" s="5"/>
      <c r="Z357" s="11" t="n">
        <v>0</v>
      </c>
      <c r="AA357" s="5"/>
      <c r="AB357" s="5"/>
    </row>
    <row r="358" customFormat="false" ht="15.75" hidden="false" customHeight="false" outlineLevel="0" collapsed="false">
      <c r="A358" s="5" t="s">
        <v>876</v>
      </c>
      <c r="B358" s="5" t="s">
        <v>876</v>
      </c>
      <c r="C358" s="5" t="s">
        <v>889</v>
      </c>
      <c r="D358" s="5"/>
      <c r="E358" s="5"/>
      <c r="F358" s="5"/>
      <c r="G358" s="9" t="s">
        <v>890</v>
      </c>
      <c r="H358" s="5" t="n">
        <f aca="false">(COUNTIF(J358:EC358,"=0")+COUNTIF(J358:EC358,"=1"))</f>
        <v>9</v>
      </c>
      <c r="I358" s="17" t="n">
        <f aca="false">IFERROR(ROUND(10-AVERAGE(J358:EC358)*10,0),0)</f>
        <v>9</v>
      </c>
      <c r="J358" s="11" t="n">
        <v>0</v>
      </c>
      <c r="K358" s="11" t="n">
        <v>1</v>
      </c>
      <c r="L358" s="11" t="n">
        <v>0</v>
      </c>
      <c r="M358" s="5"/>
      <c r="N358" s="5"/>
      <c r="O358" s="11" t="n">
        <v>0</v>
      </c>
      <c r="P358" s="11" t="n">
        <v>0</v>
      </c>
      <c r="Q358" s="11" t="n">
        <v>0</v>
      </c>
      <c r="R358" s="5"/>
      <c r="S358" s="11" t="n">
        <v>0</v>
      </c>
      <c r="T358" s="11" t="n">
        <v>0</v>
      </c>
      <c r="U358" s="11" t="n">
        <v>0</v>
      </c>
      <c r="V358" s="5"/>
      <c r="W358" s="5"/>
      <c r="X358" s="5"/>
      <c r="Y358" s="5"/>
      <c r="Z358" s="5"/>
      <c r="AA358" s="5"/>
      <c r="AB358" s="5"/>
    </row>
    <row r="359" customFormat="false" ht="15.75" hidden="false" customHeight="false" outlineLevel="0" collapsed="false">
      <c r="A359" s="5" t="s">
        <v>876</v>
      </c>
      <c r="B359" s="5" t="s">
        <v>876</v>
      </c>
      <c r="C359" s="5" t="s">
        <v>891</v>
      </c>
      <c r="D359" s="5"/>
      <c r="E359" s="5"/>
      <c r="F359" s="5"/>
      <c r="G359" s="5"/>
      <c r="H359" s="5" t="n">
        <f aca="false">(COUNTIF(J359:EC359,"=0")+COUNTIF(J359:EC359,"=1"))</f>
        <v>6</v>
      </c>
      <c r="I359" s="12" t="n">
        <f aca="false">IFERROR(ROUND(10-AVERAGE(J359:EC359)*10,0),0)</f>
        <v>8</v>
      </c>
      <c r="J359" s="11" t="n">
        <v>0</v>
      </c>
      <c r="K359" s="11" t="n">
        <v>1</v>
      </c>
      <c r="L359" s="5"/>
      <c r="M359" s="5"/>
      <c r="N359" s="5"/>
      <c r="O359" s="5"/>
      <c r="P359" s="11" t="n">
        <v>0</v>
      </c>
      <c r="Q359" s="11" t="n">
        <v>0</v>
      </c>
      <c r="R359" s="5"/>
      <c r="S359" s="5"/>
      <c r="T359" s="11" t="n">
        <v>0</v>
      </c>
      <c r="U359" s="11" t="n">
        <v>0</v>
      </c>
      <c r="V359" s="5"/>
      <c r="W359" s="5"/>
      <c r="X359" s="5"/>
      <c r="Y359" s="5"/>
      <c r="Z359" s="5"/>
      <c r="AA359" s="5"/>
      <c r="AB359" s="5"/>
    </row>
    <row r="360" customFormat="false" ht="15.75" hidden="false" customHeight="false" outlineLevel="0" collapsed="false">
      <c r="A360" s="5" t="s">
        <v>892</v>
      </c>
      <c r="B360" s="5" t="s">
        <v>892</v>
      </c>
      <c r="C360" s="5" t="s">
        <v>893</v>
      </c>
      <c r="D360" s="5"/>
      <c r="E360" s="5"/>
      <c r="F360" s="5"/>
      <c r="G360" s="5"/>
      <c r="H360" s="5" t="n">
        <f aca="false">(COUNTIF(J360:EC360,"=0")+COUNTIF(J360:EC360,"=1"))</f>
        <v>8</v>
      </c>
      <c r="I360" s="12" t="n">
        <f aca="false">IFERROR(ROUND(10-AVERAGE(J360:EC360)*10,0),0)</f>
        <v>8</v>
      </c>
      <c r="J360" s="11" t="n">
        <v>1</v>
      </c>
      <c r="K360" s="11" t="n">
        <v>0</v>
      </c>
      <c r="L360" s="5"/>
      <c r="M360" s="5"/>
      <c r="N360" s="5"/>
      <c r="O360" s="11" t="n">
        <v>1</v>
      </c>
      <c r="P360" s="11" t="n">
        <v>0</v>
      </c>
      <c r="Q360" s="11" t="n">
        <v>0</v>
      </c>
      <c r="R360" s="5"/>
      <c r="S360" s="11" t="n">
        <v>0</v>
      </c>
      <c r="T360" s="11" t="n">
        <v>0</v>
      </c>
      <c r="U360" s="11" t="n">
        <v>0</v>
      </c>
      <c r="V360" s="5"/>
      <c r="W360" s="5"/>
      <c r="X360" s="5"/>
      <c r="Y360" s="5"/>
      <c r="Z360" s="5"/>
      <c r="AA360" s="5"/>
      <c r="AB360" s="5"/>
    </row>
    <row r="361" customFormat="false" ht="15.75" hidden="false" customHeight="false" outlineLevel="0" collapsed="false">
      <c r="A361" s="5" t="s">
        <v>892</v>
      </c>
      <c r="B361" s="5" t="s">
        <v>892</v>
      </c>
      <c r="C361" s="5" t="s">
        <v>478</v>
      </c>
      <c r="D361" s="5"/>
      <c r="E361" s="5"/>
      <c r="F361" s="5"/>
      <c r="G361" s="5"/>
      <c r="H361" s="5" t="n">
        <f aca="false">(COUNTIF(J361:EC361,"=0")+COUNTIF(J361:EC361,"=1"))</f>
        <v>3</v>
      </c>
      <c r="I361" s="12" t="n">
        <f aca="false">IFERROR(ROUND(10-AVERAGE(J361:EC361)*10,0),0)</f>
        <v>0</v>
      </c>
      <c r="J361" s="11" t="n">
        <v>1</v>
      </c>
      <c r="K361" s="11" t="n">
        <v>1</v>
      </c>
      <c r="L361" s="5"/>
      <c r="M361" s="5"/>
      <c r="N361" s="5"/>
      <c r="O361" s="11"/>
      <c r="P361" s="11" t="n">
        <v>1</v>
      </c>
      <c r="Q361" s="11"/>
      <c r="R361" s="5"/>
      <c r="S361" s="11"/>
      <c r="T361" s="11"/>
      <c r="U361" s="11"/>
      <c r="V361" s="5"/>
      <c r="W361" s="5"/>
      <c r="X361" s="5"/>
      <c r="Y361" s="5"/>
      <c r="Z361" s="5"/>
      <c r="AA361" s="5"/>
      <c r="AB361" s="5"/>
    </row>
    <row r="362" customFormat="false" ht="15.75" hidden="false" customHeight="false" outlineLevel="0" collapsed="false">
      <c r="A362" s="5" t="s">
        <v>892</v>
      </c>
      <c r="B362" s="5" t="s">
        <v>892</v>
      </c>
      <c r="C362" s="5" t="s">
        <v>894</v>
      </c>
      <c r="D362" s="5"/>
      <c r="E362" s="5"/>
      <c r="F362" s="5"/>
      <c r="G362" s="14" t="s">
        <v>895</v>
      </c>
      <c r="H362" s="5" t="n">
        <f aca="false">(COUNTIF(J362:EC362,"=0")+COUNTIF(J362:EC362,"=1"))</f>
        <v>2</v>
      </c>
      <c r="I362" s="10" t="n">
        <f aca="false">IFERROR(ROUND(10-AVERAGE(J362:EC362)*10,0),0)</f>
        <v>10</v>
      </c>
      <c r="J362" s="11"/>
      <c r="K362" s="11"/>
      <c r="L362" s="5"/>
      <c r="M362" s="5"/>
      <c r="N362" s="5"/>
      <c r="O362" s="11"/>
      <c r="P362" s="11" t="n">
        <v>0</v>
      </c>
      <c r="Q362" s="11"/>
      <c r="R362" s="5"/>
      <c r="S362" s="11" t="n">
        <v>0</v>
      </c>
      <c r="T362" s="11"/>
      <c r="U362" s="11"/>
      <c r="V362" s="5"/>
      <c r="W362" s="5"/>
      <c r="X362" s="5"/>
      <c r="Y362" s="5"/>
      <c r="Z362" s="5"/>
      <c r="AA362" s="5"/>
      <c r="AB362" s="5"/>
    </row>
    <row r="363" customFormat="false" ht="15.75" hidden="false" customHeight="false" outlineLevel="0" collapsed="false">
      <c r="A363" s="5" t="s">
        <v>892</v>
      </c>
      <c r="B363" s="5" t="s">
        <v>892</v>
      </c>
      <c r="C363" s="5" t="s">
        <v>896</v>
      </c>
      <c r="D363" s="5"/>
      <c r="E363" s="5"/>
      <c r="F363" s="5"/>
      <c r="G363" s="14" t="s">
        <v>897</v>
      </c>
      <c r="H363" s="5" t="n">
        <f aca="false">(COUNTIF(J363:EC363,"=0")+COUNTIF(J363:EC363,"=1"))</f>
        <v>3</v>
      </c>
      <c r="I363" s="12" t="n">
        <f aca="false">IFERROR(ROUND(10-AVERAGE(J363:EC363)*10,0),0)</f>
        <v>3</v>
      </c>
      <c r="J363" s="11" t="n">
        <v>1</v>
      </c>
      <c r="K363" s="11" t="n">
        <v>0</v>
      </c>
      <c r="L363" s="5"/>
      <c r="M363" s="5"/>
      <c r="N363" s="5"/>
      <c r="O363" s="11"/>
      <c r="P363" s="11" t="n">
        <v>1</v>
      </c>
      <c r="Q363" s="11"/>
      <c r="R363" s="5"/>
      <c r="S363" s="11"/>
      <c r="T363" s="11"/>
      <c r="U363" s="11"/>
      <c r="V363" s="5"/>
      <c r="W363" s="5"/>
      <c r="X363" s="5"/>
      <c r="Y363" s="5"/>
      <c r="Z363" s="5"/>
      <c r="AA363" s="5"/>
      <c r="AB363" s="5"/>
    </row>
    <row r="364" customFormat="false" ht="15.75" hidden="false" customHeight="false" outlineLevel="0" collapsed="false">
      <c r="A364" s="5" t="s">
        <v>898</v>
      </c>
      <c r="D364" s="5"/>
      <c r="E364" s="5"/>
      <c r="F364" s="5"/>
      <c r="G364" s="5"/>
      <c r="H364" s="5" t="n">
        <f aca="false">(COUNTIF(J364:EC364,"=0")+COUNTIF(J364:EC364,"=1"))</f>
        <v>1</v>
      </c>
      <c r="I364" s="10" t="n">
        <f aca="false">IFERROR(ROUND(10-AVERAGE(J364:EC364)*10,0),0)</f>
        <v>10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11" t="n">
        <v>0</v>
      </c>
      <c r="V364" s="5"/>
      <c r="W364" s="5"/>
      <c r="X364" s="5"/>
      <c r="Y364" s="5"/>
      <c r="Z364" s="5"/>
      <c r="AA364" s="5"/>
      <c r="AB364" s="5"/>
    </row>
    <row r="365" customFormat="false" ht="15.75" hidden="false" customHeight="false" outlineLevel="0" collapsed="false">
      <c r="A365" s="5" t="s">
        <v>899</v>
      </c>
      <c r="D365" s="5"/>
      <c r="E365" s="5"/>
      <c r="F365" s="5"/>
      <c r="G365" s="5"/>
      <c r="H365" s="5" t="n">
        <f aca="false">(COUNTIF(J365:EC365,"=0")+COUNTIF(J365:EC365,"=1"))</f>
        <v>1</v>
      </c>
      <c r="I365" s="10" t="n">
        <f aca="false">IFERROR(ROUND(10-AVERAGE(J365:EC365)*10,0),0)</f>
        <v>10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11" t="n">
        <v>0</v>
      </c>
      <c r="V365" s="5"/>
      <c r="W365" s="5"/>
      <c r="X365" s="5"/>
      <c r="Y365" s="5"/>
      <c r="Z365" s="5"/>
      <c r="AA365" s="5"/>
      <c r="AB365" s="5"/>
    </row>
    <row r="366" customFormat="false" ht="15.75" hidden="false" customHeight="false" outlineLevel="0" collapsed="false">
      <c r="A366" s="5" t="s">
        <v>900</v>
      </c>
      <c r="B366" s="5" t="s">
        <v>901</v>
      </c>
      <c r="C366" s="5" t="s">
        <v>902</v>
      </c>
      <c r="D366" s="5" t="s">
        <v>903</v>
      </c>
      <c r="E366" s="5"/>
      <c r="F366" s="5"/>
      <c r="G366" s="14" t="s">
        <v>904</v>
      </c>
      <c r="H366" s="5" t="n">
        <f aca="false">(COUNTIF(J366:EC366,"=0")+COUNTIF(J366:EC366,"=1"))</f>
        <v>1</v>
      </c>
      <c r="I366" s="15" t="n">
        <f aca="false">IFERROR(ROUND(10-AVERAGE(J366:EC366)*10,0),0)</f>
        <v>0</v>
      </c>
      <c r="J366" s="5"/>
      <c r="K366" s="5"/>
      <c r="L366" s="5"/>
      <c r="M366" s="5"/>
      <c r="N366" s="5"/>
      <c r="O366" s="5"/>
      <c r="P366" s="5" t="n">
        <v>1</v>
      </c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customFormat="false" ht="15.75" hidden="false" customHeight="false" outlineLevel="0" collapsed="false">
      <c r="A367" s="5" t="s">
        <v>905</v>
      </c>
      <c r="B367" s="5" t="s">
        <v>906</v>
      </c>
      <c r="C367" s="5" t="s">
        <v>907</v>
      </c>
      <c r="D367" s="5"/>
      <c r="E367" s="5"/>
      <c r="F367" s="5"/>
      <c r="G367" s="14" t="s">
        <v>908</v>
      </c>
      <c r="H367" s="5" t="n">
        <f aca="false">(COUNTIF(J367:EC367,"=0")+COUNTIF(J367:EC367,"=1"))</f>
        <v>1</v>
      </c>
      <c r="I367" s="10" t="n">
        <f aca="false">IFERROR(ROUND(10-AVERAGE(J367:EC367)*10,0),0)</f>
        <v>0</v>
      </c>
      <c r="J367" s="11"/>
      <c r="K367" s="11"/>
      <c r="L367" s="5"/>
      <c r="M367" s="5"/>
      <c r="N367" s="5"/>
      <c r="O367" s="11"/>
      <c r="P367" s="11" t="n">
        <v>1</v>
      </c>
      <c r="Q367" s="11"/>
      <c r="R367" s="5"/>
      <c r="S367" s="11"/>
      <c r="T367" s="11"/>
      <c r="U367" s="11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</row>
    <row r="368" customFormat="false" ht="15.75" hidden="false" customHeight="false" outlineLevel="0" collapsed="false">
      <c r="A368" s="5" t="s">
        <v>905</v>
      </c>
      <c r="B368" s="5" t="s">
        <v>909</v>
      </c>
      <c r="C368" s="5"/>
      <c r="D368" s="5"/>
      <c r="E368" s="5"/>
      <c r="F368" s="5"/>
      <c r="G368" s="5"/>
      <c r="H368" s="11" t="n">
        <f aca="false">(COUNTIF(J368:EJ368,"=0")+COUNTIF(J368:EJ368,"=1"))</f>
        <v>8</v>
      </c>
      <c r="I368" s="12" t="n">
        <f aca="false">IFERROR(ROUND(10-AVERAGE(J368:EC368)*10,0),0)</f>
        <v>6</v>
      </c>
      <c r="J368" s="11" t="n">
        <v>1</v>
      </c>
      <c r="K368" s="11" t="n">
        <v>0</v>
      </c>
      <c r="L368" s="5"/>
      <c r="M368" s="5"/>
      <c r="N368" s="5"/>
      <c r="O368" s="11" t="n">
        <v>1</v>
      </c>
      <c r="P368" s="11" t="n">
        <v>0</v>
      </c>
      <c r="Q368" s="11" t="n">
        <v>0</v>
      </c>
      <c r="R368" s="5"/>
      <c r="S368" s="11" t="n">
        <v>0</v>
      </c>
      <c r="T368" s="11" t="n">
        <v>0</v>
      </c>
      <c r="U368" s="11" t="n">
        <v>1</v>
      </c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</row>
    <row r="369" customFormat="false" ht="15.75" hidden="false" customHeight="false" outlineLevel="0" collapsed="false">
      <c r="A369" s="5" t="s">
        <v>910</v>
      </c>
      <c r="D369" s="5"/>
      <c r="E369" s="5"/>
      <c r="F369" s="5"/>
      <c r="G369" s="5"/>
      <c r="H369" s="5" t="n">
        <f aca="false">(COUNTIF(J369:EC369,"=0")+COUNTIF(J369:EC369,"=1"))</f>
        <v>0</v>
      </c>
      <c r="I369" s="10" t="n">
        <f aca="false">IFERROR(ROUND(10-AVERAGE(J369:EC369)*10,0),0)</f>
        <v>0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customFormat="false" ht="15.75" hidden="false" customHeight="false" outlineLevel="0" collapsed="false">
      <c r="A370" s="5" t="s">
        <v>911</v>
      </c>
      <c r="B370" s="5" t="s">
        <v>911</v>
      </c>
      <c r="D370" s="5"/>
      <c r="E370" s="5"/>
      <c r="F370" s="5"/>
      <c r="G370" s="5"/>
      <c r="H370" s="5" t="n">
        <f aca="false">(COUNTIF(J370:EC370,"=0")+COUNTIF(J370:EC370,"=1"))</f>
        <v>0</v>
      </c>
      <c r="I370" s="15" t="n">
        <f aca="false">IFERROR(ROUND(10-AVERAGE(J370:EC370)*10,0),0)</f>
        <v>0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customFormat="false" ht="15.75" hidden="false" customHeight="false" outlineLevel="0" collapsed="false">
      <c r="A371" s="5" t="s">
        <v>912</v>
      </c>
      <c r="B371" s="5" t="s">
        <v>912</v>
      </c>
      <c r="C371" s="5" t="s">
        <v>913</v>
      </c>
      <c r="D371" s="5"/>
      <c r="E371" s="5"/>
      <c r="F371" s="5"/>
      <c r="G371" s="9" t="s">
        <v>914</v>
      </c>
      <c r="H371" s="5" t="n">
        <f aca="false">(COUNTIF(J371:EC371,"=0")+COUNTIF(J371:EC371,"=1"))</f>
        <v>6</v>
      </c>
      <c r="I371" s="12" t="n">
        <f aca="false">IFERROR(ROUND(10-AVERAGE(J371:EC371)*10,0),0)</f>
        <v>7</v>
      </c>
      <c r="J371" s="11" t="n">
        <v>0</v>
      </c>
      <c r="K371" s="11" t="n">
        <v>0</v>
      </c>
      <c r="L371" s="5" t="n">
        <v>1</v>
      </c>
      <c r="M371" s="5"/>
      <c r="N371" s="5"/>
      <c r="O371" s="5"/>
      <c r="P371" s="11" t="n">
        <v>1</v>
      </c>
      <c r="Q371" s="5"/>
      <c r="R371" s="5"/>
      <c r="S371" s="5"/>
      <c r="T371" s="11" t="n">
        <v>0</v>
      </c>
      <c r="U371" s="5"/>
      <c r="V371" s="5"/>
      <c r="W371" s="5"/>
      <c r="X371" s="5"/>
      <c r="Y371" s="5"/>
      <c r="Z371" s="11" t="n">
        <v>0</v>
      </c>
      <c r="AA371" s="5"/>
      <c r="AB371" s="5"/>
    </row>
    <row r="372" customFormat="false" ht="15.75" hidden="false" customHeight="false" outlineLevel="0" collapsed="false">
      <c r="A372" s="5" t="s">
        <v>912</v>
      </c>
      <c r="B372" s="5" t="s">
        <v>912</v>
      </c>
      <c r="C372" s="5" t="s">
        <v>915</v>
      </c>
      <c r="D372" s="5"/>
      <c r="E372" s="5"/>
      <c r="F372" s="5"/>
      <c r="G372" s="9" t="s">
        <v>916</v>
      </c>
      <c r="H372" s="5" t="n">
        <f aca="false">(COUNTIF(J372:EC372,"=0")+COUNTIF(J372:EC372,"=1"))</f>
        <v>6</v>
      </c>
      <c r="I372" s="12" t="n">
        <f aca="false">IFERROR(ROUND(10-AVERAGE(J372:EC372)*10,0),0)</f>
        <v>8</v>
      </c>
      <c r="J372" s="11" t="n">
        <v>0</v>
      </c>
      <c r="K372" s="11" t="n">
        <v>0</v>
      </c>
      <c r="L372" s="5"/>
      <c r="M372" s="5"/>
      <c r="N372" s="5"/>
      <c r="O372" s="5"/>
      <c r="P372" s="11" t="n">
        <v>1</v>
      </c>
      <c r="Q372" s="5"/>
      <c r="R372" s="5"/>
      <c r="S372" s="5"/>
      <c r="T372" s="11" t="n">
        <v>0</v>
      </c>
      <c r="U372" s="5"/>
      <c r="V372" s="5"/>
      <c r="W372" s="5" t="n">
        <v>0</v>
      </c>
      <c r="X372" s="5"/>
      <c r="Y372" s="5"/>
      <c r="Z372" s="11" t="n">
        <v>0</v>
      </c>
      <c r="AA372" s="5"/>
      <c r="AB372" s="5"/>
    </row>
    <row r="373" customFormat="false" ht="15.75" hidden="false" customHeight="false" outlineLevel="0" collapsed="false">
      <c r="A373" s="5" t="s">
        <v>912</v>
      </c>
      <c r="B373" s="5" t="s">
        <v>912</v>
      </c>
      <c r="C373" s="5" t="s">
        <v>917</v>
      </c>
      <c r="D373" s="5"/>
      <c r="E373" s="5"/>
      <c r="F373" s="5"/>
      <c r="G373" s="9" t="s">
        <v>918</v>
      </c>
      <c r="H373" s="5" t="n">
        <f aca="false">(COUNTIF(J373:EC373,"=0")+COUNTIF(J373:EC373,"=1"))</f>
        <v>6</v>
      </c>
      <c r="I373" s="12" t="n">
        <f aca="false">IFERROR(ROUND(10-AVERAGE(J373:EC373)*10,0),0)</f>
        <v>8</v>
      </c>
      <c r="J373" s="11" t="n">
        <v>0</v>
      </c>
      <c r="K373" s="11" t="n">
        <v>0</v>
      </c>
      <c r="L373" s="5"/>
      <c r="M373" s="5"/>
      <c r="N373" s="5"/>
      <c r="O373" s="5"/>
      <c r="P373" s="11" t="n">
        <v>1</v>
      </c>
      <c r="Q373" s="5" t="n">
        <v>0</v>
      </c>
      <c r="R373" s="5"/>
      <c r="S373" s="5"/>
      <c r="T373" s="11" t="n">
        <v>0</v>
      </c>
      <c r="U373" s="5"/>
      <c r="V373" s="5"/>
      <c r="W373" s="5"/>
      <c r="X373" s="5"/>
      <c r="Y373" s="5"/>
      <c r="Z373" s="11" t="n">
        <v>0</v>
      </c>
      <c r="AA373" s="5"/>
      <c r="AB373" s="5"/>
    </row>
    <row r="374" customFormat="false" ht="15.75" hidden="false" customHeight="false" outlineLevel="0" collapsed="false">
      <c r="A374" s="5" t="s">
        <v>912</v>
      </c>
      <c r="B374" s="5" t="s">
        <v>912</v>
      </c>
      <c r="C374" s="5" t="s">
        <v>919</v>
      </c>
      <c r="D374" s="5"/>
      <c r="E374" s="5"/>
      <c r="F374" s="5"/>
      <c r="G374" s="9" t="s">
        <v>920</v>
      </c>
      <c r="H374" s="5" t="n">
        <f aca="false">(COUNTIF(J374:EC374,"=0")+COUNTIF(J374:EC374,"=1"))</f>
        <v>5</v>
      </c>
      <c r="I374" s="12" t="n">
        <f aca="false">IFERROR(ROUND(10-AVERAGE(J374:EC374)*10,0),0)</f>
        <v>8</v>
      </c>
      <c r="J374" s="11" t="n">
        <v>0</v>
      </c>
      <c r="K374" s="11" t="n">
        <v>0</v>
      </c>
      <c r="L374" s="5"/>
      <c r="M374" s="5"/>
      <c r="N374" s="5"/>
      <c r="O374" s="5"/>
      <c r="P374" s="11" t="n">
        <v>1</v>
      </c>
      <c r="Q374" s="5"/>
      <c r="R374" s="5"/>
      <c r="S374" s="5"/>
      <c r="T374" s="11" t="n">
        <v>0</v>
      </c>
      <c r="U374" s="5"/>
      <c r="V374" s="5"/>
      <c r="W374" s="5"/>
      <c r="X374" s="5"/>
      <c r="Y374" s="5"/>
      <c r="Z374" s="11" t="n">
        <v>0</v>
      </c>
      <c r="AA374" s="5"/>
      <c r="AB374" s="5"/>
    </row>
    <row r="375" customFormat="false" ht="15.75" hidden="false" customHeight="false" outlineLevel="0" collapsed="false">
      <c r="A375" s="5" t="s">
        <v>912</v>
      </c>
      <c r="B375" s="5" t="s">
        <v>912</v>
      </c>
      <c r="C375" s="5" t="s">
        <v>921</v>
      </c>
      <c r="D375" s="5"/>
      <c r="E375" s="5"/>
      <c r="F375" s="5"/>
      <c r="G375" s="9" t="s">
        <v>922</v>
      </c>
      <c r="H375" s="5" t="n">
        <f aca="false">(COUNTIF(J375:EC375,"=0")+COUNTIF(J375:EC375,"=1"))</f>
        <v>5</v>
      </c>
      <c r="I375" s="12" t="n">
        <f aca="false">IFERROR(ROUND(10-AVERAGE(J375:EC375)*10,0),0)</f>
        <v>8</v>
      </c>
      <c r="J375" s="11" t="n">
        <v>0</v>
      </c>
      <c r="K375" s="11" t="n">
        <v>0</v>
      </c>
      <c r="L375" s="5"/>
      <c r="M375" s="5"/>
      <c r="N375" s="5"/>
      <c r="O375" s="5"/>
      <c r="P375" s="11" t="n">
        <v>1</v>
      </c>
      <c r="Q375" s="5"/>
      <c r="R375" s="5"/>
      <c r="S375" s="5"/>
      <c r="T375" s="11" t="n">
        <v>0</v>
      </c>
      <c r="U375" s="5"/>
      <c r="V375" s="5"/>
      <c r="W375" s="5"/>
      <c r="X375" s="5"/>
      <c r="Y375" s="5"/>
      <c r="Z375" s="11" t="n">
        <v>0</v>
      </c>
      <c r="AA375" s="5"/>
      <c r="AB375" s="5"/>
    </row>
    <row r="376" customFormat="false" ht="15.75" hidden="false" customHeight="false" outlineLevel="0" collapsed="false">
      <c r="A376" s="5" t="s">
        <v>912</v>
      </c>
      <c r="B376" s="5" t="s">
        <v>912</v>
      </c>
      <c r="C376" s="5" t="s">
        <v>923</v>
      </c>
      <c r="D376" s="5"/>
      <c r="E376" s="5"/>
      <c r="F376" s="5"/>
      <c r="G376" s="9" t="s">
        <v>924</v>
      </c>
      <c r="H376" s="5" t="n">
        <f aca="false">(COUNTIF(J376:EC376,"=0")+COUNTIF(J376:EC376,"=1"))</f>
        <v>5</v>
      </c>
      <c r="I376" s="12" t="n">
        <f aca="false">IFERROR(ROUND(10-AVERAGE(J376:EC376)*10,0),0)</f>
        <v>8</v>
      </c>
      <c r="J376" s="11" t="n">
        <v>0</v>
      </c>
      <c r="K376" s="11" t="n">
        <v>0</v>
      </c>
      <c r="L376" s="5"/>
      <c r="M376" s="5"/>
      <c r="N376" s="5"/>
      <c r="O376" s="5"/>
      <c r="P376" s="11" t="n">
        <v>1</v>
      </c>
      <c r="Q376" s="5"/>
      <c r="R376" s="5"/>
      <c r="S376" s="5"/>
      <c r="T376" s="11" t="n">
        <v>0</v>
      </c>
      <c r="U376" s="5"/>
      <c r="V376" s="5"/>
      <c r="W376" s="5"/>
      <c r="X376" s="5"/>
      <c r="Y376" s="5"/>
      <c r="Z376" s="11" t="n">
        <v>0</v>
      </c>
      <c r="AA376" s="5"/>
      <c r="AB376" s="5"/>
    </row>
    <row r="377" customFormat="false" ht="15.75" hidden="false" customHeight="false" outlineLevel="0" collapsed="false">
      <c r="A377" s="5" t="s">
        <v>912</v>
      </c>
      <c r="B377" s="5" t="s">
        <v>912</v>
      </c>
      <c r="C377" s="5" t="s">
        <v>925</v>
      </c>
      <c r="D377" s="5"/>
      <c r="E377" s="5"/>
      <c r="F377" s="5"/>
      <c r="G377" s="9" t="s">
        <v>926</v>
      </c>
      <c r="H377" s="5" t="n">
        <f aca="false">(COUNTIF(J377:EC377,"=0")+COUNTIF(J377:EC377,"=1"))</f>
        <v>8</v>
      </c>
      <c r="I377" s="12" t="n">
        <f aca="false">IFERROR(ROUND(10-AVERAGE(J377:EC377)*10,0),0)</f>
        <v>9</v>
      </c>
      <c r="J377" s="11" t="n">
        <v>0</v>
      </c>
      <c r="K377" s="11" t="n">
        <v>0</v>
      </c>
      <c r="L377" s="5"/>
      <c r="M377" s="5"/>
      <c r="N377" s="5"/>
      <c r="O377" s="5"/>
      <c r="P377" s="11" t="n">
        <v>1</v>
      </c>
      <c r="Q377" s="5" t="n">
        <v>0</v>
      </c>
      <c r="R377" s="5"/>
      <c r="S377" s="5"/>
      <c r="T377" s="11" t="n">
        <v>0</v>
      </c>
      <c r="U377" s="5"/>
      <c r="V377" s="5"/>
      <c r="W377" s="5" t="n">
        <v>0</v>
      </c>
      <c r="X377" s="5"/>
      <c r="Y377" s="5"/>
      <c r="Z377" s="11" t="n">
        <v>0</v>
      </c>
      <c r="AA377" s="5"/>
      <c r="AB377" s="5"/>
      <c r="AG377" s="5" t="n">
        <v>0</v>
      </c>
    </row>
    <row r="378" customFormat="false" ht="15.75" hidden="false" customHeight="false" outlineLevel="0" collapsed="false">
      <c r="A378" s="5" t="s">
        <v>927</v>
      </c>
      <c r="B378" s="5" t="s">
        <v>927</v>
      </c>
      <c r="C378" s="5"/>
      <c r="D378" s="5"/>
      <c r="E378" s="5"/>
      <c r="F378" s="5"/>
      <c r="G378" s="5"/>
      <c r="H378" s="5" t="n">
        <f aca="false">(COUNTIF(J378:EC378,"=0")+COUNTIF(J378:EC378,"=1"))</f>
        <v>0</v>
      </c>
      <c r="I378" s="12" t="n">
        <f aca="false">IFERROR(ROUND(10-AVERAGE(J378:EC378)*10,0),0)</f>
        <v>0</v>
      </c>
      <c r="J378" s="5"/>
      <c r="K378" s="11"/>
      <c r="L378" s="5"/>
      <c r="M378" s="5"/>
      <c r="N378" s="5"/>
      <c r="O378" s="5"/>
      <c r="P378" s="5"/>
      <c r="Q378" s="5"/>
      <c r="R378" s="5"/>
      <c r="S378" s="5"/>
      <c r="T378" s="11"/>
      <c r="U378" s="5"/>
      <c r="V378" s="5"/>
      <c r="W378" s="5"/>
      <c r="X378" s="5"/>
      <c r="Y378" s="5"/>
      <c r="Z378" s="5"/>
      <c r="AA378" s="5"/>
      <c r="AB378" s="5"/>
    </row>
    <row r="379" customFormat="false" ht="15.75" hidden="false" customHeight="false" outlineLevel="0" collapsed="false">
      <c r="A379" s="5" t="s">
        <v>928</v>
      </c>
      <c r="B379" s="5" t="s">
        <v>929</v>
      </c>
      <c r="C379" s="5" t="s">
        <v>930</v>
      </c>
      <c r="D379" s="5"/>
      <c r="E379" s="5"/>
      <c r="F379" s="5"/>
      <c r="G379" s="9" t="s">
        <v>931</v>
      </c>
      <c r="H379" s="5" t="n">
        <f aca="false">(COUNTIF(J379:EC379,"=0")+COUNTIF(J379:EC379,"=1"))</f>
        <v>5</v>
      </c>
      <c r="I379" s="12" t="n">
        <f aca="false">IFERROR(ROUND(10-AVERAGE(J379:EC379)*10,0),0)</f>
        <v>6</v>
      </c>
      <c r="J379" s="5" t="n">
        <v>0</v>
      </c>
      <c r="K379" s="11" t="n">
        <v>0</v>
      </c>
      <c r="L379" s="5"/>
      <c r="M379" s="5"/>
      <c r="N379" s="5"/>
      <c r="O379" s="5"/>
      <c r="P379" s="11" t="n">
        <v>1</v>
      </c>
      <c r="Q379" s="5"/>
      <c r="R379" s="5"/>
      <c r="S379" s="5"/>
      <c r="T379" s="11" t="n">
        <v>0</v>
      </c>
      <c r="U379" s="5"/>
      <c r="V379" s="5"/>
      <c r="W379" s="5"/>
      <c r="X379" s="5" t="n">
        <v>1</v>
      </c>
      <c r="Y379" s="5"/>
      <c r="Z379" s="5"/>
      <c r="AA379" s="5"/>
      <c r="AB379" s="5"/>
    </row>
    <row r="380" customFormat="false" ht="15.75" hidden="false" customHeight="false" outlineLevel="0" collapsed="false">
      <c r="A380" s="5" t="s">
        <v>928</v>
      </c>
      <c r="B380" s="5" t="s">
        <v>929</v>
      </c>
      <c r="C380" s="5" t="s">
        <v>932</v>
      </c>
      <c r="D380" s="5"/>
      <c r="E380" s="5"/>
      <c r="F380" s="5"/>
      <c r="G380" s="9" t="s">
        <v>933</v>
      </c>
      <c r="H380" s="5" t="n">
        <f aca="false">(COUNTIF(J380:EC380,"=0")+COUNTIF(J380:EC380,"=1"))</f>
        <v>6</v>
      </c>
      <c r="I380" s="12" t="n">
        <f aca="false">IFERROR(ROUND(10-AVERAGE(J380:EC380)*10,0),0)</f>
        <v>7</v>
      </c>
      <c r="J380" s="5" t="n">
        <v>0</v>
      </c>
      <c r="K380" s="11" t="n">
        <v>0</v>
      </c>
      <c r="L380" s="5"/>
      <c r="M380" s="5"/>
      <c r="N380" s="5"/>
      <c r="O380" s="5"/>
      <c r="P380" s="11" t="n">
        <v>1</v>
      </c>
      <c r="Q380" s="5"/>
      <c r="R380" s="5"/>
      <c r="S380" s="5" t="n">
        <v>0</v>
      </c>
      <c r="T380" s="11" t="n">
        <v>0</v>
      </c>
      <c r="U380" s="5"/>
      <c r="V380" s="5"/>
      <c r="W380" s="5"/>
      <c r="X380" s="5" t="n">
        <v>1</v>
      </c>
      <c r="Y380" s="5"/>
      <c r="Z380" s="5"/>
      <c r="AA380" s="5"/>
      <c r="AB380" s="5"/>
    </row>
    <row r="381" customFormat="false" ht="15.75" hidden="false" customHeight="false" outlineLevel="0" collapsed="false">
      <c r="A381" s="5" t="s">
        <v>928</v>
      </c>
      <c r="B381" s="5" t="s">
        <v>929</v>
      </c>
      <c r="C381" s="5" t="s">
        <v>934</v>
      </c>
      <c r="D381" s="5"/>
      <c r="E381" s="5"/>
      <c r="F381" s="5"/>
      <c r="G381" s="9" t="s">
        <v>935</v>
      </c>
      <c r="H381" s="5" t="n">
        <f aca="false">(COUNTIF(J381:EC381,"=0")+COUNTIF(J381:EC381,"=1"))</f>
        <v>7</v>
      </c>
      <c r="I381" s="12" t="n">
        <f aca="false">IFERROR(ROUND(10-AVERAGE(J381:EC381)*10,0),0)</f>
        <v>7</v>
      </c>
      <c r="J381" s="11" t="n">
        <v>0</v>
      </c>
      <c r="K381" s="11" t="n">
        <v>0</v>
      </c>
      <c r="L381" s="5"/>
      <c r="M381" s="5"/>
      <c r="N381" s="5"/>
      <c r="O381" s="5"/>
      <c r="P381" s="11" t="n">
        <v>1</v>
      </c>
      <c r="Q381" s="5"/>
      <c r="R381" s="5"/>
      <c r="S381" s="5"/>
      <c r="T381" s="11" t="n">
        <v>0</v>
      </c>
      <c r="U381" s="5"/>
      <c r="V381" s="5"/>
      <c r="W381" s="5"/>
      <c r="X381" s="11" t="n">
        <v>1</v>
      </c>
      <c r="Y381" s="5"/>
      <c r="Z381" s="5"/>
      <c r="AA381" s="11" t="n">
        <v>0</v>
      </c>
      <c r="AB381" s="5"/>
      <c r="AF381" s="5" t="n">
        <v>0</v>
      </c>
    </row>
    <row r="382" customFormat="false" ht="15.75" hidden="false" customHeight="false" outlineLevel="0" collapsed="false">
      <c r="A382" s="5" t="s">
        <v>928</v>
      </c>
      <c r="B382" s="5" t="s">
        <v>936</v>
      </c>
      <c r="C382" s="5" t="s">
        <v>937</v>
      </c>
      <c r="D382" s="5" t="s">
        <v>938</v>
      </c>
      <c r="E382" s="14" t="s">
        <v>939</v>
      </c>
      <c r="F382" s="5"/>
      <c r="G382" s="14" t="s">
        <v>940</v>
      </c>
      <c r="H382" s="5" t="n">
        <f aca="false">(COUNTIF(J382:EC382,"=0")+COUNTIF(J382:EC382,"=1"))</f>
        <v>1</v>
      </c>
      <c r="I382" s="15" t="n">
        <f aca="false">IFERROR(ROUND(10-AVERAGE(J382:EC382)*10,0),0)</f>
        <v>0</v>
      </c>
      <c r="J382" s="5"/>
      <c r="K382" s="5"/>
      <c r="L382" s="5"/>
      <c r="M382" s="5"/>
      <c r="N382" s="5"/>
      <c r="O382" s="5"/>
      <c r="P382" s="5" t="n">
        <v>1</v>
      </c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customFormat="false" ht="15.75" hidden="false" customHeight="false" outlineLevel="0" collapsed="false">
      <c r="A383" s="5" t="s">
        <v>941</v>
      </c>
      <c r="B383" s="5" t="s">
        <v>941</v>
      </c>
      <c r="C383" s="5" t="s">
        <v>942</v>
      </c>
      <c r="D383" s="5"/>
      <c r="E383" s="5"/>
      <c r="F383" s="5"/>
      <c r="G383" s="9" t="s">
        <v>943</v>
      </c>
      <c r="H383" s="5" t="n">
        <f aca="false">(COUNTIF(J383:EC383,"=0")+COUNTIF(J383:EC383,"=1"))</f>
        <v>11</v>
      </c>
      <c r="I383" s="12" t="n">
        <f aca="false">IFERROR(ROUND(10-AVERAGE(J383:EC383)*10,0),0)</f>
        <v>3</v>
      </c>
      <c r="J383" s="11" t="n">
        <v>1</v>
      </c>
      <c r="K383" s="11" t="n">
        <v>1</v>
      </c>
      <c r="L383" s="11" t="n">
        <v>0</v>
      </c>
      <c r="M383" s="5"/>
      <c r="N383" s="5"/>
      <c r="O383" s="11" t="n">
        <v>1</v>
      </c>
      <c r="P383" s="11" t="n">
        <v>1</v>
      </c>
      <c r="Q383" s="11" t="n">
        <v>1</v>
      </c>
      <c r="R383" s="11" t="n">
        <v>1</v>
      </c>
      <c r="S383" s="11" t="n">
        <v>0</v>
      </c>
      <c r="T383" s="11" t="n">
        <v>1</v>
      </c>
      <c r="U383" s="11" t="n">
        <v>0</v>
      </c>
      <c r="V383" s="5"/>
      <c r="W383" s="5"/>
      <c r="X383" s="5"/>
      <c r="Y383" s="5"/>
      <c r="Z383" s="5"/>
      <c r="AA383" s="5"/>
      <c r="AB383" s="5"/>
      <c r="AF383" s="5" t="n">
        <v>1</v>
      </c>
    </row>
    <row r="384" customFormat="false" ht="15.75" hidden="false" customHeight="false" outlineLevel="0" collapsed="false">
      <c r="A384" s="5" t="s">
        <v>941</v>
      </c>
      <c r="B384" s="5" t="s">
        <v>941</v>
      </c>
      <c r="C384" s="5" t="s">
        <v>944</v>
      </c>
      <c r="D384" s="5"/>
      <c r="E384" s="5"/>
      <c r="F384" s="5"/>
      <c r="G384" s="9" t="s">
        <v>945</v>
      </c>
      <c r="H384" s="5" t="n">
        <f aca="false">(COUNTIF(J384:EC384,"=0")+COUNTIF(J384:EC384,"=1"))</f>
        <v>8</v>
      </c>
      <c r="I384" s="23" t="n">
        <f aca="false">IFERROR(ROUND(10-AVERAGE(J384:EC384)*10,0),0)</f>
        <v>4</v>
      </c>
      <c r="J384" s="11" t="n">
        <v>1</v>
      </c>
      <c r="K384" s="11" t="n">
        <v>1</v>
      </c>
      <c r="L384" s="5"/>
      <c r="M384" s="5"/>
      <c r="N384" s="5"/>
      <c r="O384" s="11" t="n">
        <v>0</v>
      </c>
      <c r="P384" s="11" t="n">
        <v>1</v>
      </c>
      <c r="Q384" s="11" t="n">
        <v>1</v>
      </c>
      <c r="R384" s="5"/>
      <c r="S384" s="11" t="n">
        <v>0</v>
      </c>
      <c r="T384" s="11" t="n">
        <v>1</v>
      </c>
      <c r="U384" s="11" t="n">
        <v>0</v>
      </c>
      <c r="V384" s="5"/>
      <c r="W384" s="5"/>
      <c r="X384" s="5"/>
      <c r="Y384" s="5"/>
      <c r="Z384" s="5"/>
      <c r="AA384" s="5"/>
      <c r="AB384" s="5"/>
    </row>
    <row r="385" customFormat="false" ht="15.75" hidden="false" customHeight="false" outlineLevel="0" collapsed="false">
      <c r="A385" s="5" t="s">
        <v>941</v>
      </c>
      <c r="B385" s="5" t="s">
        <v>941</v>
      </c>
      <c r="C385" s="5" t="s">
        <v>946</v>
      </c>
      <c r="D385" s="5"/>
      <c r="E385" s="5"/>
      <c r="F385" s="5"/>
      <c r="G385" s="9" t="s">
        <v>947</v>
      </c>
      <c r="H385" s="5" t="n">
        <f aca="false">(COUNTIF(J385:EC385,"=0")+COUNTIF(J385:EC385,"=1"))</f>
        <v>8</v>
      </c>
      <c r="I385" s="23" t="n">
        <f aca="false">IFERROR(ROUND(10-AVERAGE(J385:EC385)*10,0),0)</f>
        <v>4</v>
      </c>
      <c r="J385" s="11" t="n">
        <v>1</v>
      </c>
      <c r="K385" s="11" t="n">
        <v>1</v>
      </c>
      <c r="L385" s="5"/>
      <c r="M385" s="5"/>
      <c r="N385" s="5"/>
      <c r="O385" s="11" t="n">
        <v>0</v>
      </c>
      <c r="P385" s="11" t="n">
        <v>1</v>
      </c>
      <c r="Q385" s="11" t="n">
        <v>1</v>
      </c>
      <c r="R385" s="5"/>
      <c r="S385" s="11" t="n">
        <v>0</v>
      </c>
      <c r="T385" s="11" t="n">
        <v>1</v>
      </c>
      <c r="U385" s="11" t="n">
        <v>0</v>
      </c>
      <c r="V385" s="5"/>
      <c r="W385" s="5"/>
      <c r="X385" s="5"/>
      <c r="Y385" s="5"/>
      <c r="Z385" s="5"/>
      <c r="AA385" s="5"/>
      <c r="AB385" s="5"/>
    </row>
    <row r="386" customFormat="false" ht="15.75" hidden="false" customHeight="false" outlineLevel="0" collapsed="false">
      <c r="A386" s="5" t="s">
        <v>941</v>
      </c>
      <c r="B386" s="5" t="s">
        <v>941</v>
      </c>
      <c r="C386" s="5" t="s">
        <v>948</v>
      </c>
      <c r="D386" s="5"/>
      <c r="E386" s="5"/>
      <c r="F386" s="5"/>
      <c r="G386" s="9" t="s">
        <v>949</v>
      </c>
      <c r="H386" s="5" t="n">
        <f aca="false">(COUNTIF(J386:EC386,"=0")+COUNTIF(J386:EC386,"=1"))</f>
        <v>9</v>
      </c>
      <c r="I386" s="23" t="n">
        <f aca="false">IFERROR(ROUND(10-AVERAGE(J386:EC386)*10,0),0)</f>
        <v>4</v>
      </c>
      <c r="J386" s="11" t="n">
        <v>1</v>
      </c>
      <c r="K386" s="11" t="n">
        <v>1</v>
      </c>
      <c r="L386" s="5"/>
      <c r="M386" s="5"/>
      <c r="N386" s="5"/>
      <c r="O386" s="11" t="n">
        <v>0</v>
      </c>
      <c r="P386" s="11" t="n">
        <v>1</v>
      </c>
      <c r="Q386" s="11" t="n">
        <v>1</v>
      </c>
      <c r="R386" s="5"/>
      <c r="S386" s="11" t="n">
        <v>0</v>
      </c>
      <c r="T386" s="11" t="n">
        <v>1</v>
      </c>
      <c r="U386" s="11" t="n">
        <v>0</v>
      </c>
      <c r="V386" s="5"/>
      <c r="W386" s="5"/>
      <c r="X386" s="5"/>
      <c r="Y386" s="5"/>
      <c r="Z386" s="5"/>
      <c r="AA386" s="5"/>
      <c r="AB386" s="5"/>
      <c r="AF386" s="5" t="n">
        <v>0</v>
      </c>
    </row>
    <row r="387" customFormat="false" ht="15.75" hidden="false" customHeight="false" outlineLevel="0" collapsed="false">
      <c r="A387" s="5" t="s">
        <v>941</v>
      </c>
      <c r="B387" s="5" t="s">
        <v>950</v>
      </c>
      <c r="C387" s="5" t="s">
        <v>951</v>
      </c>
      <c r="D387" s="5"/>
      <c r="E387" s="5"/>
      <c r="F387" s="5"/>
      <c r="G387" s="9" t="s">
        <v>952</v>
      </c>
      <c r="H387" s="5" t="n">
        <f aca="false">(COUNTIF(J387:EC387,"=0")+COUNTIF(J387:EC387,"=1"))</f>
        <v>9</v>
      </c>
      <c r="I387" s="15" t="n">
        <f aca="false">IFERROR(ROUND(10-AVERAGE(J387:EC387)*10,0),0)</f>
        <v>7</v>
      </c>
      <c r="J387" s="11" t="n">
        <v>0</v>
      </c>
      <c r="K387" s="11" t="n">
        <v>1</v>
      </c>
      <c r="L387" s="5"/>
      <c r="M387" s="5"/>
      <c r="N387" s="5"/>
      <c r="O387" s="11" t="n">
        <v>0</v>
      </c>
      <c r="P387" s="11" t="n">
        <v>1</v>
      </c>
      <c r="Q387" s="11" t="n">
        <v>1</v>
      </c>
      <c r="R387" s="5"/>
      <c r="S387" s="11" t="n">
        <v>0</v>
      </c>
      <c r="T387" s="11" t="n">
        <v>0</v>
      </c>
      <c r="U387" s="11" t="n">
        <v>0</v>
      </c>
      <c r="V387" s="5"/>
      <c r="W387" s="5" t="n">
        <v>0</v>
      </c>
      <c r="X387" s="5"/>
      <c r="Y387" s="5"/>
      <c r="Z387" s="5"/>
      <c r="AA387" s="5"/>
      <c r="AB387" s="5"/>
    </row>
    <row r="388" customFormat="false" ht="15.75" hidden="false" customHeight="false" outlineLevel="0" collapsed="false">
      <c r="A388" s="5" t="s">
        <v>953</v>
      </c>
      <c r="B388" s="5" t="s">
        <v>954</v>
      </c>
      <c r="C388" s="5" t="s">
        <v>955</v>
      </c>
      <c r="D388" s="5"/>
      <c r="E388" s="5"/>
      <c r="F388" s="5"/>
      <c r="G388" s="5"/>
      <c r="H388" s="5" t="n">
        <f aca="false">(COUNTIF(J388:EC388,"=0")+COUNTIF(J388:EC388,"=1"))</f>
        <v>11</v>
      </c>
      <c r="I388" s="21" t="n">
        <f aca="false">IFERROR(ROUND(10-AVERAGE(J388:EC388)*10,0),0)</f>
        <v>4</v>
      </c>
      <c r="J388" s="11" t="n">
        <v>1</v>
      </c>
      <c r="K388" s="11" t="n">
        <v>0</v>
      </c>
      <c r="L388" s="11" t="n">
        <v>1</v>
      </c>
      <c r="M388" s="5"/>
      <c r="N388" s="5"/>
      <c r="O388" s="11" t="n">
        <v>1</v>
      </c>
      <c r="P388" s="11" t="n">
        <v>1</v>
      </c>
      <c r="Q388" s="11" t="n">
        <v>1</v>
      </c>
      <c r="R388" s="5"/>
      <c r="S388" s="11" t="n">
        <v>0</v>
      </c>
      <c r="T388" s="11" t="n">
        <v>0</v>
      </c>
      <c r="U388" s="11" t="n">
        <v>1</v>
      </c>
      <c r="V388" s="5"/>
      <c r="W388" s="5"/>
      <c r="X388" s="5"/>
      <c r="Y388" s="5"/>
      <c r="Z388" s="5"/>
      <c r="AA388" s="5"/>
      <c r="AB388" s="5"/>
      <c r="AD388" s="5" t="n">
        <v>1</v>
      </c>
      <c r="AF388" s="5" t="n">
        <v>0</v>
      </c>
    </row>
    <row r="389" customFormat="false" ht="15.75" hidden="false" customHeight="false" outlineLevel="0" collapsed="false">
      <c r="A389" s="5" t="s">
        <v>956</v>
      </c>
      <c r="B389" s="5" t="s">
        <v>956</v>
      </c>
      <c r="C389" s="5" t="s">
        <v>668</v>
      </c>
      <c r="D389" s="5"/>
      <c r="E389" s="5"/>
      <c r="F389" s="5"/>
      <c r="G389" s="9" t="s">
        <v>957</v>
      </c>
      <c r="H389" s="5" t="n">
        <f aca="false">(COUNTIF(J389:EC389,"=0")+COUNTIF(J389:EC389,"=1"))</f>
        <v>10</v>
      </c>
      <c r="I389" s="19" t="n">
        <f aca="false">IFERROR(ROUND(10-AVERAGE(J389:EC389)*10,0),0)</f>
        <v>5</v>
      </c>
      <c r="J389" s="11" t="n">
        <v>1</v>
      </c>
      <c r="K389" s="11" t="n">
        <v>0</v>
      </c>
      <c r="L389" s="5"/>
      <c r="M389" s="5"/>
      <c r="N389" s="5"/>
      <c r="O389" s="11" t="n">
        <v>1</v>
      </c>
      <c r="P389" s="11" t="n">
        <v>1</v>
      </c>
      <c r="Q389" s="11" t="n">
        <v>0</v>
      </c>
      <c r="R389" s="5"/>
      <c r="S389" s="11" t="n">
        <v>0</v>
      </c>
      <c r="T389" s="11" t="n">
        <v>0</v>
      </c>
      <c r="U389" s="11" t="n">
        <v>1</v>
      </c>
      <c r="V389" s="5"/>
      <c r="W389" s="5" t="n">
        <v>1</v>
      </c>
      <c r="X389" s="5"/>
      <c r="Y389" s="5"/>
      <c r="Z389" s="5"/>
      <c r="AA389" s="5"/>
      <c r="AB389" s="5"/>
      <c r="AF389" s="5" t="n">
        <v>0</v>
      </c>
    </row>
    <row r="390" customFormat="false" ht="15.75" hidden="false" customHeight="false" outlineLevel="0" collapsed="false">
      <c r="A390" s="5" t="s">
        <v>958</v>
      </c>
      <c r="B390" s="5" t="s">
        <v>959</v>
      </c>
      <c r="C390" s="5" t="s">
        <v>960</v>
      </c>
      <c r="D390" s="5" t="s">
        <v>961</v>
      </c>
      <c r="E390" s="5"/>
      <c r="F390" s="5"/>
      <c r="G390" s="14" t="s">
        <v>962</v>
      </c>
      <c r="H390" s="5" t="n">
        <f aca="false">(COUNTIF(J390:EC390,"=0")+COUNTIF(J390:EC390,"=1"))</f>
        <v>2</v>
      </c>
      <c r="I390" s="15" t="n">
        <f aca="false">IFERROR(ROUND(10-AVERAGE(J390:EC390)*10,0),0)</f>
        <v>5</v>
      </c>
      <c r="J390" s="5"/>
      <c r="K390" s="5"/>
      <c r="L390" s="5"/>
      <c r="M390" s="5"/>
      <c r="N390" s="5"/>
      <c r="O390" s="5"/>
      <c r="P390" s="5" t="n">
        <v>0</v>
      </c>
      <c r="Q390" s="5"/>
      <c r="R390" s="5"/>
      <c r="S390" s="5" t="n">
        <v>1</v>
      </c>
      <c r="T390" s="5"/>
      <c r="U390" s="5"/>
      <c r="V390" s="5"/>
      <c r="W390" s="5"/>
      <c r="X390" s="5"/>
      <c r="Y390" s="5"/>
      <c r="Z390" s="5"/>
      <c r="AA390" s="5"/>
      <c r="AB390" s="5"/>
    </row>
    <row r="391" customFormat="false" ht="15.75" hidden="false" customHeight="false" outlineLevel="0" collapsed="false">
      <c r="A391" s="5" t="s">
        <v>958</v>
      </c>
      <c r="B391" s="5" t="s">
        <v>959</v>
      </c>
      <c r="C391" s="5" t="s">
        <v>963</v>
      </c>
      <c r="D391" s="5" t="s">
        <v>961</v>
      </c>
      <c r="E391" s="5"/>
      <c r="F391" s="5"/>
      <c r="G391" s="14" t="s">
        <v>964</v>
      </c>
      <c r="H391" s="5" t="n">
        <f aca="false">(COUNTIF(J391:EC391,"=0")+COUNTIF(J391:EC391,"=1"))</f>
        <v>2</v>
      </c>
      <c r="I391" s="15" t="n">
        <f aca="false">IFERROR(ROUND(10-AVERAGE(J391:EC391)*10,0),0)</f>
        <v>5</v>
      </c>
      <c r="J391" s="5"/>
      <c r="K391" s="5"/>
      <c r="L391" s="5"/>
      <c r="M391" s="5"/>
      <c r="N391" s="5"/>
      <c r="O391" s="5"/>
      <c r="P391" s="5" t="n">
        <v>0</v>
      </c>
      <c r="Q391" s="5"/>
      <c r="R391" s="5"/>
      <c r="S391" s="5" t="n">
        <v>1</v>
      </c>
      <c r="T391" s="5"/>
      <c r="U391" s="5"/>
      <c r="V391" s="5"/>
      <c r="W391" s="5"/>
      <c r="X391" s="5"/>
      <c r="Y391" s="5"/>
      <c r="Z391" s="5"/>
      <c r="AA391" s="5"/>
      <c r="AB391" s="5"/>
    </row>
    <row r="392" customFormat="false" ht="15.75" hidden="false" customHeight="false" outlineLevel="0" collapsed="false">
      <c r="A392" s="5" t="s">
        <v>958</v>
      </c>
      <c r="B392" s="5" t="s">
        <v>959</v>
      </c>
      <c r="C392" s="5" t="s">
        <v>965</v>
      </c>
      <c r="D392" s="5" t="s">
        <v>961</v>
      </c>
      <c r="E392" s="5"/>
      <c r="F392" s="5"/>
      <c r="G392" s="14" t="s">
        <v>966</v>
      </c>
      <c r="H392" s="5" t="n">
        <f aca="false">(COUNTIF(J392:EC392,"=0")+COUNTIF(J392:EC392,"=1"))</f>
        <v>2</v>
      </c>
      <c r="I392" s="15" t="n">
        <f aca="false">IFERROR(ROUND(10-AVERAGE(J392:EC392)*10,0),0)</f>
        <v>5</v>
      </c>
      <c r="J392" s="5"/>
      <c r="K392" s="5"/>
      <c r="L392" s="5"/>
      <c r="M392" s="5"/>
      <c r="N392" s="5"/>
      <c r="O392" s="5"/>
      <c r="P392" s="5" t="n">
        <v>0</v>
      </c>
      <c r="Q392" s="5"/>
      <c r="R392" s="5"/>
      <c r="S392" s="5" t="n">
        <v>1</v>
      </c>
      <c r="T392" s="5"/>
      <c r="U392" s="5"/>
      <c r="V392" s="5"/>
      <c r="W392" s="5"/>
      <c r="X392" s="5"/>
      <c r="Y392" s="5"/>
      <c r="Z392" s="5"/>
      <c r="AA392" s="5"/>
      <c r="AB392" s="5"/>
    </row>
    <row r="393" customFormat="false" ht="15.75" hidden="false" customHeight="false" outlineLevel="0" collapsed="false">
      <c r="A393" s="5" t="s">
        <v>958</v>
      </c>
      <c r="B393" s="5" t="s">
        <v>959</v>
      </c>
      <c r="C393" s="5" t="s">
        <v>967</v>
      </c>
      <c r="D393" s="5" t="s">
        <v>961</v>
      </c>
      <c r="E393" s="5"/>
      <c r="F393" s="5"/>
      <c r="G393" s="14" t="s">
        <v>968</v>
      </c>
      <c r="H393" s="5" t="n">
        <f aca="false">(COUNTIF(J393:EC393,"=0")+COUNTIF(J393:EC393,"=1"))</f>
        <v>2</v>
      </c>
      <c r="I393" s="15" t="n">
        <f aca="false">IFERROR(ROUND(10-AVERAGE(J393:EC393)*10,0),0)</f>
        <v>5</v>
      </c>
      <c r="J393" s="5"/>
      <c r="K393" s="5"/>
      <c r="L393" s="5"/>
      <c r="M393" s="5"/>
      <c r="N393" s="5"/>
      <c r="O393" s="5"/>
      <c r="P393" s="5" t="n">
        <v>0</v>
      </c>
      <c r="Q393" s="5"/>
      <c r="R393" s="5"/>
      <c r="S393" s="5" t="n">
        <v>1</v>
      </c>
      <c r="T393" s="5"/>
      <c r="U393" s="5"/>
      <c r="V393" s="5"/>
      <c r="W393" s="5"/>
      <c r="X393" s="5"/>
      <c r="Y393" s="5"/>
      <c r="Z393" s="5"/>
      <c r="AA393" s="5"/>
      <c r="AB393" s="5"/>
    </row>
    <row r="394" customFormat="false" ht="15.75" hidden="false" customHeight="false" outlineLevel="0" collapsed="false">
      <c r="A394" s="5" t="s">
        <v>958</v>
      </c>
      <c r="B394" s="5" t="s">
        <v>959</v>
      </c>
      <c r="C394" s="5" t="s">
        <v>969</v>
      </c>
      <c r="D394" s="5" t="s">
        <v>961</v>
      </c>
      <c r="E394" s="5"/>
      <c r="F394" s="5"/>
      <c r="G394" s="14" t="s">
        <v>970</v>
      </c>
      <c r="H394" s="5" t="n">
        <f aca="false">(COUNTIF(J394:EC394,"=0")+COUNTIF(J394:EC394,"=1"))</f>
        <v>2</v>
      </c>
      <c r="I394" s="15" t="n">
        <f aca="false">IFERROR(ROUND(10-AVERAGE(J394:EC394)*10,0),0)</f>
        <v>5</v>
      </c>
      <c r="J394" s="5"/>
      <c r="K394" s="5"/>
      <c r="L394" s="5"/>
      <c r="M394" s="5"/>
      <c r="N394" s="5"/>
      <c r="O394" s="5"/>
      <c r="P394" s="5" t="n">
        <v>0</v>
      </c>
      <c r="Q394" s="5"/>
      <c r="R394" s="5"/>
      <c r="S394" s="5" t="n">
        <v>1</v>
      </c>
      <c r="T394" s="5"/>
      <c r="U394" s="5"/>
      <c r="V394" s="5"/>
      <c r="W394" s="5"/>
      <c r="X394" s="5"/>
      <c r="Y394" s="5"/>
      <c r="Z394" s="5"/>
      <c r="AA394" s="5"/>
      <c r="AB394" s="5"/>
    </row>
    <row r="395" customFormat="false" ht="15.75" hidden="false" customHeight="false" outlineLevel="0" collapsed="false">
      <c r="A395" s="5" t="s">
        <v>958</v>
      </c>
      <c r="B395" s="5" t="s">
        <v>959</v>
      </c>
      <c r="C395" s="5" t="s">
        <v>79</v>
      </c>
      <c r="D395" s="5" t="s">
        <v>961</v>
      </c>
      <c r="E395" s="5"/>
      <c r="F395" s="5"/>
      <c r="G395" s="14" t="s">
        <v>971</v>
      </c>
      <c r="H395" s="5" t="n">
        <f aca="false">(COUNTIF(J395:EC395,"=0")+COUNTIF(J395:EC395,"=1"))</f>
        <v>2</v>
      </c>
      <c r="I395" s="15" t="n">
        <f aca="false">IFERROR(ROUND(10-AVERAGE(J395:EC395)*10,0),0)</f>
        <v>5</v>
      </c>
      <c r="J395" s="5"/>
      <c r="K395" s="5"/>
      <c r="L395" s="5"/>
      <c r="M395" s="5"/>
      <c r="N395" s="5"/>
      <c r="O395" s="5"/>
      <c r="P395" s="5" t="n">
        <v>0</v>
      </c>
      <c r="Q395" s="5"/>
      <c r="R395" s="5"/>
      <c r="S395" s="5" t="n">
        <v>1</v>
      </c>
      <c r="T395" s="5"/>
      <c r="U395" s="5"/>
      <c r="V395" s="5"/>
      <c r="W395" s="5"/>
      <c r="X395" s="5"/>
      <c r="Y395" s="5"/>
      <c r="Z395" s="5"/>
      <c r="AA395" s="5"/>
      <c r="AB395" s="5"/>
    </row>
    <row r="396" customFormat="false" ht="15.75" hidden="false" customHeight="false" outlineLevel="0" collapsed="false">
      <c r="A396" s="5" t="s">
        <v>972</v>
      </c>
      <c r="B396" s="5" t="s">
        <v>972</v>
      </c>
      <c r="C396" s="5" t="s">
        <v>973</v>
      </c>
      <c r="D396" s="5"/>
      <c r="E396" s="5"/>
      <c r="F396" s="5"/>
      <c r="G396" s="9" t="s">
        <v>974</v>
      </c>
      <c r="H396" s="5" t="n">
        <f aca="false">(COUNTIF(J396:EC396,"=0")+COUNTIF(J396:EC396,"=1"))</f>
        <v>7</v>
      </c>
      <c r="I396" s="10" t="n">
        <f aca="false">IFERROR(ROUND(10-AVERAGE(J396:EC396)*10,0),0)</f>
        <v>10</v>
      </c>
      <c r="J396" s="5" t="n">
        <v>0</v>
      </c>
      <c r="K396" s="11" t="n">
        <v>0</v>
      </c>
      <c r="L396" s="5"/>
      <c r="M396" s="5"/>
      <c r="N396" s="5"/>
      <c r="O396" s="5"/>
      <c r="P396" s="11" t="n">
        <v>0</v>
      </c>
      <c r="Q396" s="5" t="n">
        <v>0</v>
      </c>
      <c r="R396" s="5"/>
      <c r="S396" s="5"/>
      <c r="T396" s="11" t="n">
        <v>0</v>
      </c>
      <c r="U396" s="5"/>
      <c r="V396" s="5"/>
      <c r="W396" s="5" t="n">
        <v>0</v>
      </c>
      <c r="X396" s="5"/>
      <c r="Y396" s="5"/>
      <c r="Z396" s="11" t="n">
        <v>0</v>
      </c>
      <c r="AA396" s="5"/>
      <c r="AB396" s="5"/>
    </row>
    <row r="397" customFormat="false" ht="15.75" hidden="false" customHeight="false" outlineLevel="0" collapsed="false">
      <c r="A397" s="5" t="s">
        <v>975</v>
      </c>
      <c r="B397" s="5" t="s">
        <v>975</v>
      </c>
      <c r="C397" s="5" t="s">
        <v>976</v>
      </c>
      <c r="D397" s="5"/>
      <c r="E397" s="5"/>
      <c r="F397" s="5"/>
      <c r="G397" s="9" t="s">
        <v>977</v>
      </c>
      <c r="H397" s="5" t="n">
        <f aca="false">(COUNTIF(J397:EC397,"=0")+COUNTIF(J397:EC397,"=1"))</f>
        <v>6</v>
      </c>
      <c r="I397" s="12" t="n">
        <f aca="false">IFERROR(ROUND(10-AVERAGE(J397:EC397)*10,0),0)</f>
        <v>8</v>
      </c>
      <c r="J397" s="11" t="n">
        <v>0</v>
      </c>
      <c r="K397" s="11" t="n">
        <v>0</v>
      </c>
      <c r="L397" s="5"/>
      <c r="M397" s="5"/>
      <c r="N397" s="5"/>
      <c r="O397" s="5"/>
      <c r="P397" s="11" t="n">
        <v>1</v>
      </c>
      <c r="Q397" s="5" t="n">
        <v>0</v>
      </c>
      <c r="R397" s="5"/>
      <c r="S397" s="5"/>
      <c r="T397" s="5" t="n">
        <v>0</v>
      </c>
      <c r="U397" s="5"/>
      <c r="V397" s="5"/>
      <c r="W397" s="5"/>
      <c r="X397" s="5"/>
      <c r="Y397" s="5"/>
      <c r="Z397" s="11" t="n">
        <v>0</v>
      </c>
      <c r="AA397" s="5"/>
      <c r="AB397" s="5"/>
    </row>
    <row r="398" customFormat="false" ht="15.75" hidden="false" customHeight="false" outlineLevel="0" collapsed="false">
      <c r="A398" s="5" t="s">
        <v>975</v>
      </c>
      <c r="B398" s="5" t="s">
        <v>975</v>
      </c>
      <c r="C398" s="5" t="s">
        <v>978</v>
      </c>
      <c r="D398" s="5"/>
      <c r="E398" s="5"/>
      <c r="F398" s="5"/>
      <c r="G398" s="9" t="s">
        <v>979</v>
      </c>
      <c r="H398" s="5" t="n">
        <f aca="false">(COUNTIF(J398:EC398,"=0")+COUNTIF(J398:EC398,"=1"))</f>
        <v>6</v>
      </c>
      <c r="I398" s="12" t="n">
        <f aca="false">IFERROR(ROUND(10-AVERAGE(J398:EC398)*10,0),0)</f>
        <v>8</v>
      </c>
      <c r="J398" s="11" t="n">
        <v>0</v>
      </c>
      <c r="K398" s="11" t="n">
        <v>0</v>
      </c>
      <c r="L398" s="5"/>
      <c r="M398" s="5"/>
      <c r="N398" s="5"/>
      <c r="O398" s="5"/>
      <c r="P398" s="11" t="n">
        <v>1</v>
      </c>
      <c r="Q398" s="5" t="n">
        <v>0</v>
      </c>
      <c r="R398" s="5"/>
      <c r="S398" s="5"/>
      <c r="T398" s="5" t="n">
        <v>0</v>
      </c>
      <c r="U398" s="5"/>
      <c r="V398" s="5"/>
      <c r="W398" s="5"/>
      <c r="X398" s="5"/>
      <c r="Y398" s="5"/>
      <c r="Z398" s="11" t="n">
        <v>0</v>
      </c>
      <c r="AA398" s="5"/>
      <c r="AB398" s="5"/>
    </row>
    <row r="399" customFormat="false" ht="15.75" hidden="false" customHeight="false" outlineLevel="0" collapsed="false">
      <c r="A399" s="5" t="s">
        <v>975</v>
      </c>
      <c r="B399" s="5" t="s">
        <v>975</v>
      </c>
      <c r="C399" s="5" t="s">
        <v>980</v>
      </c>
      <c r="D399" s="5"/>
      <c r="E399" s="5"/>
      <c r="F399" s="5"/>
      <c r="G399" s="9" t="s">
        <v>981</v>
      </c>
      <c r="H399" s="5" t="n">
        <f aca="false">(COUNTIF(J399:EC399,"=0")+COUNTIF(J399:EC399,"=1"))</f>
        <v>6</v>
      </c>
      <c r="I399" s="19" t="n">
        <f aca="false">IFERROR(ROUND(10-AVERAGE(J399:EC399)*10,0),0)</f>
        <v>7</v>
      </c>
      <c r="J399" s="11" t="n">
        <v>0</v>
      </c>
      <c r="K399" s="11" t="n">
        <v>0</v>
      </c>
      <c r="L399" s="5"/>
      <c r="M399" s="5"/>
      <c r="N399" s="5"/>
      <c r="O399" s="5"/>
      <c r="P399" s="11" t="n">
        <v>1</v>
      </c>
      <c r="Q399" s="5"/>
      <c r="R399" s="5"/>
      <c r="S399" s="5"/>
      <c r="T399" s="5" t="n">
        <v>0</v>
      </c>
      <c r="U399" s="5"/>
      <c r="V399" s="5"/>
      <c r="W399" s="5" t="n">
        <v>0</v>
      </c>
      <c r="X399" s="5"/>
      <c r="Y399" s="5"/>
      <c r="Z399" s="11" t="n">
        <v>1</v>
      </c>
      <c r="AA399" s="5"/>
      <c r="AB399" s="5"/>
    </row>
    <row r="400" customFormat="false" ht="15.75" hidden="false" customHeight="false" outlineLevel="0" collapsed="false">
      <c r="A400" s="5" t="s">
        <v>982</v>
      </c>
      <c r="B400" s="5" t="s">
        <v>983</v>
      </c>
      <c r="C400" s="5" t="s">
        <v>668</v>
      </c>
      <c r="D400" s="5"/>
      <c r="E400" s="5"/>
      <c r="F400" s="5"/>
      <c r="G400" s="14" t="s">
        <v>984</v>
      </c>
      <c r="H400" s="5" t="n">
        <f aca="false">(COUNTIF(J400:EC400,"=0")+COUNTIF(J400:EC400,"=1"))</f>
        <v>2</v>
      </c>
      <c r="I400" s="15" t="n">
        <f aca="false">IFERROR(ROUND(10-AVERAGE(J400:EC400)*10,0),0)</f>
        <v>5</v>
      </c>
      <c r="J400" s="5"/>
      <c r="K400" s="5"/>
      <c r="L400" s="5"/>
      <c r="M400" s="5"/>
      <c r="N400" s="5"/>
      <c r="O400" s="5"/>
      <c r="P400" s="5" t="n">
        <v>0</v>
      </c>
      <c r="Q400" s="5"/>
      <c r="R400" s="5"/>
      <c r="S400" s="5" t="n">
        <v>1</v>
      </c>
      <c r="T400" s="5"/>
      <c r="U400" s="5"/>
      <c r="V400" s="5"/>
      <c r="W400" s="5"/>
      <c r="X400" s="5"/>
      <c r="Y400" s="5"/>
      <c r="Z400" s="5"/>
      <c r="AA400" s="5"/>
      <c r="AB400" s="5"/>
    </row>
    <row r="401" customFormat="false" ht="15.75" hidden="false" customHeight="false" outlineLevel="0" collapsed="false">
      <c r="A401" s="5" t="s">
        <v>982</v>
      </c>
      <c r="B401" s="5" t="s">
        <v>985</v>
      </c>
      <c r="C401" s="5" t="s">
        <v>668</v>
      </c>
      <c r="D401" s="5"/>
      <c r="E401" s="5"/>
      <c r="F401" s="5"/>
      <c r="G401" s="14" t="s">
        <v>986</v>
      </c>
      <c r="H401" s="5" t="n">
        <f aca="false">(COUNTIF(J401:EC401,"=0")+COUNTIF(J401:EC401,"=1"))</f>
        <v>2</v>
      </c>
      <c r="I401" s="15" t="n">
        <f aca="false">IFERROR(ROUND(10-AVERAGE(J401:EC401)*10,0),0)</f>
        <v>5</v>
      </c>
      <c r="J401" s="5"/>
      <c r="K401" s="5"/>
      <c r="L401" s="5"/>
      <c r="M401" s="5"/>
      <c r="N401" s="5"/>
      <c r="O401" s="5"/>
      <c r="P401" s="5" t="n">
        <v>0</v>
      </c>
      <c r="Q401" s="5"/>
      <c r="R401" s="5"/>
      <c r="S401" s="5" t="n">
        <v>1</v>
      </c>
      <c r="T401" s="5"/>
      <c r="U401" s="5"/>
      <c r="V401" s="5"/>
      <c r="W401" s="5"/>
      <c r="X401" s="5"/>
      <c r="Y401" s="5"/>
      <c r="Z401" s="5"/>
      <c r="AA401" s="5"/>
      <c r="AB401" s="5"/>
    </row>
    <row r="402" customFormat="false" ht="15.75" hidden="false" customHeight="false" outlineLevel="0" collapsed="false">
      <c r="A402" s="5" t="s">
        <v>982</v>
      </c>
      <c r="B402" s="5" t="s">
        <v>987</v>
      </c>
      <c r="C402" s="5" t="s">
        <v>668</v>
      </c>
      <c r="D402" s="5"/>
      <c r="E402" s="5"/>
      <c r="F402" s="5"/>
      <c r="G402" s="14" t="s">
        <v>988</v>
      </c>
      <c r="H402" s="5" t="n">
        <f aca="false">(COUNTIF(J402:EC402,"=0")+COUNTIF(J402:EC402,"=1"))</f>
        <v>2</v>
      </c>
      <c r="I402" s="15" t="n">
        <f aca="false">IFERROR(ROUND(10-AVERAGE(J402:EC402)*10,0),0)</f>
        <v>5</v>
      </c>
      <c r="J402" s="5"/>
      <c r="K402" s="5"/>
      <c r="L402" s="5"/>
      <c r="M402" s="5"/>
      <c r="N402" s="5"/>
      <c r="O402" s="5"/>
      <c r="P402" s="5" t="n">
        <v>0</v>
      </c>
      <c r="Q402" s="5"/>
      <c r="R402" s="5"/>
      <c r="S402" s="5" t="n">
        <v>1</v>
      </c>
      <c r="T402" s="5"/>
      <c r="U402" s="5"/>
      <c r="V402" s="5"/>
      <c r="W402" s="5"/>
      <c r="X402" s="5"/>
      <c r="Y402" s="5"/>
      <c r="Z402" s="5"/>
      <c r="AA402" s="5"/>
      <c r="AB402" s="5"/>
    </row>
    <row r="403" customFormat="false" ht="15.75" hidden="false" customHeight="false" outlineLevel="0" collapsed="false">
      <c r="A403" s="5" t="s">
        <v>982</v>
      </c>
      <c r="B403" s="5" t="s">
        <v>989</v>
      </c>
      <c r="C403" s="5" t="s">
        <v>668</v>
      </c>
      <c r="D403" s="5"/>
      <c r="E403" s="5"/>
      <c r="F403" s="5"/>
      <c r="G403" s="14" t="s">
        <v>990</v>
      </c>
      <c r="H403" s="5" t="n">
        <f aca="false">(COUNTIF(J403:EC403,"=0")+COUNTIF(J403:EC403,"=1"))</f>
        <v>2</v>
      </c>
      <c r="I403" s="15" t="n">
        <f aca="false">IFERROR(ROUND(10-AVERAGE(J403:EC403)*10,0),0)</f>
        <v>5</v>
      </c>
      <c r="J403" s="5"/>
      <c r="K403" s="5"/>
      <c r="L403" s="5"/>
      <c r="M403" s="5"/>
      <c r="N403" s="5"/>
      <c r="O403" s="5"/>
      <c r="P403" s="5" t="n">
        <v>0</v>
      </c>
      <c r="Q403" s="5"/>
      <c r="R403" s="5"/>
      <c r="S403" s="5" t="n">
        <v>1</v>
      </c>
      <c r="T403" s="5"/>
      <c r="U403" s="5"/>
      <c r="V403" s="5"/>
      <c r="W403" s="5"/>
      <c r="X403" s="5"/>
      <c r="Y403" s="5"/>
      <c r="Z403" s="5"/>
      <c r="AA403" s="5"/>
      <c r="AB403" s="5"/>
    </row>
    <row r="404" customFormat="false" ht="15.75" hidden="false" customHeight="false" outlineLevel="0" collapsed="false">
      <c r="A404" s="5" t="s">
        <v>982</v>
      </c>
      <c r="B404" s="5" t="s">
        <v>991</v>
      </c>
      <c r="C404" s="5" t="s">
        <v>992</v>
      </c>
      <c r="D404" s="5"/>
      <c r="E404" s="5"/>
      <c r="F404" s="5"/>
      <c r="G404" s="14" t="s">
        <v>993</v>
      </c>
      <c r="H404" s="5" t="n">
        <f aca="false">(COUNTIF(J404:EC404,"=0")+COUNTIF(J404:EC404,"=1"))</f>
        <v>2</v>
      </c>
      <c r="I404" s="15" t="n">
        <f aca="false">IFERROR(ROUND(10-AVERAGE(J404:EC404)*10,0),0)</f>
        <v>5</v>
      </c>
      <c r="J404" s="5"/>
      <c r="K404" s="5"/>
      <c r="L404" s="5"/>
      <c r="M404" s="5"/>
      <c r="N404" s="5"/>
      <c r="O404" s="5"/>
      <c r="P404" s="5" t="n">
        <v>0</v>
      </c>
      <c r="Q404" s="5"/>
      <c r="R404" s="5"/>
      <c r="S404" s="5" t="n">
        <v>1</v>
      </c>
      <c r="T404" s="5"/>
      <c r="U404" s="5"/>
      <c r="V404" s="5"/>
      <c r="W404" s="5"/>
      <c r="X404" s="5"/>
      <c r="Y404" s="5"/>
      <c r="Z404" s="5"/>
      <c r="AA404" s="5"/>
      <c r="AB404" s="5"/>
    </row>
    <row r="405" customFormat="false" ht="15.75" hidden="false" customHeight="false" outlineLevel="0" collapsed="false">
      <c r="A405" s="5" t="s">
        <v>994</v>
      </c>
      <c r="B405" s="5" t="s">
        <v>994</v>
      </c>
      <c r="D405" s="5"/>
      <c r="E405" s="5"/>
      <c r="F405" s="5"/>
      <c r="G405" s="5"/>
      <c r="H405" s="5" t="n">
        <f aca="false">(COUNTIF(J405:EC405,"=0")+COUNTIF(J405:EC405,"=1"))</f>
        <v>1</v>
      </c>
      <c r="I405" s="10" t="n">
        <f aca="false">IFERROR(ROUND(10-AVERAGE(J405:EC405)*10,0),0)</f>
        <v>10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11" t="n">
        <v>0</v>
      </c>
      <c r="V405" s="5"/>
      <c r="W405" s="5"/>
      <c r="X405" s="5"/>
      <c r="Y405" s="5"/>
      <c r="Z405" s="5"/>
      <c r="AA405" s="5"/>
      <c r="AB405" s="5"/>
    </row>
    <row r="406" customFormat="false" ht="15.75" hidden="false" customHeight="false" outlineLevel="0" collapsed="false">
      <c r="A406" s="5" t="s">
        <v>995</v>
      </c>
      <c r="B406" s="5" t="s">
        <v>995</v>
      </c>
      <c r="C406" s="5" t="s">
        <v>996</v>
      </c>
      <c r="D406" s="5"/>
      <c r="E406" s="5"/>
      <c r="F406" s="5"/>
      <c r="G406" s="5"/>
      <c r="H406" s="5" t="n">
        <f aca="false">(COUNTIF(J406:EC406,"=0")+COUNTIF(J406:EC406,"=1"))</f>
        <v>5</v>
      </c>
      <c r="I406" s="21" t="n">
        <f aca="false">IFERROR(ROUND(10-AVERAGE(J406:EC406)*10,0),0)</f>
        <v>4</v>
      </c>
      <c r="J406" s="5" t="n">
        <v>0</v>
      </c>
      <c r="K406" s="11" t="n">
        <v>1</v>
      </c>
      <c r="L406" s="5"/>
      <c r="M406" s="5"/>
      <c r="N406" s="5"/>
      <c r="O406" s="5"/>
      <c r="P406" s="11" t="n">
        <v>1</v>
      </c>
      <c r="Q406" s="5"/>
      <c r="R406" s="5"/>
      <c r="S406" s="5"/>
      <c r="T406" s="11" t="n">
        <v>1</v>
      </c>
      <c r="U406" s="5"/>
      <c r="V406" s="5"/>
      <c r="W406" s="5"/>
      <c r="X406" s="5"/>
      <c r="Y406" s="5"/>
      <c r="Z406" s="11" t="n">
        <v>0</v>
      </c>
      <c r="AA406" s="5"/>
      <c r="AB406" s="5"/>
    </row>
    <row r="407" customFormat="false" ht="15.75" hidden="false" customHeight="false" outlineLevel="0" collapsed="false">
      <c r="A407" s="5" t="s">
        <v>995</v>
      </c>
      <c r="B407" s="5" t="s">
        <v>995</v>
      </c>
      <c r="C407" s="5" t="s">
        <v>997</v>
      </c>
      <c r="D407" s="5"/>
      <c r="E407" s="5"/>
      <c r="F407" s="5"/>
      <c r="G407" s="5"/>
      <c r="H407" s="5" t="n">
        <f aca="false">(COUNTIF(J407:EC407,"=0")+COUNTIF(J407:EC407,"=1"))</f>
        <v>1</v>
      </c>
      <c r="I407" s="21" t="n">
        <f aca="false">IFERROR(ROUND(10-AVERAGE(J407:EC407)*10,0),0)</f>
        <v>0</v>
      </c>
      <c r="J407" s="5"/>
      <c r="K407" s="11"/>
      <c r="L407" s="5"/>
      <c r="M407" s="5"/>
      <c r="N407" s="5"/>
      <c r="O407" s="5"/>
      <c r="P407" s="11" t="n">
        <v>1</v>
      </c>
      <c r="Q407" s="5"/>
      <c r="R407" s="5"/>
      <c r="S407" s="5"/>
      <c r="T407" s="11"/>
      <c r="U407" s="5"/>
      <c r="V407" s="5"/>
      <c r="W407" s="5"/>
      <c r="X407" s="5"/>
      <c r="Y407" s="5"/>
      <c r="Z407" s="11"/>
      <c r="AA407" s="5"/>
      <c r="AB407" s="5"/>
    </row>
    <row r="408" customFormat="false" ht="15.75" hidden="false" customHeight="false" outlineLevel="0" collapsed="false">
      <c r="A408" s="5" t="s">
        <v>995</v>
      </c>
      <c r="B408" s="5" t="s">
        <v>995</v>
      </c>
      <c r="C408" s="5" t="s">
        <v>998</v>
      </c>
      <c r="D408" s="5"/>
      <c r="E408" s="5"/>
      <c r="F408" s="5"/>
      <c r="G408" s="5"/>
      <c r="H408" s="5" t="n">
        <f aca="false">(COUNTIF(J408:EC408,"=0")+COUNTIF(J408:EC408,"=1"))</f>
        <v>5</v>
      </c>
      <c r="I408" s="19" t="n">
        <f aca="false">IFERROR(ROUND(10-AVERAGE(J408:EC408)*10,0),0)</f>
        <v>6</v>
      </c>
      <c r="J408" s="5" t="n">
        <v>0</v>
      </c>
      <c r="K408" s="11" t="n">
        <v>0</v>
      </c>
      <c r="L408" s="5"/>
      <c r="M408" s="5"/>
      <c r="N408" s="5"/>
      <c r="O408" s="5"/>
      <c r="P408" s="11" t="n">
        <v>1</v>
      </c>
      <c r="Q408" s="5"/>
      <c r="R408" s="5"/>
      <c r="S408" s="5"/>
      <c r="T408" s="11" t="n">
        <v>1</v>
      </c>
      <c r="U408" s="5"/>
      <c r="V408" s="5"/>
      <c r="W408" s="5"/>
      <c r="X408" s="5"/>
      <c r="Y408" s="5"/>
      <c r="Z408" s="11" t="n">
        <v>0</v>
      </c>
      <c r="AA408" s="5"/>
      <c r="AB408" s="5"/>
    </row>
    <row r="409" customFormat="false" ht="15.75" hidden="false" customHeight="false" outlineLevel="0" collapsed="false">
      <c r="A409" s="5" t="s">
        <v>995</v>
      </c>
      <c r="B409" s="5" t="s">
        <v>995</v>
      </c>
      <c r="C409" s="5" t="s">
        <v>999</v>
      </c>
      <c r="D409" s="5"/>
      <c r="E409" s="5"/>
      <c r="F409" s="5"/>
      <c r="G409" s="5"/>
      <c r="H409" s="5" t="n">
        <f aca="false">(COUNTIF(J409:EC409,"=0")+COUNTIF(J409:EC409,"=1"))</f>
        <v>6</v>
      </c>
      <c r="I409" s="19" t="n">
        <f aca="false">IFERROR(ROUND(10-AVERAGE(J409:EC409)*10,0),0)</f>
        <v>5</v>
      </c>
      <c r="J409" s="5" t="n">
        <v>0</v>
      </c>
      <c r="K409" s="11" t="n">
        <v>0</v>
      </c>
      <c r="L409" s="5"/>
      <c r="M409" s="5"/>
      <c r="N409" s="5"/>
      <c r="O409" s="5"/>
      <c r="P409" s="11" t="n">
        <v>1</v>
      </c>
      <c r="Q409" s="5" t="n">
        <v>1</v>
      </c>
      <c r="R409" s="5"/>
      <c r="S409" s="5"/>
      <c r="T409" s="11" t="n">
        <v>1</v>
      </c>
      <c r="U409" s="5"/>
      <c r="V409" s="5"/>
      <c r="W409" s="5"/>
      <c r="X409" s="5"/>
      <c r="Y409" s="5"/>
      <c r="Z409" s="11" t="n">
        <v>0</v>
      </c>
      <c r="AA409" s="5"/>
      <c r="AB409" s="5"/>
    </row>
    <row r="410" customFormat="false" ht="15.75" hidden="false" customHeight="false" outlineLevel="0" collapsed="false">
      <c r="A410" s="5" t="s">
        <v>995</v>
      </c>
      <c r="B410" s="5" t="s">
        <v>995</v>
      </c>
      <c r="C410" s="5" t="s">
        <v>1000</v>
      </c>
      <c r="D410" s="5"/>
      <c r="E410" s="5"/>
      <c r="F410" s="5"/>
      <c r="G410" s="5"/>
      <c r="H410" s="5" t="n">
        <f aca="false">(COUNTIF(J410:EC410,"=0")+COUNTIF(J410:EC410,"=1"))</f>
        <v>5</v>
      </c>
      <c r="I410" s="19" t="n">
        <f aca="false">IFERROR(ROUND(10-AVERAGE(J410:EC410)*10,0),0)</f>
        <v>6</v>
      </c>
      <c r="J410" s="5" t="n">
        <v>0</v>
      </c>
      <c r="K410" s="11" t="n">
        <v>0</v>
      </c>
      <c r="L410" s="5"/>
      <c r="M410" s="5"/>
      <c r="N410" s="5"/>
      <c r="O410" s="5"/>
      <c r="P410" s="11" t="n">
        <v>1</v>
      </c>
      <c r="Q410" s="5"/>
      <c r="R410" s="5"/>
      <c r="S410" s="5"/>
      <c r="T410" s="11" t="n">
        <v>1</v>
      </c>
      <c r="U410" s="5"/>
      <c r="V410" s="5"/>
      <c r="W410" s="5"/>
      <c r="X410" s="5"/>
      <c r="Y410" s="5"/>
      <c r="Z410" s="11" t="n">
        <v>0</v>
      </c>
      <c r="AA410" s="5"/>
      <c r="AB410" s="5"/>
    </row>
    <row r="411" customFormat="false" ht="15.75" hidden="false" customHeight="false" outlineLevel="0" collapsed="false">
      <c r="A411" s="5" t="s">
        <v>995</v>
      </c>
      <c r="B411" s="5" t="s">
        <v>995</v>
      </c>
      <c r="C411" s="5" t="s">
        <v>1001</v>
      </c>
      <c r="D411" s="5"/>
      <c r="E411" s="5"/>
      <c r="F411" s="5"/>
      <c r="G411" s="5"/>
      <c r="H411" s="5" t="n">
        <f aca="false">(COUNTIF(J411:EC411,"=0")+COUNTIF(J411:EC411,"=1"))</f>
        <v>5</v>
      </c>
      <c r="I411" s="19" t="n">
        <f aca="false">IFERROR(ROUND(10-AVERAGE(J411:EC411)*10,0),0)</f>
        <v>6</v>
      </c>
      <c r="J411" s="5" t="n">
        <v>0</v>
      </c>
      <c r="K411" s="11" t="n">
        <v>0</v>
      </c>
      <c r="L411" s="5"/>
      <c r="M411" s="5"/>
      <c r="N411" s="5"/>
      <c r="O411" s="5"/>
      <c r="P411" s="11" t="n">
        <v>1</v>
      </c>
      <c r="Q411" s="5"/>
      <c r="R411" s="5"/>
      <c r="S411" s="5"/>
      <c r="T411" s="11" t="n">
        <v>1</v>
      </c>
      <c r="U411" s="5"/>
      <c r="V411" s="5"/>
      <c r="W411" s="5"/>
      <c r="X411" s="5"/>
      <c r="Y411" s="5"/>
      <c r="Z411" s="11" t="n">
        <v>0</v>
      </c>
      <c r="AA411" s="5"/>
      <c r="AB411" s="5"/>
    </row>
    <row r="412" customFormat="false" ht="15.75" hidden="false" customHeight="false" outlineLevel="0" collapsed="false">
      <c r="A412" s="5" t="s">
        <v>995</v>
      </c>
      <c r="B412" s="5" t="s">
        <v>995</v>
      </c>
      <c r="C412" s="5" t="s">
        <v>1002</v>
      </c>
      <c r="D412" s="5"/>
      <c r="E412" s="5"/>
      <c r="F412" s="5"/>
      <c r="G412" s="5"/>
      <c r="H412" s="5" t="n">
        <f aca="false">(COUNTIF(J412:EC412,"=0")+COUNTIF(J412:EC412,"=1"))</f>
        <v>6</v>
      </c>
      <c r="I412" s="19" t="n">
        <f aca="false">IFERROR(ROUND(10-AVERAGE(J412:EC412)*10,0),0)</f>
        <v>5</v>
      </c>
      <c r="J412" s="5" t="n">
        <v>0</v>
      </c>
      <c r="K412" s="11" t="n">
        <v>0</v>
      </c>
      <c r="L412" s="5"/>
      <c r="M412" s="5"/>
      <c r="N412" s="5"/>
      <c r="O412" s="5"/>
      <c r="P412" s="11" t="n">
        <v>1</v>
      </c>
      <c r="Q412" s="5" t="n">
        <v>1</v>
      </c>
      <c r="R412" s="5"/>
      <c r="S412" s="5"/>
      <c r="T412" s="11" t="n">
        <v>1</v>
      </c>
      <c r="U412" s="5"/>
      <c r="V412" s="5"/>
      <c r="W412" s="5"/>
      <c r="X412" s="5"/>
      <c r="Y412" s="5"/>
      <c r="Z412" s="11" t="n">
        <v>0</v>
      </c>
      <c r="AA412" s="5"/>
      <c r="AB412" s="5"/>
    </row>
    <row r="413" customFormat="false" ht="15.75" hidden="false" customHeight="false" outlineLevel="0" collapsed="false">
      <c r="A413" s="5" t="s">
        <v>995</v>
      </c>
      <c r="B413" s="5" t="s">
        <v>995</v>
      </c>
      <c r="C413" s="5" t="s">
        <v>1003</v>
      </c>
      <c r="D413" s="5"/>
      <c r="E413" s="5"/>
      <c r="F413" s="5"/>
      <c r="G413" s="5"/>
      <c r="H413" s="5" t="n">
        <f aca="false">(COUNTIF(J413:EC413,"=0")+COUNTIF(J413:EC413,"=1"))</f>
        <v>6</v>
      </c>
      <c r="I413" s="19" t="n">
        <f aca="false">IFERROR(ROUND(10-AVERAGE(J413:EC413)*10,0),0)</f>
        <v>5</v>
      </c>
      <c r="J413" s="5" t="n">
        <v>0</v>
      </c>
      <c r="K413" s="11" t="n">
        <v>0</v>
      </c>
      <c r="L413" s="5"/>
      <c r="M413" s="5"/>
      <c r="N413" s="5"/>
      <c r="O413" s="5"/>
      <c r="P413" s="11" t="n">
        <v>1</v>
      </c>
      <c r="Q413" s="5" t="n">
        <v>1</v>
      </c>
      <c r="R413" s="5"/>
      <c r="S413" s="5"/>
      <c r="T413" s="11" t="n">
        <v>1</v>
      </c>
      <c r="U413" s="5"/>
      <c r="V413" s="5"/>
      <c r="W413" s="5"/>
      <c r="X413" s="5"/>
      <c r="Y413" s="5"/>
      <c r="Z413" s="11" t="n">
        <v>0</v>
      </c>
      <c r="AA413" s="5"/>
      <c r="AB413" s="5"/>
    </row>
    <row r="414" customFormat="false" ht="15.75" hidden="false" customHeight="false" outlineLevel="0" collapsed="false">
      <c r="A414" s="5" t="s">
        <v>995</v>
      </c>
      <c r="B414" s="5" t="s">
        <v>995</v>
      </c>
      <c r="C414" s="5" t="s">
        <v>1004</v>
      </c>
      <c r="D414" s="5"/>
      <c r="E414" s="5"/>
      <c r="F414" s="5"/>
      <c r="G414" s="9" t="s">
        <v>1005</v>
      </c>
      <c r="H414" s="5" t="n">
        <f aca="false">(COUNTIF(J414:EC414,"=0")+COUNTIF(J414:EC414,"=1"))</f>
        <v>8</v>
      </c>
      <c r="I414" s="19" t="n">
        <f aca="false">IFERROR(ROUND(10-AVERAGE(J414:EC414)*10,0),0)</f>
        <v>5</v>
      </c>
      <c r="J414" s="11" t="n">
        <v>0</v>
      </c>
      <c r="K414" s="11" t="n">
        <v>0</v>
      </c>
      <c r="L414" s="5"/>
      <c r="M414" s="5"/>
      <c r="N414" s="5"/>
      <c r="O414" s="11" t="n">
        <v>0</v>
      </c>
      <c r="P414" s="11" t="n">
        <v>1</v>
      </c>
      <c r="Q414" s="11" t="n">
        <v>1</v>
      </c>
      <c r="R414" s="5"/>
      <c r="S414" s="11" t="n">
        <v>1</v>
      </c>
      <c r="T414" s="11" t="n">
        <v>1</v>
      </c>
      <c r="U414" s="11" t="n">
        <v>0</v>
      </c>
      <c r="V414" s="5"/>
      <c r="W414" s="5"/>
      <c r="X414" s="5"/>
      <c r="Y414" s="5"/>
      <c r="Z414" s="5"/>
      <c r="AA414" s="5"/>
      <c r="AB414" s="5"/>
    </row>
    <row r="415" customFormat="false" ht="15.75" hidden="false" customHeight="false" outlineLevel="0" collapsed="false">
      <c r="A415" s="5" t="s">
        <v>995</v>
      </c>
      <c r="B415" s="5" t="s">
        <v>995</v>
      </c>
      <c r="C415" s="5" t="s">
        <v>1006</v>
      </c>
      <c r="D415" s="5"/>
      <c r="E415" s="5"/>
      <c r="F415" s="5"/>
      <c r="G415" s="5"/>
      <c r="H415" s="5" t="n">
        <f aca="false">(COUNTIF(J415:EC415,"=0")+COUNTIF(J415:EC415,"=1"))</f>
        <v>5</v>
      </c>
      <c r="I415" s="19" t="n">
        <f aca="false">IFERROR(ROUND(10-AVERAGE(J415:EC415)*10,0),0)</f>
        <v>6</v>
      </c>
      <c r="J415" s="5" t="n">
        <v>0</v>
      </c>
      <c r="K415" s="11" t="n">
        <v>0</v>
      </c>
      <c r="L415" s="5"/>
      <c r="M415" s="5"/>
      <c r="N415" s="5"/>
      <c r="O415" s="5"/>
      <c r="P415" s="11" t="n">
        <v>1</v>
      </c>
      <c r="Q415" s="5"/>
      <c r="R415" s="5"/>
      <c r="S415" s="5"/>
      <c r="T415" s="11" t="n">
        <v>1</v>
      </c>
      <c r="U415" s="5"/>
      <c r="V415" s="5"/>
      <c r="W415" s="5"/>
      <c r="X415" s="5"/>
      <c r="Y415" s="5"/>
      <c r="Z415" s="11" t="n">
        <v>0</v>
      </c>
      <c r="AA415" s="5"/>
      <c r="AB415" s="5"/>
    </row>
    <row r="416" customFormat="false" ht="15.75" hidden="false" customHeight="false" outlineLevel="0" collapsed="false">
      <c r="A416" s="5" t="s">
        <v>995</v>
      </c>
      <c r="B416" s="5" t="s">
        <v>995</v>
      </c>
      <c r="C416" s="5" t="s">
        <v>995</v>
      </c>
      <c r="D416" s="5"/>
      <c r="E416" s="5"/>
      <c r="F416" s="5"/>
      <c r="G416" s="5"/>
      <c r="H416" s="5" t="n">
        <f aca="false">(COUNTIF(J416:EC416,"=0")+COUNTIF(J416:EC416,"=1"))</f>
        <v>5</v>
      </c>
      <c r="I416" s="19" t="n">
        <f aca="false">IFERROR(ROUND(10-AVERAGE(J416:EC416)*10,0),0)</f>
        <v>6</v>
      </c>
      <c r="J416" s="5" t="n">
        <v>0</v>
      </c>
      <c r="K416" s="11" t="n">
        <v>0</v>
      </c>
      <c r="L416" s="5"/>
      <c r="M416" s="5"/>
      <c r="N416" s="5"/>
      <c r="O416" s="5"/>
      <c r="P416" s="11" t="n">
        <v>1</v>
      </c>
      <c r="Q416" s="5"/>
      <c r="R416" s="5"/>
      <c r="S416" s="5"/>
      <c r="T416" s="11" t="n">
        <v>1</v>
      </c>
      <c r="U416" s="5"/>
      <c r="V416" s="5"/>
      <c r="W416" s="5"/>
      <c r="X416" s="5"/>
      <c r="Y416" s="5"/>
      <c r="Z416" s="11" t="n">
        <v>0</v>
      </c>
      <c r="AA416" s="5"/>
      <c r="AB416" s="5"/>
    </row>
    <row r="417" customFormat="false" ht="15.75" hidden="false" customHeight="false" outlineLevel="0" collapsed="false">
      <c r="A417" s="5" t="s">
        <v>995</v>
      </c>
      <c r="B417" s="5" t="s">
        <v>995</v>
      </c>
      <c r="C417" s="5" t="s">
        <v>1007</v>
      </c>
      <c r="D417" s="5"/>
      <c r="E417" s="5"/>
      <c r="F417" s="5"/>
      <c r="G417" s="5"/>
      <c r="H417" s="5" t="n">
        <f aca="false">(COUNTIF(J417:EC417,"=0")+COUNTIF(J417:EC417,"=1"))</f>
        <v>6</v>
      </c>
      <c r="I417" s="19" t="n">
        <f aca="false">IFERROR(ROUND(10-AVERAGE(J417:EC417)*10,0),0)</f>
        <v>5</v>
      </c>
      <c r="J417" s="5" t="n">
        <v>0</v>
      </c>
      <c r="K417" s="11" t="n">
        <v>0</v>
      </c>
      <c r="L417" s="5"/>
      <c r="M417" s="5"/>
      <c r="N417" s="5"/>
      <c r="O417" s="5"/>
      <c r="P417" s="11" t="n">
        <v>1</v>
      </c>
      <c r="Q417" s="5" t="n">
        <v>1</v>
      </c>
      <c r="R417" s="5"/>
      <c r="S417" s="5"/>
      <c r="T417" s="11" t="n">
        <v>1</v>
      </c>
      <c r="U417" s="5"/>
      <c r="V417" s="5"/>
      <c r="W417" s="5"/>
      <c r="X417" s="5"/>
      <c r="Y417" s="5"/>
      <c r="Z417" s="11" t="n">
        <v>0</v>
      </c>
      <c r="AA417" s="5"/>
      <c r="AB417" s="5"/>
    </row>
    <row r="418" customFormat="false" ht="15.75" hidden="false" customHeight="false" outlineLevel="0" collapsed="false">
      <c r="A418" s="5" t="s">
        <v>995</v>
      </c>
      <c r="B418" s="5" t="s">
        <v>995</v>
      </c>
      <c r="C418" s="5" t="s">
        <v>1008</v>
      </c>
      <c r="D418" s="5"/>
      <c r="E418" s="5"/>
      <c r="F418" s="5"/>
      <c r="G418" s="5"/>
      <c r="H418" s="5" t="n">
        <f aca="false">(COUNTIF(J418:EC418,"=0")+COUNTIF(J418:EC418,"=1"))</f>
        <v>5</v>
      </c>
      <c r="I418" s="19" t="n">
        <f aca="false">IFERROR(ROUND(10-AVERAGE(J418:EC418)*10,0),0)</f>
        <v>6</v>
      </c>
      <c r="J418" s="5" t="n">
        <v>0</v>
      </c>
      <c r="K418" s="11" t="n">
        <v>0</v>
      </c>
      <c r="L418" s="5"/>
      <c r="M418" s="5"/>
      <c r="N418" s="5"/>
      <c r="O418" s="5"/>
      <c r="P418" s="11" t="n">
        <v>1</v>
      </c>
      <c r="Q418" s="5"/>
      <c r="R418" s="5"/>
      <c r="S418" s="5"/>
      <c r="T418" s="11" t="n">
        <v>1</v>
      </c>
      <c r="U418" s="5"/>
      <c r="V418" s="5"/>
      <c r="W418" s="5"/>
      <c r="X418" s="5"/>
      <c r="Y418" s="5"/>
      <c r="Z418" s="11" t="n">
        <v>0</v>
      </c>
      <c r="AA418" s="5"/>
      <c r="AB418" s="5"/>
    </row>
    <row r="419" customFormat="false" ht="15.75" hidden="false" customHeight="false" outlineLevel="0" collapsed="false">
      <c r="A419" s="5" t="s">
        <v>995</v>
      </c>
      <c r="B419" s="5" t="s">
        <v>995</v>
      </c>
      <c r="C419" s="5" t="s">
        <v>1009</v>
      </c>
      <c r="D419" s="5"/>
      <c r="E419" s="5"/>
      <c r="F419" s="5"/>
      <c r="G419" s="5"/>
      <c r="H419" s="5" t="n">
        <f aca="false">(COUNTIF(J419:EC419,"=0")+COUNTIF(J419:EC419,"=1"))</f>
        <v>5</v>
      </c>
      <c r="I419" s="19" t="n">
        <f aca="false">IFERROR(ROUND(10-AVERAGE(J419:EC419)*10,0),0)</f>
        <v>6</v>
      </c>
      <c r="J419" s="5" t="n">
        <v>0</v>
      </c>
      <c r="K419" s="11" t="n">
        <v>0</v>
      </c>
      <c r="L419" s="5"/>
      <c r="M419" s="5"/>
      <c r="N419" s="5"/>
      <c r="O419" s="5"/>
      <c r="P419" s="11" t="n">
        <v>1</v>
      </c>
      <c r="Q419" s="5"/>
      <c r="R419" s="5"/>
      <c r="S419" s="5"/>
      <c r="T419" s="11" t="n">
        <v>1</v>
      </c>
      <c r="U419" s="5"/>
      <c r="V419" s="5"/>
      <c r="W419" s="5"/>
      <c r="X419" s="5"/>
      <c r="Y419" s="5"/>
      <c r="Z419" s="11" t="n">
        <v>0</v>
      </c>
      <c r="AA419" s="5"/>
      <c r="AB419" s="5"/>
    </row>
    <row r="420" customFormat="false" ht="15.75" hidden="false" customHeight="false" outlineLevel="0" collapsed="false">
      <c r="A420" s="5" t="s">
        <v>995</v>
      </c>
      <c r="B420" s="5" t="s">
        <v>995</v>
      </c>
      <c r="C420" s="5" t="s">
        <v>438</v>
      </c>
      <c r="D420" s="5"/>
      <c r="E420" s="5"/>
      <c r="F420" s="5"/>
      <c r="G420" s="5"/>
      <c r="H420" s="5" t="n">
        <f aca="false">(COUNTIF(J420:EC420,"=0")+COUNTIF(J420:EC420,"=1"))</f>
        <v>6</v>
      </c>
      <c r="I420" s="15" t="n">
        <f aca="false">IFERROR(ROUND(10-AVERAGE(J420:EC420)*10,0),0)</f>
        <v>5</v>
      </c>
      <c r="J420" s="11" t="n">
        <v>0</v>
      </c>
      <c r="K420" s="11" t="n">
        <v>0</v>
      </c>
      <c r="L420" s="5"/>
      <c r="M420" s="5"/>
      <c r="N420" s="5"/>
      <c r="O420" s="5"/>
      <c r="P420" s="11" t="n">
        <v>1</v>
      </c>
      <c r="Q420" s="5" t="n">
        <v>1</v>
      </c>
      <c r="R420" s="5"/>
      <c r="S420" s="5"/>
      <c r="T420" s="11" t="n">
        <v>1</v>
      </c>
      <c r="U420" s="5"/>
      <c r="V420" s="5"/>
      <c r="W420" s="5"/>
      <c r="X420" s="5"/>
      <c r="Y420" s="5"/>
      <c r="Z420" s="11" t="n">
        <v>0</v>
      </c>
      <c r="AA420" s="5"/>
      <c r="AB420" s="5"/>
    </row>
    <row r="421" customFormat="false" ht="15.75" hidden="false" customHeight="false" outlineLevel="0" collapsed="false">
      <c r="A421" s="5" t="s">
        <v>995</v>
      </c>
      <c r="B421" s="5" t="s">
        <v>995</v>
      </c>
      <c r="C421" s="5" t="s">
        <v>1010</v>
      </c>
      <c r="D421" s="5"/>
      <c r="E421" s="5"/>
      <c r="F421" s="5"/>
      <c r="G421" s="5"/>
      <c r="H421" s="5" t="n">
        <f aca="false">(COUNTIF(J421:EC421,"=0")+COUNTIF(J421:EC421,"=1"))</f>
        <v>5</v>
      </c>
      <c r="I421" s="19" t="n">
        <f aca="false">IFERROR(ROUND(10-AVERAGE(J421:EC421)*10,0),0)</f>
        <v>6</v>
      </c>
      <c r="J421" s="5" t="n">
        <v>0</v>
      </c>
      <c r="K421" s="11" t="n">
        <v>0</v>
      </c>
      <c r="L421" s="5"/>
      <c r="M421" s="5"/>
      <c r="N421" s="5"/>
      <c r="O421" s="5"/>
      <c r="P421" s="11" t="n">
        <v>1</v>
      </c>
      <c r="Q421" s="5"/>
      <c r="R421" s="5"/>
      <c r="S421" s="5"/>
      <c r="T421" s="11" t="n">
        <v>1</v>
      </c>
      <c r="U421" s="5"/>
      <c r="V421" s="5"/>
      <c r="W421" s="5"/>
      <c r="X421" s="5"/>
      <c r="Y421" s="5"/>
      <c r="Z421" s="11" t="n">
        <v>0</v>
      </c>
      <c r="AA421" s="5"/>
      <c r="AB421" s="5"/>
    </row>
    <row r="422" customFormat="false" ht="15.75" hidden="false" customHeight="false" outlineLevel="0" collapsed="false">
      <c r="A422" s="5" t="s">
        <v>995</v>
      </c>
      <c r="B422" s="5" t="s">
        <v>995</v>
      </c>
      <c r="C422" s="5" t="s">
        <v>1011</v>
      </c>
      <c r="D422" s="5"/>
      <c r="E422" s="5"/>
      <c r="F422" s="5"/>
      <c r="G422" s="9" t="s">
        <v>1012</v>
      </c>
      <c r="H422" s="5" t="n">
        <f aca="false">(COUNTIF(J422:EC422,"=0")+COUNTIF(J422:EC422,"=1"))</f>
        <v>9</v>
      </c>
      <c r="I422" s="15" t="n">
        <f aca="false">IFERROR(ROUND(10-AVERAGE(J422:EC422)*10,0),0)</f>
        <v>6</v>
      </c>
      <c r="J422" s="11" t="n">
        <v>0</v>
      </c>
      <c r="K422" s="11" t="n">
        <v>0</v>
      </c>
      <c r="L422" s="11" t="n">
        <v>0</v>
      </c>
      <c r="M422" s="5"/>
      <c r="N422" s="5"/>
      <c r="O422" s="11" t="n">
        <v>0</v>
      </c>
      <c r="P422" s="11" t="n">
        <v>1</v>
      </c>
      <c r="Q422" s="11" t="n">
        <v>1</v>
      </c>
      <c r="R422" s="11" t="n">
        <v>1</v>
      </c>
      <c r="S422" s="5"/>
      <c r="T422" s="11" t="n">
        <v>1</v>
      </c>
      <c r="U422" s="11" t="n">
        <v>0</v>
      </c>
      <c r="V422" s="5"/>
      <c r="W422" s="5"/>
      <c r="X422" s="5"/>
      <c r="Y422" s="5"/>
      <c r="Z422" s="5"/>
      <c r="AA422" s="5"/>
      <c r="AB422" s="5"/>
    </row>
    <row r="423" customFormat="false" ht="15.75" hidden="false" customHeight="false" outlineLevel="0" collapsed="false">
      <c r="A423" s="5" t="s">
        <v>995</v>
      </c>
      <c r="B423" s="5" t="s">
        <v>995</v>
      </c>
      <c r="C423" s="5" t="s">
        <v>1013</v>
      </c>
      <c r="D423" s="5"/>
      <c r="E423" s="5"/>
      <c r="F423" s="5"/>
      <c r="G423" s="5"/>
      <c r="H423" s="5" t="n">
        <f aca="false">(COUNTIF(J423:EC423,"=0")+COUNTIF(J423:EC423,"=1"))</f>
        <v>5</v>
      </c>
      <c r="I423" s="19" t="n">
        <f aca="false">IFERROR(ROUND(10-AVERAGE(J423:EC423)*10,0),0)</f>
        <v>4</v>
      </c>
      <c r="J423" s="5" t="n">
        <v>1</v>
      </c>
      <c r="K423" s="11" t="n">
        <v>0</v>
      </c>
      <c r="L423" s="5"/>
      <c r="M423" s="5"/>
      <c r="N423" s="5"/>
      <c r="O423" s="5"/>
      <c r="P423" s="11" t="n">
        <v>1</v>
      </c>
      <c r="Q423" s="5"/>
      <c r="R423" s="5"/>
      <c r="S423" s="5"/>
      <c r="T423" s="11" t="n">
        <v>1</v>
      </c>
      <c r="U423" s="5"/>
      <c r="V423" s="5"/>
      <c r="W423" s="5"/>
      <c r="X423" s="5"/>
      <c r="Y423" s="5"/>
      <c r="Z423" s="11" t="n">
        <v>0</v>
      </c>
      <c r="AA423" s="5"/>
      <c r="AB423" s="5"/>
    </row>
    <row r="424" customFormat="false" ht="15.75" hidden="false" customHeight="false" outlineLevel="0" collapsed="false">
      <c r="A424" s="5" t="s">
        <v>995</v>
      </c>
      <c r="B424" s="5" t="s">
        <v>995</v>
      </c>
      <c r="C424" s="5" t="s">
        <v>1014</v>
      </c>
      <c r="D424" s="5"/>
      <c r="E424" s="5"/>
      <c r="F424" s="5"/>
      <c r="G424" s="9" t="s">
        <v>1015</v>
      </c>
      <c r="H424" s="5" t="n">
        <f aca="false">(COUNTIF(J424:EC424,"=0")+COUNTIF(J424:EC424,"=1"))</f>
        <v>9</v>
      </c>
      <c r="I424" s="15" t="n">
        <f aca="false">IFERROR(ROUND(10-AVERAGE(J424:EC424)*10,0),0)</f>
        <v>6</v>
      </c>
      <c r="J424" s="11" t="n">
        <v>0</v>
      </c>
      <c r="K424" s="11" t="n">
        <v>0</v>
      </c>
      <c r="L424" s="11" t="n">
        <v>0</v>
      </c>
      <c r="M424" s="5"/>
      <c r="N424" s="5"/>
      <c r="O424" s="11" t="n">
        <v>0</v>
      </c>
      <c r="P424" s="11" t="n">
        <v>1</v>
      </c>
      <c r="Q424" s="11" t="n">
        <v>1</v>
      </c>
      <c r="R424" s="11" t="n">
        <v>1</v>
      </c>
      <c r="S424" s="5"/>
      <c r="T424" s="11" t="n">
        <v>1</v>
      </c>
      <c r="U424" s="11" t="n">
        <v>0</v>
      </c>
      <c r="V424" s="5"/>
      <c r="W424" s="5"/>
      <c r="X424" s="5"/>
      <c r="Y424" s="5"/>
      <c r="Z424" s="5"/>
      <c r="AA424" s="5"/>
      <c r="AB424" s="5"/>
    </row>
    <row r="425" customFormat="false" ht="15.75" hidden="false" customHeight="false" outlineLevel="0" collapsed="false">
      <c r="A425" s="5" t="s">
        <v>995</v>
      </c>
      <c r="B425" s="5" t="s">
        <v>995</v>
      </c>
      <c r="C425" s="5" t="s">
        <v>1016</v>
      </c>
      <c r="D425" s="5"/>
      <c r="E425" s="5"/>
      <c r="F425" s="5"/>
      <c r="G425" s="5"/>
      <c r="H425" s="5" t="n">
        <f aca="false">(COUNTIF(J425:EC425,"=0")+COUNTIF(J425:EC425,"=1"))</f>
        <v>5</v>
      </c>
      <c r="I425" s="19" t="n">
        <f aca="false">IFERROR(ROUND(10-AVERAGE(J425:EC425)*10,0),0)</f>
        <v>6</v>
      </c>
      <c r="J425" s="5" t="n">
        <v>0</v>
      </c>
      <c r="K425" s="11" t="n">
        <v>0</v>
      </c>
      <c r="L425" s="5"/>
      <c r="M425" s="5"/>
      <c r="N425" s="5"/>
      <c r="O425" s="5"/>
      <c r="P425" s="11" t="n">
        <v>1</v>
      </c>
      <c r="Q425" s="5"/>
      <c r="R425" s="5"/>
      <c r="S425" s="5"/>
      <c r="T425" s="11" t="n">
        <v>1</v>
      </c>
      <c r="U425" s="5"/>
      <c r="V425" s="5"/>
      <c r="W425" s="5"/>
      <c r="X425" s="5"/>
      <c r="Y425" s="5"/>
      <c r="Z425" s="11" t="n">
        <v>0</v>
      </c>
      <c r="AA425" s="5"/>
      <c r="AB425" s="5"/>
    </row>
    <row r="426" customFormat="false" ht="15.75" hidden="false" customHeight="false" outlineLevel="0" collapsed="false">
      <c r="A426" s="5" t="s">
        <v>995</v>
      </c>
      <c r="B426" s="5" t="s">
        <v>1017</v>
      </c>
      <c r="C426" s="5" t="s">
        <v>1018</v>
      </c>
      <c r="D426" s="5"/>
      <c r="E426" s="5"/>
      <c r="F426" s="5"/>
      <c r="G426" s="9" t="s">
        <v>1019</v>
      </c>
      <c r="H426" s="11" t="n">
        <f aca="false">(COUNTIF(J426:EJ426,"=0")+COUNTIF(J426:EJ426,"=1"))</f>
        <v>8</v>
      </c>
      <c r="I426" s="16" t="n">
        <f aca="false">ROUND(10-AVERAGE(J426:EJ426)*10,0)</f>
        <v>6</v>
      </c>
      <c r="J426" s="11" t="n">
        <v>0</v>
      </c>
      <c r="K426" s="11" t="n">
        <v>0</v>
      </c>
      <c r="L426" s="5"/>
      <c r="M426" s="5"/>
      <c r="N426" s="5"/>
      <c r="O426" s="11" t="n">
        <v>0</v>
      </c>
      <c r="P426" s="11" t="n">
        <v>1</v>
      </c>
      <c r="Q426" s="11" t="n">
        <v>1</v>
      </c>
      <c r="R426" s="5"/>
      <c r="S426" s="5"/>
      <c r="T426" s="11" t="n">
        <v>0</v>
      </c>
      <c r="U426" s="11" t="n">
        <v>0</v>
      </c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 t="n">
        <v>1</v>
      </c>
    </row>
    <row r="427" customFormat="false" ht="15.75" hidden="false" customHeight="false" outlineLevel="0" collapsed="false">
      <c r="A427" s="5" t="s">
        <v>995</v>
      </c>
      <c r="B427" s="5" t="s">
        <v>1017</v>
      </c>
      <c r="C427" s="5" t="s">
        <v>1020</v>
      </c>
      <c r="D427" s="5"/>
      <c r="E427" s="5"/>
      <c r="F427" s="5"/>
      <c r="G427" s="9" t="s">
        <v>1021</v>
      </c>
      <c r="H427" s="11" t="n">
        <f aca="false">(COUNTIF(J427:EJ427,"=0")+COUNTIF(J427:EJ427,"=1"))</f>
        <v>8</v>
      </c>
      <c r="I427" s="16" t="n">
        <f aca="false">ROUND(10-AVERAGE(J427:EJ427)*10,0)</f>
        <v>8</v>
      </c>
      <c r="J427" s="11" t="n">
        <v>0</v>
      </c>
      <c r="K427" s="11" t="n">
        <v>0</v>
      </c>
      <c r="L427" s="5"/>
      <c r="M427" s="5"/>
      <c r="N427" s="5"/>
      <c r="O427" s="11" t="n">
        <v>0</v>
      </c>
      <c r="P427" s="11" t="n">
        <v>1</v>
      </c>
      <c r="Q427" s="11" t="n">
        <v>1</v>
      </c>
      <c r="R427" s="5"/>
      <c r="S427" s="5"/>
      <c r="T427" s="11" t="n">
        <v>0</v>
      </c>
      <c r="U427" s="11" t="n">
        <v>0</v>
      </c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 t="n">
        <v>0</v>
      </c>
    </row>
    <row r="428" customFormat="false" ht="15.75" hidden="false" customHeight="false" outlineLevel="0" collapsed="false">
      <c r="A428" s="5" t="s">
        <v>1022</v>
      </c>
      <c r="B428" s="5" t="s">
        <v>1023</v>
      </c>
      <c r="C428" s="5" t="s">
        <v>1024</v>
      </c>
      <c r="D428" s="5"/>
      <c r="E428" s="5"/>
      <c r="F428" s="5"/>
      <c r="G428" s="9" t="s">
        <v>1025</v>
      </c>
      <c r="H428" s="5" t="n">
        <f aca="false">(COUNTIF(J428:EC428,"=0")+COUNTIF(J428:EC428,"=1"))</f>
        <v>9</v>
      </c>
      <c r="I428" s="12" t="n">
        <f aca="false">IFERROR(ROUND(10-AVERAGE(J428:EC428)*10,0),0)</f>
        <v>8</v>
      </c>
      <c r="J428" s="11" t="n">
        <v>0</v>
      </c>
      <c r="K428" s="11" t="n">
        <v>1</v>
      </c>
      <c r="L428" s="11" t="n">
        <v>0</v>
      </c>
      <c r="M428" s="5"/>
      <c r="N428" s="5"/>
      <c r="O428" s="11" t="n">
        <v>0</v>
      </c>
      <c r="P428" s="11" t="n">
        <v>0</v>
      </c>
      <c r="Q428" s="11" t="n">
        <v>0</v>
      </c>
      <c r="R428" s="5"/>
      <c r="S428" s="11" t="n">
        <v>0</v>
      </c>
      <c r="T428" s="11" t="n">
        <v>1</v>
      </c>
      <c r="U428" s="11" t="n">
        <v>0</v>
      </c>
      <c r="V428" s="5"/>
      <c r="W428" s="5"/>
      <c r="X428" s="5"/>
      <c r="Y428" s="5"/>
      <c r="Z428" s="5"/>
      <c r="AA428" s="5"/>
      <c r="AB428" s="5"/>
    </row>
    <row r="429" customFormat="false" ht="15.75" hidden="false" customHeight="false" outlineLevel="0" collapsed="false">
      <c r="A429" s="5" t="s">
        <v>1022</v>
      </c>
      <c r="B429" s="5" t="s">
        <v>1023</v>
      </c>
      <c r="C429" s="5" t="s">
        <v>1026</v>
      </c>
      <c r="D429" s="5"/>
      <c r="E429" s="5"/>
      <c r="F429" s="5"/>
      <c r="G429" s="9" t="s">
        <v>1027</v>
      </c>
      <c r="H429" s="5" t="n">
        <f aca="false">(COUNTIF(J429:EC429,"=0")+COUNTIF(J429:EC429,"=1"))</f>
        <v>9</v>
      </c>
      <c r="I429" s="17" t="n">
        <f aca="false">IFERROR(ROUND(10-AVERAGE(J429:EC429)*10,0),0)</f>
        <v>9</v>
      </c>
      <c r="J429" s="11" t="n">
        <v>0</v>
      </c>
      <c r="K429" s="11" t="n">
        <v>1</v>
      </c>
      <c r="L429" s="11" t="n">
        <v>0</v>
      </c>
      <c r="M429" s="5"/>
      <c r="N429" s="5"/>
      <c r="O429" s="11" t="n">
        <v>0</v>
      </c>
      <c r="P429" s="11" t="n">
        <v>0</v>
      </c>
      <c r="Q429" s="11" t="n">
        <v>0</v>
      </c>
      <c r="R429" s="5"/>
      <c r="S429" s="11" t="n">
        <v>0</v>
      </c>
      <c r="T429" s="11" t="n">
        <v>0</v>
      </c>
      <c r="U429" s="11" t="n">
        <v>0</v>
      </c>
      <c r="V429" s="5"/>
      <c r="W429" s="5"/>
      <c r="X429" s="5"/>
      <c r="Y429" s="5"/>
      <c r="Z429" s="5"/>
      <c r="AA429" s="5"/>
      <c r="AB429" s="5"/>
    </row>
    <row r="430" customFormat="false" ht="15.75" hidden="false" customHeight="false" outlineLevel="0" collapsed="false">
      <c r="A430" s="5" t="s">
        <v>1022</v>
      </c>
      <c r="B430" s="5" t="s">
        <v>1023</v>
      </c>
      <c r="C430" s="5" t="s">
        <v>1028</v>
      </c>
      <c r="D430" s="5"/>
      <c r="E430" s="5"/>
      <c r="F430" s="5"/>
      <c r="G430" s="9" t="s">
        <v>1029</v>
      </c>
      <c r="H430" s="5" t="n">
        <f aca="false">(COUNTIF(J430:EC430,"=0")+COUNTIF(J430:EC430,"=1"))</f>
        <v>10</v>
      </c>
      <c r="I430" s="17" t="n">
        <f aca="false">IFERROR(ROUND(10-AVERAGE(J430:EC430)*10,0),0)</f>
        <v>9</v>
      </c>
      <c r="J430" s="11" t="n">
        <v>0</v>
      </c>
      <c r="K430" s="11" t="n">
        <v>1</v>
      </c>
      <c r="L430" s="11" t="n">
        <v>0</v>
      </c>
      <c r="M430" s="5"/>
      <c r="N430" s="5"/>
      <c r="O430" s="11" t="n">
        <v>0</v>
      </c>
      <c r="P430" s="11" t="n">
        <v>0</v>
      </c>
      <c r="Q430" s="11" t="n">
        <v>0</v>
      </c>
      <c r="R430" s="5"/>
      <c r="S430" s="11" t="n">
        <v>0</v>
      </c>
      <c r="T430" s="11" t="n">
        <v>0</v>
      </c>
      <c r="U430" s="11" t="n">
        <v>0</v>
      </c>
      <c r="V430" s="5"/>
      <c r="W430" s="5" t="n">
        <v>0</v>
      </c>
      <c r="X430" s="5"/>
      <c r="Y430" s="5"/>
      <c r="Z430" s="5"/>
      <c r="AA430" s="5"/>
      <c r="AB430" s="5"/>
    </row>
    <row r="431" customFormat="false" ht="15.75" hidden="false" customHeight="false" outlineLevel="0" collapsed="false">
      <c r="A431" s="5" t="s">
        <v>1022</v>
      </c>
      <c r="B431" s="5" t="s">
        <v>1023</v>
      </c>
      <c r="C431" s="5" t="s">
        <v>1030</v>
      </c>
      <c r="D431" s="5"/>
      <c r="E431" s="5"/>
      <c r="F431" s="5"/>
      <c r="G431" s="9" t="s">
        <v>1031</v>
      </c>
      <c r="H431" s="5" t="n">
        <f aca="false">(COUNTIF(J431:EC431,"=0")+COUNTIF(J431:EC431,"=1"))</f>
        <v>10</v>
      </c>
      <c r="I431" s="17" t="n">
        <f aca="false">IFERROR(ROUND(10-AVERAGE(J431:EC431)*10,0),0)</f>
        <v>9</v>
      </c>
      <c r="J431" s="11" t="n">
        <v>0</v>
      </c>
      <c r="K431" s="11" t="n">
        <v>1</v>
      </c>
      <c r="L431" s="11" t="n">
        <v>0</v>
      </c>
      <c r="M431" s="5"/>
      <c r="N431" s="5"/>
      <c r="O431" s="11" t="n">
        <v>0</v>
      </c>
      <c r="P431" s="11" t="n">
        <v>0</v>
      </c>
      <c r="Q431" s="11" t="n">
        <v>0</v>
      </c>
      <c r="R431" s="5"/>
      <c r="S431" s="11" t="n">
        <v>0</v>
      </c>
      <c r="T431" s="11" t="n">
        <v>0</v>
      </c>
      <c r="U431" s="11" t="n">
        <v>0</v>
      </c>
      <c r="V431" s="5"/>
      <c r="W431" s="5" t="n">
        <v>0</v>
      </c>
      <c r="X431" s="5"/>
      <c r="Y431" s="5"/>
      <c r="Z431" s="5"/>
      <c r="AA431" s="5"/>
      <c r="AB431" s="5"/>
    </row>
    <row r="432" customFormat="false" ht="15.75" hidden="false" customHeight="false" outlineLevel="0" collapsed="false">
      <c r="A432" s="5" t="s">
        <v>1022</v>
      </c>
      <c r="B432" s="5" t="s">
        <v>1023</v>
      </c>
      <c r="C432" s="5" t="s">
        <v>1032</v>
      </c>
      <c r="D432" s="5"/>
      <c r="E432" s="5"/>
      <c r="F432" s="5"/>
      <c r="G432" s="9" t="s">
        <v>1033</v>
      </c>
      <c r="H432" s="5" t="n">
        <f aca="false">(COUNTIF(J432:EC432,"=0")+COUNTIF(J432:EC432,"=1"))</f>
        <v>9</v>
      </c>
      <c r="I432" s="17" t="n">
        <f aca="false">IFERROR(ROUND(10-AVERAGE(J432:EC432)*10,0),0)</f>
        <v>9</v>
      </c>
      <c r="J432" s="11" t="n">
        <v>0</v>
      </c>
      <c r="K432" s="11" t="n">
        <v>1</v>
      </c>
      <c r="L432" s="11" t="n">
        <v>0</v>
      </c>
      <c r="M432" s="5"/>
      <c r="N432" s="5"/>
      <c r="O432" s="11" t="n">
        <v>0</v>
      </c>
      <c r="P432" s="11" t="n">
        <v>0</v>
      </c>
      <c r="Q432" s="11" t="n">
        <v>0</v>
      </c>
      <c r="R432" s="5"/>
      <c r="S432" s="11" t="n">
        <v>0</v>
      </c>
      <c r="T432" s="11" t="n">
        <v>0</v>
      </c>
      <c r="U432" s="11" t="n">
        <v>0</v>
      </c>
      <c r="V432" s="5"/>
      <c r="W432" s="5"/>
      <c r="X432" s="5"/>
      <c r="Y432" s="5"/>
      <c r="Z432" s="5"/>
      <c r="AA432" s="5"/>
      <c r="AB432" s="5"/>
    </row>
    <row r="433" customFormat="false" ht="15.75" hidden="false" customHeight="false" outlineLevel="0" collapsed="false">
      <c r="A433" s="5" t="s">
        <v>1022</v>
      </c>
      <c r="B433" s="5" t="s">
        <v>1023</v>
      </c>
      <c r="C433" s="5" t="s">
        <v>1034</v>
      </c>
      <c r="D433" s="5"/>
      <c r="E433" s="5"/>
      <c r="F433" s="5"/>
      <c r="G433" s="9" t="s">
        <v>1035</v>
      </c>
      <c r="H433" s="5" t="n">
        <f aca="false">(COUNTIF(J433:EC433,"=0")+COUNTIF(J433:EC433,"=1"))</f>
        <v>9</v>
      </c>
      <c r="I433" s="17" t="n">
        <f aca="false">IFERROR(ROUND(10-AVERAGE(J433:EC433)*10,0),0)</f>
        <v>9</v>
      </c>
      <c r="J433" s="11" t="n">
        <v>0</v>
      </c>
      <c r="K433" s="11" t="n">
        <v>1</v>
      </c>
      <c r="L433" s="11" t="n">
        <v>0</v>
      </c>
      <c r="M433" s="5"/>
      <c r="N433" s="5"/>
      <c r="O433" s="11" t="n">
        <v>0</v>
      </c>
      <c r="P433" s="11" t="n">
        <v>0</v>
      </c>
      <c r="Q433" s="11" t="n">
        <v>0</v>
      </c>
      <c r="R433" s="5"/>
      <c r="S433" s="11" t="n">
        <v>0</v>
      </c>
      <c r="T433" s="11" t="n">
        <v>0</v>
      </c>
      <c r="U433" s="11" t="n">
        <v>0</v>
      </c>
      <c r="V433" s="5"/>
      <c r="W433" s="5"/>
      <c r="X433" s="5"/>
      <c r="Y433" s="5"/>
      <c r="Z433" s="5"/>
      <c r="AA433" s="5"/>
      <c r="AB433" s="5"/>
    </row>
    <row r="434" customFormat="false" ht="15.75" hidden="false" customHeight="false" outlineLevel="0" collapsed="false">
      <c r="A434" s="5" t="s">
        <v>1022</v>
      </c>
      <c r="B434" s="5" t="s">
        <v>1023</v>
      </c>
      <c r="C434" s="5" t="s">
        <v>1036</v>
      </c>
      <c r="D434" s="5"/>
      <c r="E434" s="5"/>
      <c r="F434" s="5"/>
      <c r="G434" s="9" t="s">
        <v>1037</v>
      </c>
      <c r="H434" s="5" t="n">
        <f aca="false">(COUNTIF(J434:EC434,"=0")+COUNTIF(J434:EC434,"=1"))</f>
        <v>6</v>
      </c>
      <c r="I434" s="12" t="n">
        <f aca="false">IFERROR(ROUND(10-AVERAGE(J434:EC434)*10,0),0)</f>
        <v>8</v>
      </c>
      <c r="J434" s="11" t="n">
        <v>0</v>
      </c>
      <c r="K434" s="11" t="n">
        <v>1</v>
      </c>
      <c r="L434" s="5"/>
      <c r="M434" s="5"/>
      <c r="N434" s="5"/>
      <c r="O434" s="5"/>
      <c r="P434" s="11" t="n">
        <v>0</v>
      </c>
      <c r="Q434" s="11" t="n">
        <v>0</v>
      </c>
      <c r="R434" s="5"/>
      <c r="S434" s="5"/>
      <c r="T434" s="11" t="n">
        <v>0</v>
      </c>
      <c r="U434" s="11" t="n">
        <v>0</v>
      </c>
      <c r="V434" s="5"/>
      <c r="W434" s="5"/>
      <c r="X434" s="5"/>
      <c r="Y434" s="5"/>
      <c r="Z434" s="5"/>
      <c r="AA434" s="5"/>
      <c r="AB434" s="5"/>
    </row>
    <row r="435" customFormat="false" ht="15.75" hidden="false" customHeight="false" outlineLevel="0" collapsed="false">
      <c r="A435" s="5" t="s">
        <v>1022</v>
      </c>
      <c r="B435" s="5" t="s">
        <v>1023</v>
      </c>
      <c r="C435" s="5" t="s">
        <v>1038</v>
      </c>
      <c r="D435" s="5"/>
      <c r="E435" s="5"/>
      <c r="F435" s="5"/>
      <c r="G435" s="9" t="s">
        <v>1039</v>
      </c>
      <c r="H435" s="5" t="n">
        <f aca="false">(COUNTIF(J435:EC435,"=0")+COUNTIF(J435:EC435,"=1"))</f>
        <v>9</v>
      </c>
      <c r="I435" s="17" t="n">
        <f aca="false">IFERROR(ROUND(10-AVERAGE(J435:EC435)*10,0),0)</f>
        <v>9</v>
      </c>
      <c r="J435" s="11" t="n">
        <v>0</v>
      </c>
      <c r="K435" s="11" t="n">
        <v>1</v>
      </c>
      <c r="L435" s="11" t="n">
        <v>0</v>
      </c>
      <c r="M435" s="5"/>
      <c r="N435" s="5"/>
      <c r="O435" s="11" t="n">
        <v>0</v>
      </c>
      <c r="P435" s="11" t="n">
        <v>0</v>
      </c>
      <c r="Q435" s="11" t="n">
        <v>0</v>
      </c>
      <c r="R435" s="5"/>
      <c r="S435" s="11" t="n">
        <v>0</v>
      </c>
      <c r="T435" s="11" t="n">
        <v>0</v>
      </c>
      <c r="U435" s="11" t="n">
        <v>0</v>
      </c>
      <c r="V435" s="5"/>
      <c r="W435" s="5"/>
      <c r="X435" s="5"/>
      <c r="Y435" s="5"/>
      <c r="Z435" s="5"/>
      <c r="AA435" s="5"/>
      <c r="AB435" s="5"/>
    </row>
    <row r="436" customFormat="false" ht="15.75" hidden="false" customHeight="false" outlineLevel="0" collapsed="false">
      <c r="A436" s="5" t="s">
        <v>1040</v>
      </c>
      <c r="B436" s="5" t="s">
        <v>1041</v>
      </c>
      <c r="C436" s="5" t="s">
        <v>1042</v>
      </c>
      <c r="D436" s="5"/>
      <c r="E436" s="5"/>
      <c r="F436" s="5"/>
      <c r="G436" s="9" t="s">
        <v>1043</v>
      </c>
      <c r="H436" s="5" t="n">
        <f aca="false">(COUNTIF(J436:EC436,"=0")+COUNTIF(J436:EC436,"=1"))</f>
        <v>7</v>
      </c>
      <c r="I436" s="23" t="n">
        <f aca="false">IFERROR(ROUND(10-AVERAGE(J436:EC436)*10,0),0)</f>
        <v>6</v>
      </c>
      <c r="J436" s="11" t="n">
        <v>1</v>
      </c>
      <c r="K436" s="11" t="n">
        <v>0</v>
      </c>
      <c r="L436" s="5"/>
      <c r="M436" s="5"/>
      <c r="N436" s="5"/>
      <c r="O436" s="5" t="n">
        <v>0</v>
      </c>
      <c r="P436" s="11" t="n">
        <v>1</v>
      </c>
      <c r="Q436" s="5" t="n">
        <v>0</v>
      </c>
      <c r="R436" s="5"/>
      <c r="S436" s="5"/>
      <c r="T436" s="5"/>
      <c r="U436" s="5"/>
      <c r="V436" s="5"/>
      <c r="W436" s="11" t="n">
        <v>1</v>
      </c>
      <c r="X436" s="5"/>
      <c r="Y436" s="5"/>
      <c r="Z436" s="11" t="n">
        <v>0</v>
      </c>
      <c r="AA436" s="5"/>
      <c r="AB436" s="5"/>
    </row>
    <row r="437" customFormat="false" ht="15.75" hidden="false" customHeight="false" outlineLevel="0" collapsed="false">
      <c r="A437" s="5" t="s">
        <v>1044</v>
      </c>
      <c r="B437" s="5" t="s">
        <v>1044</v>
      </c>
      <c r="C437" s="5" t="s">
        <v>1045</v>
      </c>
      <c r="D437" s="5"/>
      <c r="E437" s="5"/>
      <c r="F437" s="5"/>
      <c r="G437" s="5"/>
      <c r="H437" s="5" t="n">
        <f aca="false">(COUNTIF(J437:EC437,"=0")+COUNTIF(J437:EC437,"=1"))</f>
        <v>10</v>
      </c>
      <c r="I437" s="12" t="n">
        <f aca="false">IFERROR(ROUND(10-AVERAGE(J437:EC437)*10,0),0)</f>
        <v>7</v>
      </c>
      <c r="J437" s="11" t="n">
        <v>0</v>
      </c>
      <c r="K437" s="11" t="n">
        <v>0</v>
      </c>
      <c r="L437" s="5"/>
      <c r="M437" s="5"/>
      <c r="N437" s="5"/>
      <c r="O437" s="11" t="n">
        <v>1</v>
      </c>
      <c r="P437" s="11" t="n">
        <v>1</v>
      </c>
      <c r="Q437" s="11" t="n">
        <v>0</v>
      </c>
      <c r="R437" s="5"/>
      <c r="S437" s="11" t="n">
        <v>0</v>
      </c>
      <c r="T437" s="11" t="n">
        <v>0</v>
      </c>
      <c r="U437" s="11" t="n">
        <v>0</v>
      </c>
      <c r="V437" s="5"/>
      <c r="W437" s="5"/>
      <c r="X437" s="5"/>
      <c r="Y437" s="5"/>
      <c r="Z437" s="5"/>
      <c r="AA437" s="5"/>
      <c r="AB437" s="5"/>
      <c r="AC437" s="5" t="n">
        <v>1</v>
      </c>
      <c r="AF437" s="5" t="n">
        <v>0</v>
      </c>
    </row>
    <row r="438" customFormat="false" ht="15.75" hidden="false" customHeight="false" outlineLevel="0" collapsed="false">
      <c r="A438" s="5" t="s">
        <v>1044</v>
      </c>
      <c r="B438" s="5" t="s">
        <v>1044</v>
      </c>
      <c r="C438" s="5" t="s">
        <v>1046</v>
      </c>
      <c r="D438" s="5"/>
      <c r="E438" s="5"/>
      <c r="F438" s="5"/>
      <c r="G438" s="9" t="s">
        <v>1047</v>
      </c>
      <c r="H438" s="5" t="n">
        <f aca="false">(COUNTIF(J438:EC438,"=0")+COUNTIF(J438:EC438,"=1"))</f>
        <v>8</v>
      </c>
      <c r="I438" s="15" t="n">
        <f aca="false">IFERROR(ROUND(10-AVERAGE(J438:EC438)*10,0),0)</f>
        <v>6</v>
      </c>
      <c r="J438" s="11" t="n">
        <v>0</v>
      </c>
      <c r="K438" s="11" t="n">
        <v>0</v>
      </c>
      <c r="L438" s="5"/>
      <c r="M438" s="5"/>
      <c r="N438" s="5"/>
      <c r="O438" s="11" t="n">
        <v>1</v>
      </c>
      <c r="P438" s="11" t="n">
        <v>1</v>
      </c>
      <c r="Q438" s="11" t="n">
        <v>1</v>
      </c>
      <c r="R438" s="5"/>
      <c r="S438" s="11" t="n">
        <v>0</v>
      </c>
      <c r="T438" s="11" t="n">
        <v>0</v>
      </c>
      <c r="U438" s="11" t="n">
        <v>0</v>
      </c>
      <c r="V438" s="5"/>
      <c r="W438" s="5"/>
      <c r="X438" s="5"/>
      <c r="Y438" s="5"/>
      <c r="Z438" s="5"/>
      <c r="AA438" s="5"/>
      <c r="AB438" s="5"/>
    </row>
    <row r="439" customFormat="false" ht="15.75" hidden="false" customHeight="false" outlineLevel="0" collapsed="false">
      <c r="A439" s="5" t="s">
        <v>1044</v>
      </c>
      <c r="B439" s="5" t="s">
        <v>1048</v>
      </c>
      <c r="C439" s="5" t="s">
        <v>1049</v>
      </c>
      <c r="D439" s="5"/>
      <c r="E439" s="5"/>
      <c r="F439" s="5"/>
      <c r="G439" s="5"/>
      <c r="H439" s="5" t="n">
        <f aca="false">(COUNTIF(J439:EC439,"=0")+COUNTIF(J439:EC439,"=1"))</f>
        <v>1</v>
      </c>
      <c r="I439" s="15" t="n">
        <f aca="false">IFERROR(ROUND(10-AVERAGE(J439:EC439)*10,0),0)</f>
        <v>0</v>
      </c>
      <c r="J439" s="11"/>
      <c r="K439" s="11"/>
      <c r="L439" s="5"/>
      <c r="M439" s="5"/>
      <c r="N439" s="5"/>
      <c r="O439" s="11"/>
      <c r="P439" s="11" t="n">
        <v>1</v>
      </c>
      <c r="Q439" s="11"/>
      <c r="R439" s="5"/>
      <c r="S439" s="11"/>
      <c r="T439" s="11"/>
      <c r="U439" s="11"/>
      <c r="V439" s="5"/>
      <c r="W439" s="5"/>
      <c r="X439" s="5"/>
      <c r="Y439" s="5"/>
      <c r="Z439" s="5"/>
      <c r="AA439" s="5"/>
      <c r="AB439" s="5"/>
    </row>
    <row r="440" customFormat="false" ht="15.75" hidden="false" customHeight="false" outlineLevel="0" collapsed="false">
      <c r="A440" s="5" t="s">
        <v>1050</v>
      </c>
      <c r="B440" s="5" t="s">
        <v>1050</v>
      </c>
      <c r="C440" s="5" t="s">
        <v>1051</v>
      </c>
      <c r="D440" s="5"/>
      <c r="E440" s="5"/>
      <c r="F440" s="5"/>
      <c r="G440" s="9" t="s">
        <v>1052</v>
      </c>
      <c r="H440" s="5" t="n">
        <f aca="false">(COUNTIF(J440:EC440,"=0")+COUNTIF(J440:EC440,"=1"))</f>
        <v>5</v>
      </c>
      <c r="I440" s="15" t="n">
        <f aca="false">IFERROR(ROUND(10-AVERAGE(J440:EC440)*10,0),0)</f>
        <v>8</v>
      </c>
      <c r="J440" s="11" t="n">
        <v>0</v>
      </c>
      <c r="K440" s="11" t="n">
        <v>0</v>
      </c>
      <c r="L440" s="5"/>
      <c r="M440" s="5"/>
      <c r="N440" s="5"/>
      <c r="O440" s="5"/>
      <c r="P440" s="11" t="n">
        <v>1</v>
      </c>
      <c r="Q440" s="5"/>
      <c r="R440" s="5"/>
      <c r="S440" s="5"/>
      <c r="T440" s="11" t="n">
        <v>0</v>
      </c>
      <c r="U440" s="5"/>
      <c r="V440" s="5"/>
      <c r="W440" s="5"/>
      <c r="X440" s="5"/>
      <c r="Y440" s="5"/>
      <c r="Z440" s="11" t="n">
        <v>0</v>
      </c>
      <c r="AA440" s="5"/>
      <c r="AB440" s="5"/>
    </row>
    <row r="441" customFormat="false" ht="15.75" hidden="false" customHeight="false" outlineLevel="0" collapsed="false">
      <c r="A441" s="5" t="s">
        <v>1053</v>
      </c>
      <c r="B441" s="5" t="s">
        <v>1053</v>
      </c>
      <c r="C441" s="5" t="s">
        <v>1054</v>
      </c>
      <c r="D441" s="5"/>
      <c r="E441" s="5"/>
      <c r="F441" s="5"/>
      <c r="G441" s="5"/>
      <c r="H441" s="5" t="n">
        <f aca="false">(COUNTIF(J441:EC441,"=0")+COUNTIF(J441:EC441,"=1"))</f>
        <v>10</v>
      </c>
      <c r="I441" s="15" t="n">
        <f aca="false">IFERROR(ROUND(10-AVERAGE(J441:EC441)*10,0),0)</f>
        <v>8</v>
      </c>
      <c r="J441" s="11" t="n">
        <v>0</v>
      </c>
      <c r="K441" s="11" t="n">
        <v>0</v>
      </c>
      <c r="L441" s="5"/>
      <c r="M441" s="5"/>
      <c r="N441" s="5"/>
      <c r="O441" s="11" t="n">
        <v>1</v>
      </c>
      <c r="P441" s="11" t="n">
        <v>1</v>
      </c>
      <c r="Q441" s="11" t="n">
        <v>0</v>
      </c>
      <c r="R441" s="5"/>
      <c r="S441" s="11" t="n">
        <v>0</v>
      </c>
      <c r="T441" s="11" t="n">
        <v>0</v>
      </c>
      <c r="U441" s="11" t="n">
        <v>0</v>
      </c>
      <c r="V441" s="5"/>
      <c r="W441" s="5" t="n">
        <v>0</v>
      </c>
      <c r="X441" s="5"/>
      <c r="Y441" s="5"/>
      <c r="Z441" s="5"/>
      <c r="AA441" s="5"/>
      <c r="AB441" s="5"/>
      <c r="AF441" s="5" t="n">
        <v>0</v>
      </c>
    </row>
    <row r="442" customFormat="false" ht="15.75" hidden="false" customHeight="false" outlineLevel="0" collapsed="false">
      <c r="A442" s="5" t="s">
        <v>1055</v>
      </c>
      <c r="B442" s="5" t="s">
        <v>1055</v>
      </c>
      <c r="C442" s="5" t="s">
        <v>1056</v>
      </c>
      <c r="D442" s="5"/>
      <c r="E442" s="5"/>
      <c r="F442" s="5"/>
      <c r="G442" s="9" t="s">
        <v>1057</v>
      </c>
      <c r="H442" s="5" t="n">
        <f aca="false">(COUNTIF(J442:EC442,"=0")+COUNTIF(J442:EC442,"=1"))</f>
        <v>7</v>
      </c>
      <c r="I442" s="12" t="n">
        <f aca="false">IFERROR(ROUND(10-AVERAGE(J442:EC442)*10,0),0)</f>
        <v>7</v>
      </c>
      <c r="J442" s="5" t="n">
        <v>1</v>
      </c>
      <c r="K442" s="11" t="n">
        <v>0</v>
      </c>
      <c r="L442" s="5"/>
      <c r="M442" s="5"/>
      <c r="N442" s="5"/>
      <c r="O442" s="5"/>
      <c r="P442" s="11" t="n">
        <v>1</v>
      </c>
      <c r="Q442" s="5" t="n">
        <v>0</v>
      </c>
      <c r="R442" s="5"/>
      <c r="S442" s="5"/>
      <c r="T442" s="5"/>
      <c r="U442" s="5"/>
      <c r="V442" s="5"/>
      <c r="W442" s="5"/>
      <c r="X442" s="5"/>
      <c r="Y442" s="5"/>
      <c r="Z442" s="11" t="n">
        <v>0</v>
      </c>
      <c r="AA442" s="11" t="n">
        <v>0</v>
      </c>
      <c r="AB442" s="5"/>
      <c r="AF442" s="5" t="n">
        <v>0</v>
      </c>
    </row>
    <row r="443" customFormat="false" ht="15.75" hidden="false" customHeight="false" outlineLevel="0" collapsed="false">
      <c r="A443" s="5" t="s">
        <v>1058</v>
      </c>
      <c r="B443" s="5" t="s">
        <v>1058</v>
      </c>
      <c r="C443" s="5" t="s">
        <v>1059</v>
      </c>
      <c r="D443" s="5"/>
      <c r="E443" s="5"/>
      <c r="F443" s="5"/>
      <c r="G443" s="5"/>
      <c r="H443" s="5" t="n">
        <f aca="false">(COUNTIF(J443:EC443,"=0")+COUNTIF(J443:EC443,"=1"))</f>
        <v>9</v>
      </c>
      <c r="I443" s="17" t="n">
        <f aca="false">IFERROR(ROUND(10-AVERAGE(J443:EC443)*10,0),0)</f>
        <v>8</v>
      </c>
      <c r="J443" s="11" t="n">
        <v>0</v>
      </c>
      <c r="K443" s="11" t="n">
        <v>0</v>
      </c>
      <c r="L443" s="5"/>
      <c r="M443" s="5"/>
      <c r="N443" s="5"/>
      <c r="O443" s="11" t="n">
        <v>1</v>
      </c>
      <c r="P443" s="11" t="n">
        <v>1</v>
      </c>
      <c r="Q443" s="11" t="n">
        <v>0</v>
      </c>
      <c r="R443" s="5"/>
      <c r="S443" s="5" t="n">
        <v>0</v>
      </c>
      <c r="T443" s="11" t="n">
        <v>0</v>
      </c>
      <c r="U443" s="11" t="n">
        <v>0</v>
      </c>
      <c r="V443" s="5"/>
      <c r="W443" s="5"/>
      <c r="X443" s="5"/>
      <c r="Y443" s="5"/>
      <c r="Z443" s="5"/>
      <c r="AA443" s="11" t="n">
        <v>0</v>
      </c>
      <c r="AB443" s="5"/>
    </row>
    <row r="444" customFormat="false" ht="15.75" hidden="false" customHeight="false" outlineLevel="0" collapsed="false">
      <c r="A444" s="5" t="s">
        <v>1060</v>
      </c>
      <c r="B444" s="5" t="s">
        <v>1060</v>
      </c>
      <c r="C444" s="5" t="s">
        <v>1061</v>
      </c>
      <c r="D444" s="5"/>
      <c r="E444" s="14" t="s">
        <v>1062</v>
      </c>
      <c r="F444" s="5"/>
      <c r="G444" s="14" t="s">
        <v>1063</v>
      </c>
      <c r="H444" s="5" t="n">
        <f aca="false">(COUNTIF(J444:EC444,"=0")+COUNTIF(J444:EC444,"=1"))</f>
        <v>1</v>
      </c>
      <c r="I444" s="15" t="n">
        <f aca="false">IFERROR(ROUND(10-AVERAGE(J444:EC444)*10,0),0)</f>
        <v>0</v>
      </c>
      <c r="J444" s="5"/>
      <c r="K444" s="5"/>
      <c r="L444" s="5"/>
      <c r="M444" s="5"/>
      <c r="N444" s="5"/>
      <c r="O444" s="5"/>
      <c r="P444" s="5" t="n">
        <v>1</v>
      </c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customFormat="false" ht="15.75" hidden="false" customHeight="false" outlineLevel="0" collapsed="false">
      <c r="A445" s="5" t="s">
        <v>1064</v>
      </c>
      <c r="B445" s="5" t="s">
        <v>1064</v>
      </c>
      <c r="C445" s="5" t="s">
        <v>1065</v>
      </c>
      <c r="D445" s="5"/>
      <c r="E445" s="5"/>
      <c r="F445" s="5"/>
      <c r="G445" s="9" t="s">
        <v>1066</v>
      </c>
      <c r="H445" s="5" t="n">
        <f aca="false">(COUNTIF(J445:EC445,"=0")+COUNTIF(J445:EC445,"=1"))</f>
        <v>5</v>
      </c>
      <c r="I445" s="16" t="n">
        <f aca="false">IFERROR(ROUND(10-AVERAGE(J445:EC445)*10,0),0)</f>
        <v>6</v>
      </c>
      <c r="J445" s="5" t="n">
        <v>0</v>
      </c>
      <c r="K445" s="11" t="n">
        <v>0</v>
      </c>
      <c r="L445" s="5"/>
      <c r="M445" s="5"/>
      <c r="N445" s="5"/>
      <c r="O445" s="5"/>
      <c r="P445" s="11" t="n">
        <v>1</v>
      </c>
      <c r="Q445" s="5" t="n">
        <v>1</v>
      </c>
      <c r="R445" s="5"/>
      <c r="S445" s="5"/>
      <c r="T445" s="5"/>
      <c r="U445" s="5"/>
      <c r="V445" s="5"/>
      <c r="W445" s="5"/>
      <c r="X445" s="5"/>
      <c r="Y445" s="5"/>
      <c r="Z445" s="11" t="n">
        <v>0</v>
      </c>
      <c r="AA445" s="5"/>
      <c r="AB445" s="5"/>
    </row>
    <row r="446" customFormat="false" ht="15.75" hidden="false" customHeight="false" outlineLevel="0" collapsed="false">
      <c r="A446" s="5" t="s">
        <v>1067</v>
      </c>
      <c r="B446" s="5" t="s">
        <v>1067</v>
      </c>
      <c r="C446" s="5" t="s">
        <v>1068</v>
      </c>
      <c r="D446" s="5"/>
      <c r="E446" s="5"/>
      <c r="F446" s="5"/>
      <c r="G446" s="5"/>
      <c r="H446" s="5" t="n">
        <f aca="false">(COUNTIF(J446:EC446,"=0")+COUNTIF(J446:EC446,"=1"))</f>
        <v>5</v>
      </c>
      <c r="I446" s="10" t="n">
        <f aca="false">IFERROR(ROUND(10-AVERAGE(J446:EC446)*10,0),0)</f>
        <v>10</v>
      </c>
      <c r="J446" s="5" t="n">
        <v>0</v>
      </c>
      <c r="K446" s="11" t="n">
        <v>0</v>
      </c>
      <c r="L446" s="5"/>
      <c r="M446" s="5"/>
      <c r="N446" s="5"/>
      <c r="O446" s="5"/>
      <c r="P446" s="11" t="n">
        <v>0</v>
      </c>
      <c r="Q446" s="5" t="n">
        <v>0</v>
      </c>
      <c r="R446" s="5"/>
      <c r="S446" s="5"/>
      <c r="T446" s="5"/>
      <c r="U446" s="5"/>
      <c r="V446" s="5"/>
      <c r="W446" s="5"/>
      <c r="X446" s="5"/>
      <c r="Y446" s="5"/>
      <c r="Z446" s="11" t="n">
        <v>0</v>
      </c>
      <c r="AA446" s="5"/>
      <c r="AB446" s="5"/>
    </row>
    <row r="447" customFormat="false" ht="15.75" hidden="false" customHeight="false" outlineLevel="0" collapsed="false">
      <c r="A447" s="5" t="s">
        <v>1069</v>
      </c>
      <c r="B447" s="5" t="s">
        <v>1069</v>
      </c>
      <c r="C447" s="5" t="s">
        <v>1070</v>
      </c>
      <c r="D447" s="5"/>
      <c r="E447" s="5"/>
      <c r="F447" s="5"/>
      <c r="G447" s="9" t="s">
        <v>1071</v>
      </c>
      <c r="H447" s="5" t="n">
        <f aca="false">(COUNTIF(J447:EC447,"=0")+COUNTIF(J447:EC447,"=1"))</f>
        <v>8</v>
      </c>
      <c r="I447" s="10" t="n">
        <f aca="false">IFERROR(ROUND(10-AVERAGE(J447:EC447)*10,0),0)</f>
        <v>10</v>
      </c>
      <c r="J447" s="11" t="n">
        <v>0</v>
      </c>
      <c r="K447" s="11" t="n">
        <v>0</v>
      </c>
      <c r="L447" s="5"/>
      <c r="M447" s="5"/>
      <c r="N447" s="5"/>
      <c r="O447" s="5"/>
      <c r="P447" s="11" t="n">
        <v>0</v>
      </c>
      <c r="Q447" s="11" t="n">
        <v>0</v>
      </c>
      <c r="R447" s="5"/>
      <c r="S447" s="11" t="n">
        <v>0</v>
      </c>
      <c r="T447" s="11" t="n">
        <v>0</v>
      </c>
      <c r="U447" s="11" t="n">
        <v>0</v>
      </c>
      <c r="V447" s="5"/>
      <c r="W447" s="5" t="n">
        <v>0</v>
      </c>
      <c r="X447" s="5"/>
      <c r="Y447" s="5"/>
      <c r="Z447" s="5"/>
      <c r="AA447" s="5"/>
      <c r="AB447" s="5"/>
    </row>
    <row r="448" customFormat="false" ht="15.75" hidden="false" customHeight="false" outlineLevel="0" collapsed="false">
      <c r="A448" s="5" t="s">
        <v>1072</v>
      </c>
      <c r="B448" s="5" t="s">
        <v>1073</v>
      </c>
      <c r="C448" s="5" t="s">
        <v>1074</v>
      </c>
      <c r="D448" s="5"/>
      <c r="E448" s="5"/>
      <c r="F448" s="5"/>
      <c r="G448" s="9" t="s">
        <v>1075</v>
      </c>
      <c r="H448" s="5" t="n">
        <f aca="false">(COUNTIF(J448:EC448,"=0")+COUNTIF(J448:EC448,"=1"))</f>
        <v>5</v>
      </c>
      <c r="I448" s="16" t="n">
        <f aca="false">IFERROR(ROUND(10-AVERAGE(J448:EC448)*10,0),0)</f>
        <v>8</v>
      </c>
      <c r="J448" s="5" t="n">
        <v>0</v>
      </c>
      <c r="K448" s="11" t="n">
        <v>0</v>
      </c>
      <c r="L448" s="5"/>
      <c r="M448" s="5"/>
      <c r="N448" s="5"/>
      <c r="O448" s="5"/>
      <c r="P448" s="11" t="n">
        <v>1</v>
      </c>
      <c r="Q448" s="5" t="n">
        <v>0</v>
      </c>
      <c r="R448" s="5"/>
      <c r="S448" s="5"/>
      <c r="T448" s="5"/>
      <c r="U448" s="5"/>
      <c r="V448" s="5"/>
      <c r="W448" s="5"/>
      <c r="X448" s="5"/>
      <c r="Y448" s="5"/>
      <c r="Z448" s="11" t="n">
        <v>0</v>
      </c>
      <c r="AA448" s="5"/>
      <c r="AB448" s="5"/>
    </row>
    <row r="449" customFormat="false" ht="15.75" hidden="false" customHeight="false" outlineLevel="0" collapsed="false">
      <c r="A449" s="5" t="s">
        <v>1076</v>
      </c>
      <c r="B449" s="5" t="s">
        <v>1077</v>
      </c>
      <c r="C449" s="5" t="s">
        <v>1078</v>
      </c>
      <c r="D449" s="5"/>
      <c r="E449" s="5"/>
      <c r="F449" s="5"/>
      <c r="G449" s="9" t="s">
        <v>1079</v>
      </c>
      <c r="H449" s="5" t="n">
        <f aca="false">(COUNTIF(J449:EC449,"=0")+COUNTIF(J449:EC449,"=1"))</f>
        <v>5</v>
      </c>
      <c r="I449" s="12" t="n">
        <f aca="false">IFERROR(ROUND(10-AVERAGE(J449:EC449)*10,0),0)</f>
        <v>8</v>
      </c>
      <c r="J449" s="11" t="n">
        <v>0</v>
      </c>
      <c r="K449" s="11" t="n">
        <v>0</v>
      </c>
      <c r="L449" s="5"/>
      <c r="M449" s="5"/>
      <c r="N449" s="5"/>
      <c r="O449" s="5"/>
      <c r="P449" s="11" t="n">
        <v>0</v>
      </c>
      <c r="Q449" s="5"/>
      <c r="R449" s="5"/>
      <c r="S449" s="5"/>
      <c r="T449" s="11" t="n">
        <v>0</v>
      </c>
      <c r="U449" s="5"/>
      <c r="V449" s="5"/>
      <c r="W449" s="5"/>
      <c r="X449" s="11" t="n">
        <v>1</v>
      </c>
      <c r="Y449" s="5"/>
      <c r="Z449" s="5"/>
      <c r="AA449" s="5"/>
      <c r="AB449" s="5"/>
    </row>
    <row r="450" customFormat="false" ht="15.75" hidden="false" customHeight="false" outlineLevel="0" collapsed="false">
      <c r="A450" s="5" t="s">
        <v>1076</v>
      </c>
      <c r="B450" s="5" t="s">
        <v>1077</v>
      </c>
      <c r="C450" s="5" t="s">
        <v>1080</v>
      </c>
      <c r="D450" s="5"/>
      <c r="E450" s="5"/>
      <c r="F450" s="5"/>
      <c r="G450" s="9" t="s">
        <v>1081</v>
      </c>
      <c r="H450" s="5" t="n">
        <f aca="false">(COUNTIF(J450:EC450,"=0")+COUNTIF(J450:EC450,"=1"))</f>
        <v>5</v>
      </c>
      <c r="I450" s="12" t="n">
        <f aca="false">IFERROR(ROUND(10-AVERAGE(J450:EC450)*10,0),0)</f>
        <v>8</v>
      </c>
      <c r="J450" s="11" t="n">
        <v>0</v>
      </c>
      <c r="K450" s="11" t="n">
        <v>0</v>
      </c>
      <c r="L450" s="5"/>
      <c r="M450" s="5"/>
      <c r="N450" s="5"/>
      <c r="O450" s="5"/>
      <c r="P450" s="11" t="n">
        <v>0</v>
      </c>
      <c r="Q450" s="5"/>
      <c r="R450" s="5"/>
      <c r="S450" s="5"/>
      <c r="T450" s="11" t="n">
        <v>0</v>
      </c>
      <c r="U450" s="5"/>
      <c r="V450" s="5"/>
      <c r="W450" s="5"/>
      <c r="X450" s="11" t="n">
        <v>1</v>
      </c>
      <c r="Y450" s="5"/>
      <c r="Z450" s="5"/>
      <c r="AA450" s="5"/>
      <c r="AB450" s="5"/>
    </row>
    <row r="451" customFormat="false" ht="15.75" hidden="false" customHeight="false" outlineLevel="0" collapsed="false">
      <c r="A451" s="5" t="s">
        <v>1076</v>
      </c>
      <c r="B451" s="5" t="s">
        <v>1077</v>
      </c>
      <c r="C451" s="5" t="s">
        <v>1082</v>
      </c>
      <c r="D451" s="5"/>
      <c r="E451" s="5"/>
      <c r="F451" s="5"/>
      <c r="G451" s="9" t="s">
        <v>1083</v>
      </c>
      <c r="H451" s="5" t="n">
        <f aca="false">(COUNTIF(J451:EC451,"=0")+COUNTIF(J451:EC451,"=1"))</f>
        <v>5</v>
      </c>
      <c r="I451" s="12" t="n">
        <f aca="false">IFERROR(ROUND(10-AVERAGE(J451:EC451)*10,0),0)</f>
        <v>8</v>
      </c>
      <c r="J451" s="11" t="n">
        <v>0</v>
      </c>
      <c r="K451" s="11" t="n">
        <v>0</v>
      </c>
      <c r="L451" s="5"/>
      <c r="M451" s="5"/>
      <c r="N451" s="5"/>
      <c r="O451" s="5"/>
      <c r="P451" s="11" t="n">
        <v>0</v>
      </c>
      <c r="Q451" s="5"/>
      <c r="R451" s="5"/>
      <c r="S451" s="5"/>
      <c r="T451" s="11" t="n">
        <v>0</v>
      </c>
      <c r="U451" s="5"/>
      <c r="V451" s="5"/>
      <c r="W451" s="5"/>
      <c r="X451" s="11" t="n">
        <v>1</v>
      </c>
      <c r="Y451" s="5"/>
      <c r="Z451" s="5"/>
      <c r="AA451" s="5"/>
      <c r="AB451" s="5"/>
    </row>
    <row r="452" customFormat="false" ht="15.75" hidden="false" customHeight="false" outlineLevel="0" collapsed="false">
      <c r="A452" s="5" t="s">
        <v>1084</v>
      </c>
      <c r="B452" s="5" t="s">
        <v>1084</v>
      </c>
      <c r="C452" s="5" t="s">
        <v>87</v>
      </c>
      <c r="D452" s="5"/>
      <c r="E452" s="14" t="s">
        <v>1085</v>
      </c>
      <c r="F452" s="5"/>
      <c r="G452" s="14" t="s">
        <v>1086</v>
      </c>
      <c r="H452" s="5" t="n">
        <f aca="false">(COUNTIF(J452:EC452,"=0")+COUNTIF(J452:EC452,"=1"))</f>
        <v>14</v>
      </c>
      <c r="I452" s="13" t="n">
        <f aca="false">IFERROR(ROUND(10-AVERAGE(J452:EC452)*10,0),0)</f>
        <v>4</v>
      </c>
      <c r="J452" s="11" t="n">
        <v>1</v>
      </c>
      <c r="K452" s="11" t="n">
        <v>0</v>
      </c>
      <c r="L452" s="11" t="n">
        <v>1</v>
      </c>
      <c r="M452" s="5"/>
      <c r="N452" s="5"/>
      <c r="O452" s="11" t="n">
        <v>1</v>
      </c>
      <c r="P452" s="11" t="n">
        <v>1</v>
      </c>
      <c r="Q452" s="11" t="n">
        <v>1</v>
      </c>
      <c r="R452" s="11" t="n">
        <v>1</v>
      </c>
      <c r="S452" s="5" t="n">
        <v>1</v>
      </c>
      <c r="T452" s="11" t="n">
        <v>0</v>
      </c>
      <c r="U452" s="11" t="n">
        <v>1</v>
      </c>
      <c r="V452" s="5"/>
      <c r="W452" s="5"/>
      <c r="X452" s="5"/>
      <c r="Y452" s="5"/>
      <c r="Z452" s="5" t="n">
        <v>0</v>
      </c>
      <c r="AA452" s="5"/>
      <c r="AB452" s="5"/>
      <c r="AD452" s="5" t="n">
        <v>1</v>
      </c>
      <c r="AE452" s="5" t="n">
        <v>0</v>
      </c>
      <c r="AF452" s="5" t="n">
        <v>0</v>
      </c>
    </row>
    <row r="453" customFormat="false" ht="15.75" hidden="false" customHeight="false" outlineLevel="0" collapsed="false">
      <c r="A453" s="5" t="s">
        <v>1087</v>
      </c>
      <c r="B453" s="5" t="s">
        <v>1087</v>
      </c>
      <c r="C453" s="5" t="s">
        <v>1088</v>
      </c>
      <c r="D453" s="5"/>
      <c r="E453" s="5"/>
      <c r="F453" s="5"/>
      <c r="G453" s="9" t="s">
        <v>1089</v>
      </c>
      <c r="H453" s="5" t="n">
        <f aca="false">(COUNTIF(J453:EC453,"=0")+COUNTIF(J453:EC453,"=1"))</f>
        <v>2</v>
      </c>
      <c r="I453" s="12" t="n">
        <f aca="false">IFERROR(ROUND(10-AVERAGE(J453:EC453)*10,0),0)</f>
        <v>0</v>
      </c>
      <c r="J453" s="11"/>
      <c r="K453" s="11"/>
      <c r="L453" s="11" t="n">
        <v>1</v>
      </c>
      <c r="M453" s="5"/>
      <c r="N453" s="5"/>
      <c r="O453" s="11"/>
      <c r="P453" s="11" t="n">
        <v>1</v>
      </c>
      <c r="Q453" s="11"/>
      <c r="R453" s="5"/>
      <c r="S453" s="11"/>
      <c r="T453" s="11"/>
      <c r="U453" s="11"/>
      <c r="V453" s="5"/>
      <c r="W453" s="5"/>
      <c r="X453" s="5"/>
      <c r="Y453" s="5"/>
      <c r="Z453" s="5"/>
      <c r="AA453" s="5"/>
      <c r="AB453" s="5"/>
      <c r="AC453" s="5"/>
      <c r="AF453" s="5"/>
    </row>
    <row r="454" customFormat="false" ht="15.75" hidden="false" customHeight="false" outlineLevel="0" collapsed="false">
      <c r="A454" s="5" t="s">
        <v>1087</v>
      </c>
      <c r="B454" s="5" t="s">
        <v>1087</v>
      </c>
      <c r="C454" s="5" t="s">
        <v>1090</v>
      </c>
      <c r="D454" s="5"/>
      <c r="E454" s="5"/>
      <c r="F454" s="5"/>
      <c r="G454" s="9" t="s">
        <v>1091</v>
      </c>
      <c r="H454" s="5" t="n">
        <f aca="false">(COUNTIF(J454:EC454,"=0")+COUNTIF(J454:EC454,"=1"))</f>
        <v>12</v>
      </c>
      <c r="I454" s="12" t="n">
        <f aca="false">IFERROR(ROUND(10-AVERAGE(J454:EC454)*10,0),0)</f>
        <v>8</v>
      </c>
      <c r="J454" s="11" t="n">
        <v>0</v>
      </c>
      <c r="K454" s="11" t="n">
        <v>0</v>
      </c>
      <c r="L454" s="11" t="n">
        <v>1</v>
      </c>
      <c r="M454" s="5"/>
      <c r="N454" s="5"/>
      <c r="O454" s="11" t="n">
        <v>0</v>
      </c>
      <c r="P454" s="11" t="n">
        <v>1</v>
      </c>
      <c r="Q454" s="11" t="n">
        <v>0</v>
      </c>
      <c r="R454" s="5"/>
      <c r="S454" s="11" t="n">
        <v>0</v>
      </c>
      <c r="T454" s="11" t="n">
        <v>0</v>
      </c>
      <c r="U454" s="11" t="n">
        <v>0</v>
      </c>
      <c r="V454" s="5"/>
      <c r="W454" s="5" t="n">
        <v>0</v>
      </c>
      <c r="X454" s="5"/>
      <c r="Y454" s="5"/>
      <c r="Z454" s="5"/>
      <c r="AA454" s="5"/>
      <c r="AB454" s="5"/>
      <c r="AC454" s="5" t="n">
        <v>0</v>
      </c>
      <c r="AF454" s="5" t="n">
        <v>0</v>
      </c>
    </row>
    <row r="455" customFormat="false" ht="15.75" hidden="false" customHeight="false" outlineLevel="0" collapsed="false">
      <c r="A455" s="5" t="s">
        <v>1092</v>
      </c>
      <c r="B455" s="5" t="s">
        <v>1092</v>
      </c>
      <c r="C455" s="5" t="s">
        <v>1093</v>
      </c>
      <c r="D455" s="5"/>
      <c r="E455" s="5"/>
      <c r="F455" s="5"/>
      <c r="G455" s="9" t="s">
        <v>1094</v>
      </c>
      <c r="H455" s="5" t="n">
        <f aca="false">(COUNTIF(J455:EC455,"=0")+COUNTIF(J455:EC455,"=1"))</f>
        <v>8</v>
      </c>
      <c r="I455" s="17" t="n">
        <f aca="false">IFERROR(ROUND(10-AVERAGE(J455:EC455)*10,0),0)</f>
        <v>9</v>
      </c>
      <c r="J455" s="11" t="n">
        <v>0</v>
      </c>
      <c r="K455" s="11" t="n">
        <v>0</v>
      </c>
      <c r="L455" s="5"/>
      <c r="M455" s="5"/>
      <c r="N455" s="5"/>
      <c r="O455" s="11" t="n">
        <v>0</v>
      </c>
      <c r="P455" s="11" t="n">
        <v>1</v>
      </c>
      <c r="Q455" s="11" t="n">
        <v>0</v>
      </c>
      <c r="R455" s="5"/>
      <c r="S455" s="11" t="n">
        <v>0</v>
      </c>
      <c r="T455" s="11" t="n">
        <v>0</v>
      </c>
      <c r="U455" s="11" t="n">
        <v>0</v>
      </c>
      <c r="V455" s="5"/>
      <c r="W455" s="5"/>
      <c r="X455" s="5"/>
      <c r="Y455" s="5"/>
      <c r="Z455" s="5"/>
      <c r="AA455" s="5"/>
      <c r="AB455" s="5"/>
    </row>
    <row r="456" customFormat="false" ht="15.75" hidden="false" customHeight="false" outlineLevel="0" collapsed="false">
      <c r="A456" s="5" t="s">
        <v>1092</v>
      </c>
      <c r="B456" s="5" t="s">
        <v>1092</v>
      </c>
      <c r="C456" s="5" t="s">
        <v>1095</v>
      </c>
      <c r="D456" s="5"/>
      <c r="E456" s="5"/>
      <c r="F456" s="5"/>
      <c r="G456" s="9" t="s">
        <v>1096</v>
      </c>
      <c r="H456" s="5" t="n">
        <f aca="false">(COUNTIF(J456:EC456,"=0")+COUNTIF(J456:EC456,"=1"))</f>
        <v>8</v>
      </c>
      <c r="I456" s="17" t="n">
        <f aca="false">IFERROR(ROUND(10-AVERAGE(J456:EC456)*10,0),0)</f>
        <v>9</v>
      </c>
      <c r="J456" s="11" t="n">
        <v>0</v>
      </c>
      <c r="K456" s="11" t="n">
        <v>0</v>
      </c>
      <c r="L456" s="5"/>
      <c r="M456" s="5"/>
      <c r="N456" s="5"/>
      <c r="O456" s="11" t="n">
        <v>0</v>
      </c>
      <c r="P456" s="11" t="n">
        <v>1</v>
      </c>
      <c r="Q456" s="11" t="n">
        <v>0</v>
      </c>
      <c r="R456" s="5"/>
      <c r="S456" s="11" t="n">
        <v>0</v>
      </c>
      <c r="T456" s="11" t="n">
        <v>0</v>
      </c>
      <c r="U456" s="11" t="n">
        <v>0</v>
      </c>
      <c r="V456" s="5"/>
      <c r="W456" s="5"/>
      <c r="X456" s="5"/>
      <c r="Y456" s="5"/>
      <c r="Z456" s="5"/>
      <c r="AA456" s="5"/>
      <c r="AB456" s="5"/>
    </row>
    <row r="457" customFormat="false" ht="15.75" hidden="false" customHeight="false" outlineLevel="0" collapsed="false">
      <c r="A457" s="5" t="s">
        <v>1092</v>
      </c>
      <c r="B457" s="5" t="s">
        <v>1092</v>
      </c>
      <c r="C457" s="5" t="s">
        <v>1097</v>
      </c>
      <c r="D457" s="5"/>
      <c r="E457" s="5"/>
      <c r="F457" s="5"/>
      <c r="G457" s="9" t="s">
        <v>1098</v>
      </c>
      <c r="H457" s="5" t="n">
        <f aca="false">(COUNTIF(J457:EC457,"=0")+COUNTIF(J457:EC457,"=1"))</f>
        <v>8</v>
      </c>
      <c r="I457" s="17" t="n">
        <f aca="false">IFERROR(ROUND(10-AVERAGE(J457:EC457)*10,0),0)</f>
        <v>9</v>
      </c>
      <c r="J457" s="11" t="n">
        <v>0</v>
      </c>
      <c r="K457" s="11" t="n">
        <v>0</v>
      </c>
      <c r="L457" s="5"/>
      <c r="M457" s="5"/>
      <c r="N457" s="5"/>
      <c r="O457" s="11" t="n">
        <v>0</v>
      </c>
      <c r="P457" s="11" t="n">
        <v>1</v>
      </c>
      <c r="Q457" s="11" t="n">
        <v>0</v>
      </c>
      <c r="R457" s="5"/>
      <c r="S457" s="11" t="n">
        <v>0</v>
      </c>
      <c r="T457" s="11" t="n">
        <v>0</v>
      </c>
      <c r="U457" s="11" t="n">
        <v>0</v>
      </c>
      <c r="V457" s="5"/>
      <c r="W457" s="5"/>
      <c r="X457" s="5"/>
      <c r="Y457" s="5"/>
      <c r="Z457" s="5"/>
      <c r="AA457" s="5"/>
      <c r="AB457" s="5"/>
    </row>
    <row r="458" customFormat="false" ht="15.75" hidden="false" customHeight="false" outlineLevel="0" collapsed="false">
      <c r="A458" s="5" t="s">
        <v>1092</v>
      </c>
      <c r="B458" s="5" t="s">
        <v>1092</v>
      </c>
      <c r="C458" s="5" t="s">
        <v>1099</v>
      </c>
      <c r="D458" s="5"/>
      <c r="E458" s="5"/>
      <c r="F458" s="5"/>
      <c r="G458" s="9" t="s">
        <v>1100</v>
      </c>
      <c r="H458" s="5" t="n">
        <f aca="false">(COUNTIF(J458:EC458,"=0")+COUNTIF(J458:EC458,"=1"))</f>
        <v>8</v>
      </c>
      <c r="I458" s="17" t="n">
        <f aca="false">IFERROR(ROUND(10-AVERAGE(J458:EC458)*10,0),0)</f>
        <v>9</v>
      </c>
      <c r="J458" s="11" t="n">
        <v>0</v>
      </c>
      <c r="K458" s="11" t="n">
        <v>0</v>
      </c>
      <c r="L458" s="5"/>
      <c r="M458" s="5"/>
      <c r="N458" s="5"/>
      <c r="O458" s="11" t="n">
        <v>0</v>
      </c>
      <c r="P458" s="11" t="n">
        <v>1</v>
      </c>
      <c r="Q458" s="11" t="n">
        <v>0</v>
      </c>
      <c r="R458" s="5"/>
      <c r="S458" s="11" t="n">
        <v>0</v>
      </c>
      <c r="T458" s="11" t="n">
        <v>0</v>
      </c>
      <c r="U458" s="11" t="n">
        <v>0</v>
      </c>
      <c r="V458" s="5"/>
      <c r="W458" s="5"/>
      <c r="X458" s="5"/>
      <c r="Y458" s="5"/>
      <c r="Z458" s="5"/>
      <c r="AA458" s="5"/>
      <c r="AB458" s="5"/>
    </row>
    <row r="459" customFormat="false" ht="15.75" hidden="false" customHeight="false" outlineLevel="0" collapsed="false">
      <c r="A459" s="5" t="s">
        <v>1092</v>
      </c>
      <c r="B459" s="5" t="s">
        <v>1092</v>
      </c>
      <c r="C459" s="5" t="s">
        <v>1101</v>
      </c>
      <c r="D459" s="5"/>
      <c r="E459" s="5"/>
      <c r="F459" s="5"/>
      <c r="G459" s="9" t="s">
        <v>1102</v>
      </c>
      <c r="H459" s="5" t="n">
        <f aca="false">(COUNTIF(J459:EC459,"=0")+COUNTIF(J459:EC459,"=1"))</f>
        <v>9</v>
      </c>
      <c r="I459" s="17" t="n">
        <f aca="false">IFERROR(ROUND(10-AVERAGE(J459:EC459)*10,0),0)</f>
        <v>9</v>
      </c>
      <c r="J459" s="11" t="n">
        <v>0</v>
      </c>
      <c r="K459" s="11" t="n">
        <v>0</v>
      </c>
      <c r="L459" s="5"/>
      <c r="M459" s="5"/>
      <c r="N459" s="5"/>
      <c r="O459" s="11" t="n">
        <v>0</v>
      </c>
      <c r="P459" s="11" t="n">
        <v>1</v>
      </c>
      <c r="Q459" s="11" t="n">
        <v>0</v>
      </c>
      <c r="R459" s="5"/>
      <c r="S459" s="11" t="n">
        <v>0</v>
      </c>
      <c r="T459" s="11" t="n">
        <v>0</v>
      </c>
      <c r="U459" s="11" t="n">
        <v>0</v>
      </c>
      <c r="V459" s="5"/>
      <c r="W459" s="5"/>
      <c r="X459" s="5"/>
      <c r="Y459" s="5"/>
      <c r="Z459" s="5"/>
      <c r="AA459" s="5"/>
      <c r="AB459" s="5"/>
      <c r="AC459" s="5" t="n">
        <v>0</v>
      </c>
    </row>
    <row r="460" customFormat="false" ht="15.75" hidden="false" customHeight="false" outlineLevel="0" collapsed="false">
      <c r="A460" s="5" t="s">
        <v>1092</v>
      </c>
      <c r="B460" s="5" t="s">
        <v>1092</v>
      </c>
      <c r="C460" s="5" t="s">
        <v>1103</v>
      </c>
      <c r="D460" s="5"/>
      <c r="E460" s="5"/>
      <c r="F460" s="5"/>
      <c r="G460" s="9" t="s">
        <v>1104</v>
      </c>
      <c r="H460" s="5" t="n">
        <f aca="false">(COUNTIF(J460:EC460,"=0")+COUNTIF(J460:EC460,"=1"))</f>
        <v>8</v>
      </c>
      <c r="I460" s="17" t="n">
        <f aca="false">IFERROR(ROUND(10-AVERAGE(J460:EC460)*10,0),0)</f>
        <v>9</v>
      </c>
      <c r="J460" s="11" t="n">
        <v>0</v>
      </c>
      <c r="K460" s="11" t="n">
        <v>0</v>
      </c>
      <c r="L460" s="5"/>
      <c r="M460" s="5"/>
      <c r="N460" s="5"/>
      <c r="O460" s="11" t="n">
        <v>0</v>
      </c>
      <c r="P460" s="11" t="n">
        <v>1</v>
      </c>
      <c r="Q460" s="11" t="n">
        <v>0</v>
      </c>
      <c r="R460" s="5"/>
      <c r="S460" s="11" t="n">
        <v>0</v>
      </c>
      <c r="T460" s="11" t="n">
        <v>0</v>
      </c>
      <c r="U460" s="11" t="n">
        <v>0</v>
      </c>
      <c r="V460" s="5"/>
      <c r="W460" s="5"/>
      <c r="X460" s="5"/>
      <c r="Y460" s="5"/>
      <c r="Z460" s="5"/>
      <c r="AA460" s="5"/>
      <c r="AB460" s="5"/>
    </row>
    <row r="461" customFormat="false" ht="15.75" hidden="false" customHeight="false" outlineLevel="0" collapsed="false">
      <c r="A461" s="5" t="s">
        <v>1092</v>
      </c>
      <c r="B461" s="5" t="s">
        <v>1092</v>
      </c>
      <c r="C461" s="5" t="s">
        <v>1105</v>
      </c>
      <c r="D461" s="5"/>
      <c r="E461" s="5"/>
      <c r="F461" s="5"/>
      <c r="G461" s="9" t="s">
        <v>1106</v>
      </c>
      <c r="H461" s="5" t="n">
        <f aca="false">(COUNTIF(J461:EC461,"=0")+COUNTIF(J461:EC461,"=1"))</f>
        <v>8</v>
      </c>
      <c r="I461" s="17" t="n">
        <f aca="false">IFERROR(ROUND(10-AVERAGE(J461:EC461)*10,0),0)</f>
        <v>9</v>
      </c>
      <c r="J461" s="11" t="n">
        <v>0</v>
      </c>
      <c r="K461" s="11" t="n">
        <v>0</v>
      </c>
      <c r="L461" s="5"/>
      <c r="M461" s="5"/>
      <c r="N461" s="5"/>
      <c r="O461" s="11" t="n">
        <v>0</v>
      </c>
      <c r="P461" s="11" t="n">
        <v>1</v>
      </c>
      <c r="Q461" s="11" t="n">
        <v>0</v>
      </c>
      <c r="R461" s="5"/>
      <c r="S461" s="11" t="n">
        <v>0</v>
      </c>
      <c r="T461" s="11" t="n">
        <v>0</v>
      </c>
      <c r="U461" s="11" t="n">
        <v>0</v>
      </c>
      <c r="V461" s="5"/>
      <c r="W461" s="5"/>
      <c r="X461" s="5"/>
      <c r="Y461" s="5"/>
      <c r="Z461" s="5"/>
      <c r="AA461" s="5"/>
      <c r="AB461" s="5"/>
    </row>
    <row r="462" customFormat="false" ht="15.75" hidden="false" customHeight="false" outlineLevel="0" collapsed="false">
      <c r="A462" s="5" t="s">
        <v>1092</v>
      </c>
      <c r="B462" s="5" t="s">
        <v>1092</v>
      </c>
      <c r="C462" s="5" t="s">
        <v>1107</v>
      </c>
      <c r="D462" s="5"/>
      <c r="E462" s="5"/>
      <c r="F462" s="5"/>
      <c r="G462" s="9" t="s">
        <v>1108</v>
      </c>
      <c r="H462" s="5" t="n">
        <f aca="false">(COUNTIF(J462:EC462,"=0")+COUNTIF(J462:EC462,"=1"))</f>
        <v>9</v>
      </c>
      <c r="I462" s="17" t="n">
        <f aca="false">IFERROR(ROUND(10-AVERAGE(J462:EC462)*10,0),0)</f>
        <v>9</v>
      </c>
      <c r="J462" s="11" t="n">
        <v>0</v>
      </c>
      <c r="K462" s="11" t="n">
        <v>0</v>
      </c>
      <c r="L462" s="5"/>
      <c r="M462" s="5"/>
      <c r="N462" s="5"/>
      <c r="O462" s="11" t="n">
        <v>0</v>
      </c>
      <c r="P462" s="11" t="n">
        <v>1</v>
      </c>
      <c r="Q462" s="11" t="n">
        <v>0</v>
      </c>
      <c r="R462" s="5"/>
      <c r="S462" s="11" t="n">
        <v>0</v>
      </c>
      <c r="T462" s="11" t="n">
        <v>0</v>
      </c>
      <c r="U462" s="11" t="n">
        <v>0</v>
      </c>
      <c r="V462" s="5"/>
      <c r="W462" s="5"/>
      <c r="X462" s="5"/>
      <c r="Y462" s="5"/>
      <c r="Z462" s="5"/>
      <c r="AA462" s="11" t="n">
        <v>0</v>
      </c>
      <c r="AB462" s="5"/>
    </row>
    <row r="463" customFormat="false" ht="15.75" hidden="false" customHeight="false" outlineLevel="0" collapsed="false">
      <c r="A463" s="5" t="s">
        <v>1092</v>
      </c>
      <c r="B463" s="5" t="s">
        <v>1092</v>
      </c>
      <c r="C463" s="5" t="s">
        <v>1109</v>
      </c>
      <c r="D463" s="5"/>
      <c r="E463" s="5"/>
      <c r="F463" s="5"/>
      <c r="G463" s="9" t="s">
        <v>1110</v>
      </c>
      <c r="H463" s="5" t="n">
        <f aca="false">(COUNTIF(J463:EC463,"=0")+COUNTIF(J463:EC463,"=1"))</f>
        <v>8</v>
      </c>
      <c r="I463" s="17" t="n">
        <f aca="false">IFERROR(ROUND(10-AVERAGE(J463:EC463)*10,0),0)</f>
        <v>9</v>
      </c>
      <c r="J463" s="11" t="n">
        <v>0</v>
      </c>
      <c r="K463" s="11" t="n">
        <v>0</v>
      </c>
      <c r="L463" s="5"/>
      <c r="M463" s="5"/>
      <c r="N463" s="5"/>
      <c r="O463" s="11" t="n">
        <v>0</v>
      </c>
      <c r="P463" s="11" t="n">
        <v>1</v>
      </c>
      <c r="Q463" s="11" t="n">
        <v>0</v>
      </c>
      <c r="R463" s="5"/>
      <c r="S463" s="11" t="n">
        <v>0</v>
      </c>
      <c r="T463" s="11" t="n">
        <v>0</v>
      </c>
      <c r="U463" s="11" t="n">
        <v>0</v>
      </c>
      <c r="V463" s="5"/>
      <c r="W463" s="5"/>
      <c r="X463" s="5"/>
      <c r="Y463" s="5"/>
      <c r="Z463" s="5"/>
      <c r="AA463" s="5"/>
      <c r="AB463" s="5"/>
    </row>
    <row r="464" customFormat="false" ht="15.75" hidden="false" customHeight="false" outlineLevel="0" collapsed="false">
      <c r="A464" s="5" t="s">
        <v>1111</v>
      </c>
      <c r="B464" s="5" t="s">
        <v>1111</v>
      </c>
      <c r="C464" s="5" t="s">
        <v>1112</v>
      </c>
      <c r="D464" s="5"/>
      <c r="E464" s="5"/>
      <c r="F464" s="5"/>
      <c r="G464" s="14" t="s">
        <v>1113</v>
      </c>
      <c r="H464" s="5" t="n">
        <f aca="false">(COUNTIF(J464:EC464,"=0")+COUNTIF(J464:EC464,"=1"))</f>
        <v>8</v>
      </c>
      <c r="I464" s="21" t="n">
        <f aca="false">IFERROR(ROUND(10-AVERAGE(J464:EC464)*10,0),0)</f>
        <v>6</v>
      </c>
      <c r="J464" s="5" t="n">
        <v>0</v>
      </c>
      <c r="K464" s="11" t="n">
        <v>0</v>
      </c>
      <c r="L464" s="5"/>
      <c r="M464" s="5"/>
      <c r="N464" s="5"/>
      <c r="O464" s="5" t="n">
        <v>0</v>
      </c>
      <c r="P464" s="11" t="n">
        <v>1</v>
      </c>
      <c r="Q464" s="5" t="n">
        <v>0</v>
      </c>
      <c r="R464" s="5"/>
      <c r="S464" s="5"/>
      <c r="T464" s="5"/>
      <c r="U464" s="5"/>
      <c r="V464" s="5"/>
      <c r="W464" s="5" t="n">
        <v>0</v>
      </c>
      <c r="X464" s="5"/>
      <c r="Y464" s="5"/>
      <c r="Z464" s="11" t="n">
        <v>1</v>
      </c>
      <c r="AA464" s="5"/>
      <c r="AB464" s="5"/>
      <c r="AF464" s="5" t="n">
        <v>1</v>
      </c>
    </row>
    <row r="465" customFormat="false" ht="15.75" hidden="false" customHeight="false" outlineLevel="0" collapsed="false">
      <c r="A465" s="5" t="s">
        <v>1114</v>
      </c>
      <c r="B465" s="5" t="s">
        <v>1115</v>
      </c>
      <c r="C465" s="5" t="s">
        <v>1116</v>
      </c>
      <c r="D465" s="5"/>
      <c r="E465" s="5"/>
      <c r="F465" s="5"/>
      <c r="G465" s="9" t="s">
        <v>1117</v>
      </c>
      <c r="H465" s="5" t="n">
        <f aca="false">(COUNTIF(J465:EC465,"=0")+COUNTIF(J465:EC465,"=1"))</f>
        <v>8</v>
      </c>
      <c r="I465" s="12" t="n">
        <f aca="false">IFERROR(ROUND(10-AVERAGE(J465:EC465)*10,0),0)</f>
        <v>8</v>
      </c>
      <c r="J465" s="11" t="n">
        <v>0</v>
      </c>
      <c r="K465" s="11" t="n">
        <v>0</v>
      </c>
      <c r="L465" s="5"/>
      <c r="M465" s="5"/>
      <c r="N465" s="5"/>
      <c r="O465" s="11" t="n">
        <v>0</v>
      </c>
      <c r="P465" s="11" t="n">
        <v>1</v>
      </c>
      <c r="Q465" s="11" t="n">
        <v>0</v>
      </c>
      <c r="R465" s="5"/>
      <c r="S465" s="11" t="n">
        <v>0</v>
      </c>
      <c r="T465" s="11" t="n">
        <v>1</v>
      </c>
      <c r="U465" s="11" t="n">
        <v>0</v>
      </c>
      <c r="V465" s="5"/>
      <c r="W465" s="5"/>
      <c r="X465" s="5"/>
      <c r="Y465" s="5"/>
      <c r="Z465" s="5"/>
      <c r="AA465" s="5"/>
      <c r="AB465" s="5"/>
    </row>
    <row r="466" customFormat="false" ht="15.75" hidden="false" customHeight="false" outlineLevel="0" collapsed="false">
      <c r="A466" s="5" t="s">
        <v>1114</v>
      </c>
      <c r="B466" s="5" t="s">
        <v>1115</v>
      </c>
      <c r="C466" s="5" t="s">
        <v>1118</v>
      </c>
      <c r="D466" s="5"/>
      <c r="E466" s="5"/>
      <c r="F466" s="5"/>
      <c r="G466" s="9" t="s">
        <v>1119</v>
      </c>
      <c r="H466" s="5" t="n">
        <f aca="false">(COUNTIF(J466:EC466,"=0")+COUNTIF(J466:EC466,"=1"))</f>
        <v>8</v>
      </c>
      <c r="I466" s="12" t="n">
        <f aca="false">IFERROR(ROUND(10-AVERAGE(J466:EC466)*10,0),0)</f>
        <v>8</v>
      </c>
      <c r="J466" s="11" t="n">
        <v>0</v>
      </c>
      <c r="K466" s="11" t="n">
        <v>0</v>
      </c>
      <c r="L466" s="5"/>
      <c r="M466" s="5"/>
      <c r="N466" s="5"/>
      <c r="O466" s="11" t="n">
        <v>0</v>
      </c>
      <c r="P466" s="11" t="n">
        <v>1</v>
      </c>
      <c r="Q466" s="11" t="n">
        <v>0</v>
      </c>
      <c r="R466" s="5"/>
      <c r="S466" s="11" t="n">
        <v>0</v>
      </c>
      <c r="T466" s="11" t="n">
        <v>1</v>
      </c>
      <c r="U466" s="11" t="n">
        <v>0</v>
      </c>
      <c r="V466" s="5"/>
      <c r="W466" s="5"/>
      <c r="X466" s="5"/>
      <c r="Y466" s="5"/>
      <c r="Z466" s="5"/>
      <c r="AA466" s="5"/>
      <c r="AB466" s="5"/>
    </row>
    <row r="467" customFormat="false" ht="15.75" hidden="false" customHeight="false" outlineLevel="0" collapsed="false">
      <c r="A467" s="5" t="s">
        <v>1114</v>
      </c>
      <c r="B467" s="5" t="s">
        <v>1120</v>
      </c>
      <c r="C467" s="5" t="s">
        <v>1121</v>
      </c>
      <c r="D467" s="5"/>
      <c r="E467" s="5"/>
      <c r="F467" s="5"/>
      <c r="G467" s="9" t="s">
        <v>1122</v>
      </c>
      <c r="H467" s="5" t="n">
        <f aca="false">(COUNTIF(J467:EC467,"=0")+COUNTIF(J467:EC467,"=1"))</f>
        <v>5</v>
      </c>
      <c r="I467" s="19" t="n">
        <f aca="false">IFERROR(ROUND(10-AVERAGE(J467:EC467)*10,0),0)</f>
        <v>6</v>
      </c>
      <c r="J467" s="5" t="n">
        <v>0</v>
      </c>
      <c r="K467" s="11" t="n">
        <v>0</v>
      </c>
      <c r="L467" s="5"/>
      <c r="M467" s="5"/>
      <c r="N467" s="5"/>
      <c r="O467" s="5"/>
      <c r="P467" s="11" t="n">
        <v>1</v>
      </c>
      <c r="Q467" s="5"/>
      <c r="R467" s="5"/>
      <c r="S467" s="5"/>
      <c r="T467" s="11" t="n">
        <v>1</v>
      </c>
      <c r="U467" s="5"/>
      <c r="V467" s="5"/>
      <c r="W467" s="5"/>
      <c r="X467" s="5"/>
      <c r="Y467" s="5"/>
      <c r="Z467" s="11" t="n">
        <v>0</v>
      </c>
      <c r="AA467" s="5"/>
      <c r="AB467" s="5"/>
    </row>
    <row r="468" customFormat="false" ht="15.75" hidden="false" customHeight="false" outlineLevel="0" collapsed="false">
      <c r="A468" s="5" t="s">
        <v>1114</v>
      </c>
      <c r="B468" s="5" t="s">
        <v>1120</v>
      </c>
      <c r="C468" s="5" t="s">
        <v>1123</v>
      </c>
      <c r="D468" s="5"/>
      <c r="E468" s="5"/>
      <c r="F468" s="5"/>
      <c r="G468" s="9" t="s">
        <v>1124</v>
      </c>
      <c r="H468" s="5" t="n">
        <f aca="false">(COUNTIF(J468:EC468,"=0")+COUNTIF(J468:EC468,"=1"))</f>
        <v>5</v>
      </c>
      <c r="I468" s="15" t="n">
        <f aca="false">IFERROR(ROUND(10-AVERAGE(J468:EC468)*10,0),0)</f>
        <v>6</v>
      </c>
      <c r="J468" s="11" t="n">
        <v>0</v>
      </c>
      <c r="K468" s="11" t="n">
        <v>0</v>
      </c>
      <c r="L468" s="5"/>
      <c r="M468" s="5"/>
      <c r="N468" s="5"/>
      <c r="O468" s="5"/>
      <c r="P468" s="11" t="n">
        <v>1</v>
      </c>
      <c r="Q468" s="5"/>
      <c r="R468" s="5"/>
      <c r="S468" s="5"/>
      <c r="T468" s="11" t="n">
        <v>1</v>
      </c>
      <c r="U468" s="5"/>
      <c r="V468" s="5"/>
      <c r="W468" s="5"/>
      <c r="X468" s="5"/>
      <c r="Y468" s="5"/>
      <c r="Z468" s="11" t="n">
        <v>0</v>
      </c>
      <c r="AA468" s="5"/>
      <c r="AB468" s="5"/>
    </row>
    <row r="469" customFormat="false" ht="15.75" hidden="false" customHeight="false" outlineLevel="0" collapsed="false">
      <c r="A469" s="5" t="s">
        <v>1114</v>
      </c>
      <c r="B469" s="5" t="s">
        <v>1125</v>
      </c>
      <c r="C469" s="5" t="s">
        <v>1126</v>
      </c>
      <c r="D469" s="5"/>
      <c r="E469" s="5"/>
      <c r="F469" s="5"/>
      <c r="G469" s="9" t="s">
        <v>1127</v>
      </c>
      <c r="H469" s="5" t="n">
        <f aca="false">(COUNTIF(J469:EC469,"=0")+COUNTIF(J469:EC469,"=1"))</f>
        <v>5</v>
      </c>
      <c r="I469" s="15" t="n">
        <f aca="false">IFERROR(ROUND(10-AVERAGE(J469:EC469)*10,0),0)</f>
        <v>6</v>
      </c>
      <c r="J469" s="11" t="n">
        <v>0</v>
      </c>
      <c r="K469" s="11" t="n">
        <v>0</v>
      </c>
      <c r="L469" s="5"/>
      <c r="M469" s="5"/>
      <c r="N469" s="5"/>
      <c r="O469" s="5"/>
      <c r="P469" s="11" t="n">
        <v>1</v>
      </c>
      <c r="Q469" s="5"/>
      <c r="R469" s="5"/>
      <c r="S469" s="5"/>
      <c r="T469" s="11" t="n">
        <v>1</v>
      </c>
      <c r="U469" s="5"/>
      <c r="V469" s="5"/>
      <c r="W469" s="5"/>
      <c r="X469" s="5"/>
      <c r="Y469" s="5"/>
      <c r="Z469" s="11" t="n">
        <v>0</v>
      </c>
      <c r="AA469" s="5"/>
      <c r="AB469" s="5"/>
    </row>
    <row r="470" customFormat="false" ht="15.75" hidden="false" customHeight="false" outlineLevel="0" collapsed="false">
      <c r="A470" s="5" t="s">
        <v>1114</v>
      </c>
      <c r="B470" s="5" t="s">
        <v>1125</v>
      </c>
      <c r="C470" s="5" t="s">
        <v>1128</v>
      </c>
      <c r="D470" s="5"/>
      <c r="E470" s="5"/>
      <c r="F470" s="5"/>
      <c r="G470" s="9" t="s">
        <v>1129</v>
      </c>
      <c r="H470" s="5" t="n">
        <f aca="false">(COUNTIF(J470:EC470,"=0")+COUNTIF(J470:EC470,"=1"))</f>
        <v>5</v>
      </c>
      <c r="I470" s="19" t="n">
        <f aca="false">IFERROR(ROUND(10-AVERAGE(J470:EC470)*10,0),0)</f>
        <v>6</v>
      </c>
      <c r="J470" s="5" t="n">
        <v>0</v>
      </c>
      <c r="K470" s="11" t="n">
        <v>0</v>
      </c>
      <c r="L470" s="5"/>
      <c r="M470" s="5"/>
      <c r="N470" s="5"/>
      <c r="O470" s="5"/>
      <c r="P470" s="11" t="n">
        <v>1</v>
      </c>
      <c r="Q470" s="5"/>
      <c r="R470" s="5"/>
      <c r="S470" s="5"/>
      <c r="T470" s="11" t="n">
        <v>1</v>
      </c>
      <c r="U470" s="5"/>
      <c r="V470" s="5"/>
      <c r="W470" s="5"/>
      <c r="X470" s="5"/>
      <c r="Y470" s="5"/>
      <c r="Z470" s="11" t="n">
        <v>0</v>
      </c>
      <c r="AA470" s="5"/>
      <c r="AB470" s="5"/>
    </row>
    <row r="471" customFormat="false" ht="15.75" hidden="false" customHeight="false" outlineLevel="0" collapsed="false">
      <c r="A471" s="5" t="s">
        <v>1114</v>
      </c>
      <c r="B471" s="5" t="s">
        <v>1130</v>
      </c>
      <c r="C471" s="5" t="s">
        <v>1131</v>
      </c>
      <c r="D471" s="5"/>
      <c r="E471" s="5"/>
      <c r="F471" s="5"/>
      <c r="G471" s="9" t="s">
        <v>1132</v>
      </c>
      <c r="H471" s="5" t="n">
        <f aca="false">(COUNTIF(J471:EC471,"=0")+COUNTIF(J471:EC471,"=1"))</f>
        <v>9</v>
      </c>
      <c r="I471" s="12" t="n">
        <f aca="false">IFERROR(ROUND(10-AVERAGE(J471:EC471)*10,0),0)</f>
        <v>8</v>
      </c>
      <c r="J471" s="11" t="n">
        <v>0</v>
      </c>
      <c r="K471" s="11" t="n">
        <v>0</v>
      </c>
      <c r="L471" s="5"/>
      <c r="M471" s="5"/>
      <c r="N471" s="5"/>
      <c r="O471" s="11" t="n">
        <v>0</v>
      </c>
      <c r="P471" s="11" t="n">
        <v>1</v>
      </c>
      <c r="Q471" s="11" t="n">
        <v>0</v>
      </c>
      <c r="R471" s="5"/>
      <c r="S471" s="11" t="n">
        <v>0</v>
      </c>
      <c r="T471" s="11" t="n">
        <v>1</v>
      </c>
      <c r="U471" s="11" t="n">
        <v>0</v>
      </c>
      <c r="V471" s="5"/>
      <c r="W471" s="5" t="n">
        <v>0</v>
      </c>
      <c r="X471" s="5"/>
      <c r="Y471" s="5"/>
      <c r="Z471" s="5"/>
      <c r="AA471" s="5"/>
      <c r="AB471" s="5"/>
    </row>
    <row r="472" customFormat="false" ht="15.75" hidden="false" customHeight="false" outlineLevel="0" collapsed="false">
      <c r="A472" s="5" t="s">
        <v>1114</v>
      </c>
      <c r="B472" s="5" t="s">
        <v>1130</v>
      </c>
      <c r="C472" s="5" t="s">
        <v>1133</v>
      </c>
      <c r="D472" s="5"/>
      <c r="E472" s="5"/>
      <c r="F472" s="5"/>
      <c r="G472" s="9" t="s">
        <v>1134</v>
      </c>
      <c r="H472" s="5" t="n">
        <f aca="false">(COUNTIF(J472:EC472,"=0")+COUNTIF(J472:EC472,"=1"))</f>
        <v>5</v>
      </c>
      <c r="I472" s="15" t="n">
        <f aca="false">IFERROR(ROUND(10-AVERAGE(J472:EC472)*10,0),0)</f>
        <v>6</v>
      </c>
      <c r="J472" s="11" t="n">
        <v>0</v>
      </c>
      <c r="K472" s="11" t="n">
        <v>0</v>
      </c>
      <c r="L472" s="5"/>
      <c r="M472" s="5"/>
      <c r="N472" s="5"/>
      <c r="O472" s="5"/>
      <c r="P472" s="11" t="n">
        <v>1</v>
      </c>
      <c r="Q472" s="5"/>
      <c r="R472" s="5"/>
      <c r="S472" s="5"/>
      <c r="T472" s="11" t="n">
        <v>1</v>
      </c>
      <c r="U472" s="5"/>
      <c r="V472" s="5"/>
      <c r="W472" s="5"/>
      <c r="X472" s="5"/>
      <c r="Y472" s="5"/>
      <c r="Z472" s="11" t="n">
        <v>0</v>
      </c>
      <c r="AA472" s="5"/>
      <c r="AB472" s="5"/>
    </row>
    <row r="473" customFormat="false" ht="15.75" hidden="false" customHeight="false" outlineLevel="0" collapsed="false">
      <c r="A473" s="5" t="s">
        <v>1114</v>
      </c>
      <c r="B473" s="5" t="s">
        <v>1130</v>
      </c>
      <c r="C473" s="5" t="s">
        <v>1135</v>
      </c>
      <c r="D473" s="5"/>
      <c r="E473" s="5"/>
      <c r="F473" s="5"/>
      <c r="G473" s="9" t="s">
        <v>1136</v>
      </c>
      <c r="H473" s="5" t="n">
        <f aca="false">(COUNTIF(J473:EC473,"=0")+COUNTIF(J473:EC473,"=1"))</f>
        <v>6</v>
      </c>
      <c r="I473" s="19" t="n">
        <f aca="false">IFERROR(ROUND(10-AVERAGE(J473:EC473)*10,0),0)</f>
        <v>7</v>
      </c>
      <c r="J473" s="5" t="n">
        <v>0</v>
      </c>
      <c r="K473" s="11" t="n">
        <v>0</v>
      </c>
      <c r="L473" s="5"/>
      <c r="M473" s="5"/>
      <c r="N473" s="5"/>
      <c r="O473" s="5"/>
      <c r="P473" s="11" t="n">
        <v>1</v>
      </c>
      <c r="Q473" s="5" t="n">
        <v>0</v>
      </c>
      <c r="R473" s="5"/>
      <c r="S473" s="5"/>
      <c r="T473" s="11" t="n">
        <v>1</v>
      </c>
      <c r="U473" s="5"/>
      <c r="V473" s="5"/>
      <c r="W473" s="5"/>
      <c r="X473" s="5"/>
      <c r="Y473" s="5"/>
      <c r="Z473" s="11" t="n">
        <v>0</v>
      </c>
      <c r="AA473" s="5"/>
      <c r="AB473" s="5"/>
    </row>
    <row r="474" customFormat="false" ht="15.75" hidden="false" customHeight="false" outlineLevel="0" collapsed="false">
      <c r="A474" s="5" t="s">
        <v>1114</v>
      </c>
      <c r="B474" s="5" t="s">
        <v>1130</v>
      </c>
      <c r="C474" s="5" t="s">
        <v>1137</v>
      </c>
      <c r="D474" s="5"/>
      <c r="E474" s="5"/>
      <c r="F474" s="5"/>
      <c r="G474" s="9" t="s">
        <v>1138</v>
      </c>
      <c r="H474" s="5" t="n">
        <f aca="false">(COUNTIF(J474:EC474,"=0")+COUNTIF(J474:EC474,"=1"))</f>
        <v>5</v>
      </c>
      <c r="I474" s="15" t="n">
        <f aca="false">IFERROR(ROUND(10-AVERAGE(J474:EC474)*10,0),0)</f>
        <v>6</v>
      </c>
      <c r="J474" s="11" t="n">
        <v>0</v>
      </c>
      <c r="K474" s="11" t="n">
        <v>0</v>
      </c>
      <c r="L474" s="5"/>
      <c r="M474" s="5"/>
      <c r="N474" s="5"/>
      <c r="O474" s="5"/>
      <c r="P474" s="11" t="n">
        <v>1</v>
      </c>
      <c r="Q474" s="5"/>
      <c r="R474" s="5"/>
      <c r="S474" s="5"/>
      <c r="T474" s="11" t="n">
        <v>1</v>
      </c>
      <c r="U474" s="5"/>
      <c r="V474" s="5"/>
      <c r="W474" s="5"/>
      <c r="X474" s="5"/>
      <c r="Y474" s="5"/>
      <c r="Z474" s="11" t="n">
        <v>0</v>
      </c>
      <c r="AA474" s="5"/>
      <c r="AB474" s="5"/>
    </row>
    <row r="475" customFormat="false" ht="15.75" hidden="false" customHeight="false" outlineLevel="0" collapsed="false">
      <c r="A475" s="5" t="s">
        <v>1114</v>
      </c>
      <c r="B475" s="5" t="s">
        <v>1130</v>
      </c>
      <c r="C475" s="5" t="s">
        <v>1139</v>
      </c>
      <c r="D475" s="5"/>
      <c r="E475" s="5"/>
      <c r="F475" s="5"/>
      <c r="G475" s="9" t="s">
        <v>1140</v>
      </c>
      <c r="H475" s="5" t="n">
        <f aca="false">(COUNTIF(J475:EC475,"=0")+COUNTIF(J475:EC475,"=1"))</f>
        <v>6</v>
      </c>
      <c r="I475" s="16" t="n">
        <f aca="false">IFERROR(ROUND(10-AVERAGE(J475:EC475)*10,0),0)</f>
        <v>7</v>
      </c>
      <c r="J475" s="11" t="n">
        <v>0</v>
      </c>
      <c r="K475" s="11" t="n">
        <v>0</v>
      </c>
      <c r="L475" s="5"/>
      <c r="M475" s="5"/>
      <c r="N475" s="5"/>
      <c r="O475" s="5"/>
      <c r="P475" s="11" t="n">
        <v>1</v>
      </c>
      <c r="Q475" s="11" t="n">
        <v>0</v>
      </c>
      <c r="R475" s="5"/>
      <c r="S475" s="5"/>
      <c r="T475" s="11" t="n">
        <v>1</v>
      </c>
      <c r="U475" s="11" t="n">
        <v>0</v>
      </c>
      <c r="V475" s="5"/>
      <c r="W475" s="5"/>
      <c r="X475" s="5"/>
      <c r="Y475" s="5"/>
      <c r="Z475" s="5"/>
      <c r="AA475" s="5"/>
      <c r="AB475" s="5"/>
    </row>
    <row r="476" customFormat="false" ht="15.75" hidden="false" customHeight="false" outlineLevel="0" collapsed="false">
      <c r="A476" s="5" t="s">
        <v>1114</v>
      </c>
      <c r="B476" s="5" t="s">
        <v>1141</v>
      </c>
      <c r="C476" s="5" t="s">
        <v>1142</v>
      </c>
      <c r="D476" s="5"/>
      <c r="E476" s="5"/>
      <c r="F476" s="5"/>
      <c r="G476" s="9" t="s">
        <v>1143</v>
      </c>
      <c r="H476" s="5" t="n">
        <f aca="false">(COUNTIF(J476:EC476,"=0")+COUNTIF(J476:EC476,"=1"))</f>
        <v>5</v>
      </c>
      <c r="I476" s="23" t="n">
        <f aca="false">IFERROR(ROUND(10-AVERAGE(J476:EC476)*10,0),0)</f>
        <v>4</v>
      </c>
      <c r="J476" s="11" t="n">
        <v>0</v>
      </c>
      <c r="K476" s="11" t="n">
        <v>0</v>
      </c>
      <c r="L476" s="5"/>
      <c r="M476" s="5"/>
      <c r="N476" s="5"/>
      <c r="O476" s="5"/>
      <c r="P476" s="11" t="n">
        <v>1</v>
      </c>
      <c r="Q476" s="5"/>
      <c r="R476" s="5"/>
      <c r="S476" s="5"/>
      <c r="T476" s="11" t="n">
        <v>1</v>
      </c>
      <c r="U476" s="5"/>
      <c r="V476" s="5"/>
      <c r="W476" s="5"/>
      <c r="X476" s="11" t="n">
        <v>1</v>
      </c>
      <c r="Y476" s="5"/>
      <c r="Z476" s="5"/>
      <c r="AA476" s="5"/>
      <c r="AB476" s="5"/>
    </row>
    <row r="477" customFormat="false" ht="15.75" hidden="false" customHeight="false" outlineLevel="0" collapsed="false">
      <c r="A477" s="5" t="s">
        <v>1114</v>
      </c>
      <c r="B477" s="5" t="s">
        <v>1144</v>
      </c>
      <c r="C477" s="5" t="s">
        <v>1145</v>
      </c>
      <c r="D477" s="5"/>
      <c r="E477" s="14" t="s">
        <v>1146</v>
      </c>
      <c r="F477" s="5"/>
      <c r="G477" s="14" t="s">
        <v>1147</v>
      </c>
      <c r="H477" s="5" t="n">
        <f aca="false">(COUNTIF(J477:EC477,"=0")+COUNTIF(J477:EC477,"=1"))</f>
        <v>5</v>
      </c>
      <c r="I477" s="19" t="n">
        <f aca="false">IFERROR(ROUND(10-AVERAGE(J477:EC477)*10,0),0)</f>
        <v>6</v>
      </c>
      <c r="J477" s="5" t="n">
        <v>0</v>
      </c>
      <c r="K477" s="11" t="n">
        <v>0</v>
      </c>
      <c r="L477" s="5"/>
      <c r="M477" s="5"/>
      <c r="N477" s="5"/>
      <c r="O477" s="5"/>
      <c r="P477" s="11" t="n">
        <v>1</v>
      </c>
      <c r="Q477" s="5"/>
      <c r="R477" s="5"/>
      <c r="S477" s="5"/>
      <c r="T477" s="11" t="n">
        <v>1</v>
      </c>
      <c r="U477" s="5"/>
      <c r="V477" s="5"/>
      <c r="W477" s="5"/>
      <c r="X477" s="5"/>
      <c r="Y477" s="5"/>
      <c r="Z477" s="11" t="n">
        <v>0</v>
      </c>
      <c r="AA477" s="5"/>
      <c r="AB477" s="5"/>
    </row>
    <row r="478" customFormat="false" ht="15.75" hidden="false" customHeight="false" outlineLevel="0" collapsed="false">
      <c r="A478" s="5" t="s">
        <v>1114</v>
      </c>
      <c r="B478" s="5" t="s">
        <v>1144</v>
      </c>
      <c r="C478" s="5" t="s">
        <v>1148</v>
      </c>
      <c r="D478" s="5"/>
      <c r="E478" s="5"/>
      <c r="F478" s="5"/>
      <c r="G478" s="9" t="s">
        <v>1149</v>
      </c>
      <c r="H478" s="5" t="n">
        <f aca="false">(COUNTIF(J478:EC478,"=0")+COUNTIF(J478:EC478,"=1"))</f>
        <v>5</v>
      </c>
      <c r="I478" s="15" t="n">
        <f aca="false">IFERROR(ROUND(10-AVERAGE(J478:EC478)*10,0),0)</f>
        <v>6</v>
      </c>
      <c r="J478" s="11" t="n">
        <v>0</v>
      </c>
      <c r="K478" s="11" t="n">
        <v>0</v>
      </c>
      <c r="L478" s="5"/>
      <c r="M478" s="5"/>
      <c r="N478" s="5"/>
      <c r="O478" s="5"/>
      <c r="P478" s="11" t="n">
        <v>1</v>
      </c>
      <c r="Q478" s="5"/>
      <c r="R478" s="5"/>
      <c r="S478" s="5"/>
      <c r="T478" s="11" t="n">
        <v>1</v>
      </c>
      <c r="U478" s="5"/>
      <c r="V478" s="5"/>
      <c r="W478" s="5"/>
      <c r="X478" s="5"/>
      <c r="Y478" s="5"/>
      <c r="Z478" s="11" t="n">
        <v>0</v>
      </c>
      <c r="AA478" s="5"/>
      <c r="AB478" s="5"/>
    </row>
    <row r="479" customFormat="false" ht="15.75" hidden="false" customHeight="false" outlineLevel="0" collapsed="false">
      <c r="A479" s="5" t="s">
        <v>1114</v>
      </c>
      <c r="B479" s="5" t="s">
        <v>1144</v>
      </c>
      <c r="C479" s="5" t="s">
        <v>1150</v>
      </c>
      <c r="D479" s="5"/>
      <c r="E479" s="5"/>
      <c r="F479" s="5"/>
      <c r="G479" s="9" t="s">
        <v>1151</v>
      </c>
      <c r="H479" s="5" t="n">
        <f aca="false">(COUNTIF(J479:EC479,"=0")+COUNTIF(J479:EC479,"=1"))</f>
        <v>8</v>
      </c>
      <c r="I479" s="12" t="n">
        <f aca="false">IFERROR(ROUND(10-AVERAGE(J479:EC479)*10,0),0)</f>
        <v>8</v>
      </c>
      <c r="J479" s="11" t="n">
        <v>0</v>
      </c>
      <c r="K479" s="11" t="n">
        <v>0</v>
      </c>
      <c r="L479" s="5"/>
      <c r="M479" s="5"/>
      <c r="N479" s="5"/>
      <c r="O479" s="11" t="n">
        <v>0</v>
      </c>
      <c r="P479" s="11" t="n">
        <v>1</v>
      </c>
      <c r="Q479" s="11" t="n">
        <v>0</v>
      </c>
      <c r="R479" s="5"/>
      <c r="S479" s="11" t="n">
        <v>0</v>
      </c>
      <c r="T479" s="11" t="n">
        <v>1</v>
      </c>
      <c r="U479" s="11" t="n">
        <v>0</v>
      </c>
      <c r="V479" s="5"/>
      <c r="W479" s="5"/>
      <c r="X479" s="5"/>
      <c r="Y479" s="5"/>
      <c r="Z479" s="5"/>
      <c r="AA479" s="5"/>
      <c r="AB479" s="5"/>
    </row>
    <row r="480" customFormat="false" ht="15.75" hidden="false" customHeight="false" outlineLevel="0" collapsed="false">
      <c r="A480" s="5" t="s">
        <v>1114</v>
      </c>
      <c r="B480" s="5" t="s">
        <v>1144</v>
      </c>
      <c r="C480" s="5" t="s">
        <v>1152</v>
      </c>
      <c r="D480" s="5"/>
      <c r="E480" s="5"/>
      <c r="F480" s="5"/>
      <c r="G480" s="9" t="s">
        <v>1153</v>
      </c>
      <c r="H480" s="5" t="n">
        <f aca="false">(COUNTIF(J480:EC480,"=0")+COUNTIF(J480:EC480,"=1"))</f>
        <v>5</v>
      </c>
      <c r="I480" s="19" t="n">
        <f aca="false">IFERROR(ROUND(10-AVERAGE(J480:EC480)*10,0),0)</f>
        <v>6</v>
      </c>
      <c r="J480" s="5" t="n">
        <v>0</v>
      </c>
      <c r="K480" s="11" t="n">
        <v>0</v>
      </c>
      <c r="L480" s="5"/>
      <c r="M480" s="5"/>
      <c r="N480" s="5"/>
      <c r="O480" s="5"/>
      <c r="P480" s="11" t="n">
        <v>1</v>
      </c>
      <c r="Q480" s="5"/>
      <c r="R480" s="5"/>
      <c r="S480" s="5"/>
      <c r="T480" s="11" t="n">
        <v>1</v>
      </c>
      <c r="U480" s="5"/>
      <c r="V480" s="5"/>
      <c r="W480" s="5"/>
      <c r="X480" s="5"/>
      <c r="Y480" s="5"/>
      <c r="Z480" s="11" t="n">
        <v>0</v>
      </c>
      <c r="AA480" s="5"/>
      <c r="AB480" s="5"/>
    </row>
    <row r="481" customFormat="false" ht="15.75" hidden="false" customHeight="false" outlineLevel="0" collapsed="false">
      <c r="A481" s="5" t="s">
        <v>1114</v>
      </c>
      <c r="B481" s="5" t="s">
        <v>1144</v>
      </c>
      <c r="C481" s="5" t="s">
        <v>1154</v>
      </c>
      <c r="D481" s="5"/>
      <c r="E481" s="5"/>
      <c r="F481" s="5"/>
      <c r="G481" s="9" t="s">
        <v>1155</v>
      </c>
      <c r="H481" s="5" t="n">
        <f aca="false">(COUNTIF(J481:EC481,"=0")+COUNTIF(J481:EC481,"=1"))</f>
        <v>8</v>
      </c>
      <c r="I481" s="12" t="n">
        <f aca="false">IFERROR(ROUND(10-AVERAGE(J481:EC481)*10,0),0)</f>
        <v>8</v>
      </c>
      <c r="J481" s="11" t="n">
        <v>0</v>
      </c>
      <c r="K481" s="11" t="n">
        <v>0</v>
      </c>
      <c r="L481" s="5"/>
      <c r="M481" s="5"/>
      <c r="N481" s="5"/>
      <c r="O481" s="11" t="n">
        <v>0</v>
      </c>
      <c r="P481" s="11" t="n">
        <v>1</v>
      </c>
      <c r="Q481" s="11" t="n">
        <v>0</v>
      </c>
      <c r="R481" s="5"/>
      <c r="S481" s="11" t="n">
        <v>0</v>
      </c>
      <c r="T481" s="11" t="n">
        <v>1</v>
      </c>
      <c r="U481" s="11" t="n">
        <v>0</v>
      </c>
      <c r="V481" s="5"/>
      <c r="W481" s="5"/>
      <c r="X481" s="5"/>
      <c r="Y481" s="5"/>
      <c r="Z481" s="5"/>
      <c r="AA481" s="5"/>
      <c r="AB481" s="5"/>
    </row>
    <row r="482" customFormat="false" ht="15.75" hidden="false" customHeight="false" outlineLevel="0" collapsed="false">
      <c r="A482" s="5" t="s">
        <v>1114</v>
      </c>
      <c r="B482" s="5" t="s">
        <v>1144</v>
      </c>
      <c r="C482" s="5" t="s">
        <v>1156</v>
      </c>
      <c r="D482" s="5"/>
      <c r="E482" s="5"/>
      <c r="F482" s="5"/>
      <c r="G482" s="9" t="s">
        <v>1157</v>
      </c>
      <c r="H482" s="5" t="n">
        <f aca="false">(COUNTIF(J482:EC482,"=0")+COUNTIF(J482:EC482,"=1"))</f>
        <v>5</v>
      </c>
      <c r="I482" s="23" t="n">
        <f aca="false">IFERROR(ROUND(10-AVERAGE(J482:EC482)*10,0),0)</f>
        <v>4</v>
      </c>
      <c r="J482" s="11" t="n">
        <v>0</v>
      </c>
      <c r="K482" s="11" t="n">
        <v>0</v>
      </c>
      <c r="L482" s="5"/>
      <c r="M482" s="5"/>
      <c r="N482" s="5"/>
      <c r="O482" s="5"/>
      <c r="P482" s="11" t="n">
        <v>1</v>
      </c>
      <c r="Q482" s="5"/>
      <c r="R482" s="5"/>
      <c r="S482" s="5"/>
      <c r="T482" s="11" t="n">
        <v>1</v>
      </c>
      <c r="U482" s="5"/>
      <c r="V482" s="5"/>
      <c r="W482" s="5"/>
      <c r="X482" s="11" t="n">
        <v>1</v>
      </c>
      <c r="Y482" s="5"/>
      <c r="Z482" s="5"/>
      <c r="AA482" s="5"/>
      <c r="AB482" s="5"/>
    </row>
    <row r="483" customFormat="false" ht="15.75" hidden="false" customHeight="false" outlineLevel="0" collapsed="false">
      <c r="A483" s="5" t="s">
        <v>1114</v>
      </c>
      <c r="B483" s="5" t="s">
        <v>1144</v>
      </c>
      <c r="C483" s="5" t="s">
        <v>1158</v>
      </c>
      <c r="D483" s="5"/>
      <c r="E483" s="5"/>
      <c r="F483" s="5"/>
      <c r="G483" s="9" t="s">
        <v>1159</v>
      </c>
      <c r="H483" s="5" t="n">
        <f aca="false">(COUNTIF(J483:EC483,"=0")+COUNTIF(J483:EC483,"=1"))</f>
        <v>7</v>
      </c>
      <c r="I483" s="23" t="n">
        <f aca="false">IFERROR(ROUND(10-AVERAGE(J483:EC483)*10,0),0)</f>
        <v>6</v>
      </c>
      <c r="J483" s="11" t="n">
        <v>0</v>
      </c>
      <c r="K483" s="11" t="n">
        <v>0</v>
      </c>
      <c r="L483" s="5"/>
      <c r="M483" s="5"/>
      <c r="N483" s="5"/>
      <c r="O483" s="5" t="n">
        <v>0</v>
      </c>
      <c r="P483" s="11" t="n">
        <v>1</v>
      </c>
      <c r="Q483" s="5" t="n">
        <v>0</v>
      </c>
      <c r="R483" s="5"/>
      <c r="S483" s="5"/>
      <c r="T483" s="11" t="n">
        <v>1</v>
      </c>
      <c r="U483" s="5"/>
      <c r="V483" s="5"/>
      <c r="W483" s="5"/>
      <c r="X483" s="11" t="n">
        <v>1</v>
      </c>
      <c r="Y483" s="5"/>
      <c r="Z483" s="5"/>
      <c r="AA483" s="5"/>
      <c r="AB483" s="5"/>
    </row>
    <row r="484" customFormat="false" ht="15.75" hidden="false" customHeight="false" outlineLevel="0" collapsed="false">
      <c r="A484" s="5" t="s">
        <v>1114</v>
      </c>
      <c r="B484" s="5" t="s">
        <v>1144</v>
      </c>
      <c r="C484" s="5" t="s">
        <v>1160</v>
      </c>
      <c r="D484" s="5"/>
      <c r="E484" s="5"/>
      <c r="F484" s="5"/>
      <c r="G484" s="9" t="s">
        <v>1161</v>
      </c>
      <c r="H484" s="5" t="n">
        <f aca="false">(COUNTIF(J484:EC484,"=0")+COUNTIF(J484:EC484,"=1"))</f>
        <v>6</v>
      </c>
      <c r="I484" s="16" t="n">
        <f aca="false">IFERROR(ROUND(10-AVERAGE(J484:EC484)*10,0),0)</f>
        <v>7</v>
      </c>
      <c r="J484" s="11" t="n">
        <v>0</v>
      </c>
      <c r="K484" s="11" t="n">
        <v>0</v>
      </c>
      <c r="L484" s="5"/>
      <c r="M484" s="5"/>
      <c r="N484" s="5"/>
      <c r="O484" s="5"/>
      <c r="P484" s="11" t="n">
        <v>1</v>
      </c>
      <c r="Q484" s="11" t="n">
        <v>0</v>
      </c>
      <c r="R484" s="5"/>
      <c r="S484" s="5"/>
      <c r="T484" s="11" t="n">
        <v>1</v>
      </c>
      <c r="U484" s="11" t="n">
        <v>0</v>
      </c>
      <c r="V484" s="5"/>
      <c r="W484" s="5"/>
      <c r="X484" s="5"/>
      <c r="Y484" s="5"/>
      <c r="Z484" s="5"/>
      <c r="AA484" s="5"/>
      <c r="AB484" s="5"/>
    </row>
    <row r="485" customFormat="false" ht="15.75" hidden="false" customHeight="false" outlineLevel="0" collapsed="false">
      <c r="A485" s="5" t="s">
        <v>1114</v>
      </c>
      <c r="B485" s="5" t="s">
        <v>1144</v>
      </c>
      <c r="C485" s="5" t="s">
        <v>1162</v>
      </c>
      <c r="D485" s="5"/>
      <c r="E485" s="5"/>
      <c r="F485" s="5"/>
      <c r="G485" s="9" t="s">
        <v>1163</v>
      </c>
      <c r="H485" s="5" t="n">
        <f aca="false">(COUNTIF(J485:EC485,"=0")+COUNTIF(J485:EC485,"=1"))</f>
        <v>5</v>
      </c>
      <c r="I485" s="15" t="n">
        <f aca="false">IFERROR(ROUND(10-AVERAGE(J485:EC485)*10,0),0)</f>
        <v>6</v>
      </c>
      <c r="J485" s="11" t="n">
        <v>0</v>
      </c>
      <c r="K485" s="11" t="n">
        <v>0</v>
      </c>
      <c r="L485" s="5"/>
      <c r="M485" s="5"/>
      <c r="N485" s="5"/>
      <c r="O485" s="5"/>
      <c r="P485" s="11" t="n">
        <v>1</v>
      </c>
      <c r="Q485" s="5"/>
      <c r="R485" s="5"/>
      <c r="S485" s="5"/>
      <c r="T485" s="11" t="n">
        <v>1</v>
      </c>
      <c r="U485" s="5"/>
      <c r="V485" s="5"/>
      <c r="W485" s="5"/>
      <c r="X485" s="5"/>
      <c r="Y485" s="5"/>
      <c r="Z485" s="11" t="n">
        <v>0</v>
      </c>
      <c r="AA485" s="5"/>
      <c r="AB485" s="5"/>
    </row>
    <row r="486" customFormat="false" ht="15.75" hidden="false" customHeight="false" outlineLevel="0" collapsed="false">
      <c r="A486" s="5" t="s">
        <v>1114</v>
      </c>
      <c r="B486" s="5" t="s">
        <v>1164</v>
      </c>
      <c r="C486" s="5" t="s">
        <v>1165</v>
      </c>
      <c r="D486" s="25"/>
      <c r="E486" s="5"/>
      <c r="F486" s="5"/>
      <c r="G486" s="9" t="s">
        <v>1166</v>
      </c>
      <c r="H486" s="5" t="n">
        <f aca="false">(COUNTIF(J486:EC486,"=0")+COUNTIF(J486:EC486,"=1"))</f>
        <v>9</v>
      </c>
      <c r="I486" s="12" t="n">
        <f aca="false">IFERROR(ROUND(10-AVERAGE(J486:EC486)*10,0),0)</f>
        <v>8</v>
      </c>
      <c r="J486" s="11" t="n">
        <v>0</v>
      </c>
      <c r="K486" s="11" t="n">
        <v>0</v>
      </c>
      <c r="L486" s="11" t="n">
        <v>0</v>
      </c>
      <c r="M486" s="5"/>
      <c r="N486" s="5"/>
      <c r="O486" s="11" t="n">
        <v>0</v>
      </c>
      <c r="P486" s="11" t="n">
        <v>1</v>
      </c>
      <c r="Q486" s="11" t="n">
        <v>0</v>
      </c>
      <c r="R486" s="5"/>
      <c r="S486" s="11" t="n">
        <v>0</v>
      </c>
      <c r="T486" s="11" t="n">
        <v>1</v>
      </c>
      <c r="U486" s="11" t="n">
        <v>0</v>
      </c>
      <c r="V486" s="5"/>
      <c r="W486" s="5"/>
      <c r="X486" s="5"/>
      <c r="Y486" s="5"/>
      <c r="Z486" s="5"/>
      <c r="AA486" s="5"/>
      <c r="AB486" s="5"/>
    </row>
    <row r="487" customFormat="false" ht="15.75" hidden="false" customHeight="false" outlineLevel="0" collapsed="false">
      <c r="A487" s="5" t="s">
        <v>1114</v>
      </c>
      <c r="B487" s="5" t="s">
        <v>1164</v>
      </c>
      <c r="C487" s="5" t="s">
        <v>1167</v>
      </c>
      <c r="D487" s="25"/>
      <c r="E487" s="5"/>
      <c r="F487" s="5"/>
      <c r="G487" s="9" t="s">
        <v>1168</v>
      </c>
      <c r="H487" s="5" t="n">
        <f aca="false">(COUNTIF(J487:EC487,"=0")+COUNTIF(J487:EC487,"=1"))</f>
        <v>5</v>
      </c>
      <c r="I487" s="19" t="n">
        <f aca="false">IFERROR(ROUND(10-AVERAGE(J487:EC487)*10,0),0)</f>
        <v>6</v>
      </c>
      <c r="J487" s="5" t="n">
        <v>0</v>
      </c>
      <c r="K487" s="11" t="n">
        <v>0</v>
      </c>
      <c r="L487" s="5"/>
      <c r="M487" s="5"/>
      <c r="N487" s="5"/>
      <c r="O487" s="5"/>
      <c r="P487" s="11" t="n">
        <v>1</v>
      </c>
      <c r="Q487" s="5"/>
      <c r="R487" s="5"/>
      <c r="S487" s="5"/>
      <c r="T487" s="11" t="n">
        <v>1</v>
      </c>
      <c r="U487" s="5"/>
      <c r="V487" s="5"/>
      <c r="W487" s="5"/>
      <c r="X487" s="5"/>
      <c r="Y487" s="5"/>
      <c r="Z487" s="11" t="n">
        <v>0</v>
      </c>
      <c r="AA487" s="5"/>
      <c r="AB487" s="5"/>
    </row>
    <row r="488" customFormat="false" ht="15.75" hidden="false" customHeight="false" outlineLevel="0" collapsed="false">
      <c r="A488" s="5" t="s">
        <v>1114</v>
      </c>
      <c r="B488" s="5" t="s">
        <v>1164</v>
      </c>
      <c r="C488" s="5" t="s">
        <v>1169</v>
      </c>
      <c r="D488" s="5" t="s">
        <v>1170</v>
      </c>
      <c r="E488" s="5"/>
      <c r="F488" s="5"/>
      <c r="G488" s="9" t="s">
        <v>1171</v>
      </c>
      <c r="H488" s="5" t="n">
        <f aca="false">(COUNTIF(J488:EC488,"=0")+COUNTIF(J488:EC488,"=1"))</f>
        <v>8</v>
      </c>
      <c r="I488" s="12" t="n">
        <f aca="false">IFERROR(ROUND(10-AVERAGE(J488:EC488)*10,0),0)</f>
        <v>8</v>
      </c>
      <c r="J488" s="11" t="n">
        <v>0</v>
      </c>
      <c r="K488" s="11" t="n">
        <v>0</v>
      </c>
      <c r="L488" s="5"/>
      <c r="M488" s="5"/>
      <c r="N488" s="5"/>
      <c r="O488" s="11" t="n">
        <v>0</v>
      </c>
      <c r="P488" s="11" t="n">
        <v>1</v>
      </c>
      <c r="Q488" s="11" t="n">
        <v>0</v>
      </c>
      <c r="R488" s="5"/>
      <c r="S488" s="11" t="n">
        <v>0</v>
      </c>
      <c r="T488" s="11" t="n">
        <v>1</v>
      </c>
      <c r="U488" s="11" t="n">
        <v>0</v>
      </c>
      <c r="V488" s="5"/>
      <c r="W488" s="5"/>
      <c r="X488" s="5"/>
      <c r="Y488" s="5"/>
      <c r="Z488" s="5"/>
      <c r="AA488" s="5"/>
      <c r="AB488" s="5"/>
    </row>
    <row r="489" customFormat="false" ht="15.75" hidden="false" customHeight="false" outlineLevel="0" collapsed="false">
      <c r="A489" s="5" t="s">
        <v>1114</v>
      </c>
      <c r="B489" s="5" t="s">
        <v>1164</v>
      </c>
      <c r="C489" s="5" t="s">
        <v>1172</v>
      </c>
      <c r="D489" s="5"/>
      <c r="E489" s="5"/>
      <c r="F489" s="5"/>
      <c r="G489" s="9" t="s">
        <v>1173</v>
      </c>
      <c r="H489" s="5" t="n">
        <f aca="false">(COUNTIF(J489:EC489,"=0")+COUNTIF(J489:EC489,"=1"))</f>
        <v>5</v>
      </c>
      <c r="I489" s="15" t="n">
        <f aca="false">IFERROR(ROUND(10-AVERAGE(J489:EC489)*10,0),0)</f>
        <v>6</v>
      </c>
      <c r="J489" s="11" t="n">
        <v>0</v>
      </c>
      <c r="K489" s="11" t="n">
        <v>0</v>
      </c>
      <c r="L489" s="5"/>
      <c r="M489" s="5"/>
      <c r="N489" s="5"/>
      <c r="O489" s="5"/>
      <c r="P489" s="11" t="n">
        <v>1</v>
      </c>
      <c r="Q489" s="5"/>
      <c r="R489" s="5"/>
      <c r="S489" s="5"/>
      <c r="T489" s="11" t="n">
        <v>1</v>
      </c>
      <c r="U489" s="5"/>
      <c r="V489" s="5"/>
      <c r="W489" s="5"/>
      <c r="X489" s="5"/>
      <c r="Y489" s="5"/>
      <c r="Z489" s="11" t="n">
        <v>0</v>
      </c>
      <c r="AA489" s="5"/>
      <c r="AB489" s="5"/>
    </row>
    <row r="490" customFormat="false" ht="15.75" hidden="false" customHeight="false" outlineLevel="0" collapsed="false">
      <c r="A490" s="5" t="s">
        <v>1114</v>
      </c>
      <c r="B490" s="5" t="s">
        <v>1164</v>
      </c>
      <c r="C490" s="5" t="s">
        <v>1174</v>
      </c>
      <c r="D490" s="5" t="s">
        <v>1175</v>
      </c>
      <c r="E490" s="5"/>
      <c r="F490" s="5"/>
      <c r="G490" s="9" t="s">
        <v>1176</v>
      </c>
      <c r="H490" s="5" t="n">
        <f aca="false">(COUNTIF(J490:EC490,"=0")+COUNTIF(J490:EC490,"=1"))</f>
        <v>5</v>
      </c>
      <c r="I490" s="15" t="n">
        <f aca="false">IFERROR(ROUND(10-AVERAGE(J490:EC490)*10,0),0)</f>
        <v>6</v>
      </c>
      <c r="J490" s="11" t="n">
        <v>0</v>
      </c>
      <c r="K490" s="11" t="n">
        <v>0</v>
      </c>
      <c r="L490" s="5"/>
      <c r="M490" s="5"/>
      <c r="N490" s="5"/>
      <c r="O490" s="5"/>
      <c r="P490" s="11" t="n">
        <v>1</v>
      </c>
      <c r="Q490" s="5"/>
      <c r="R490" s="5"/>
      <c r="S490" s="5"/>
      <c r="T490" s="11" t="n">
        <v>1</v>
      </c>
      <c r="U490" s="5"/>
      <c r="V490" s="5"/>
      <c r="W490" s="5"/>
      <c r="X490" s="5"/>
      <c r="Y490" s="5"/>
      <c r="Z490" s="11" t="n">
        <v>0</v>
      </c>
      <c r="AA490" s="5"/>
      <c r="AB490" s="5"/>
    </row>
    <row r="491" customFormat="false" ht="15.75" hidden="false" customHeight="false" outlineLevel="0" collapsed="false">
      <c r="A491" s="5" t="s">
        <v>1114</v>
      </c>
      <c r="B491" s="5" t="s">
        <v>1164</v>
      </c>
      <c r="C491" s="5" t="s">
        <v>1177</v>
      </c>
      <c r="D491" s="5"/>
      <c r="E491" s="5"/>
      <c r="F491" s="5"/>
      <c r="G491" s="9" t="s">
        <v>1178</v>
      </c>
      <c r="H491" s="5" t="n">
        <f aca="false">(COUNTIF(J491:EC491,"=0")+COUNTIF(J491:EC491,"=1"))</f>
        <v>8</v>
      </c>
      <c r="I491" s="12" t="n">
        <f aca="false">IFERROR(ROUND(10-AVERAGE(J491:EC491)*10,0),0)</f>
        <v>8</v>
      </c>
      <c r="J491" s="11" t="n">
        <v>0</v>
      </c>
      <c r="K491" s="11" t="n">
        <v>0</v>
      </c>
      <c r="L491" s="5"/>
      <c r="M491" s="5"/>
      <c r="N491" s="5"/>
      <c r="O491" s="11" t="n">
        <v>0</v>
      </c>
      <c r="P491" s="11" t="n">
        <v>1</v>
      </c>
      <c r="Q491" s="11" t="n">
        <v>0</v>
      </c>
      <c r="R491" s="5"/>
      <c r="S491" s="11" t="n">
        <v>0</v>
      </c>
      <c r="T491" s="11" t="n">
        <v>1</v>
      </c>
      <c r="U491" s="11" t="n">
        <v>0</v>
      </c>
      <c r="V491" s="5"/>
      <c r="W491" s="5"/>
      <c r="X491" s="5"/>
      <c r="Y491" s="5"/>
      <c r="Z491" s="5"/>
      <c r="AA491" s="5"/>
      <c r="AB491" s="5"/>
    </row>
    <row r="492" customFormat="false" ht="15.75" hidden="false" customHeight="false" outlineLevel="0" collapsed="false">
      <c r="A492" s="5" t="s">
        <v>1114</v>
      </c>
      <c r="B492" s="5" t="s">
        <v>1179</v>
      </c>
      <c r="C492" s="5" t="s">
        <v>1180</v>
      </c>
      <c r="D492" s="5"/>
      <c r="E492" s="5"/>
      <c r="F492" s="5"/>
      <c r="G492" s="9" t="s">
        <v>1181</v>
      </c>
      <c r="H492" s="5" t="n">
        <f aca="false">(COUNTIF(J492:EC492,"=0")+COUNTIF(J492:EC492,"=1"))</f>
        <v>5</v>
      </c>
      <c r="I492" s="19" t="n">
        <f aca="false">IFERROR(ROUND(10-AVERAGE(J492:EC492)*10,0),0)</f>
        <v>6</v>
      </c>
      <c r="J492" s="5" t="n">
        <v>0</v>
      </c>
      <c r="K492" s="11" t="n">
        <v>0</v>
      </c>
      <c r="L492" s="5"/>
      <c r="M492" s="5"/>
      <c r="N492" s="5"/>
      <c r="O492" s="5"/>
      <c r="P492" s="11" t="n">
        <v>1</v>
      </c>
      <c r="Q492" s="5"/>
      <c r="R492" s="5"/>
      <c r="S492" s="5"/>
      <c r="T492" s="11" t="n">
        <v>1</v>
      </c>
      <c r="U492" s="5"/>
      <c r="V492" s="5"/>
      <c r="W492" s="5"/>
      <c r="X492" s="5"/>
      <c r="Y492" s="5"/>
      <c r="Z492" s="11" t="n">
        <v>0</v>
      </c>
      <c r="AA492" s="5"/>
      <c r="AB492" s="5"/>
    </row>
    <row r="493" customFormat="false" ht="15.75" hidden="false" customHeight="false" outlineLevel="0" collapsed="false">
      <c r="A493" s="5" t="s">
        <v>1114</v>
      </c>
      <c r="B493" s="5" t="s">
        <v>1179</v>
      </c>
      <c r="C493" s="5" t="s">
        <v>1182</v>
      </c>
      <c r="D493" s="5"/>
      <c r="E493" s="5"/>
      <c r="F493" s="5"/>
      <c r="G493" s="9" t="s">
        <v>1183</v>
      </c>
      <c r="H493" s="5" t="n">
        <f aca="false">(COUNTIF(J493:EC493,"=0")+COUNTIF(J493:EC493,"=1"))</f>
        <v>5</v>
      </c>
      <c r="I493" s="15" t="n">
        <f aca="false">IFERROR(ROUND(10-AVERAGE(J493:EC493)*10,0),0)</f>
        <v>6</v>
      </c>
      <c r="J493" s="11" t="n">
        <v>0</v>
      </c>
      <c r="K493" s="11" t="n">
        <v>0</v>
      </c>
      <c r="L493" s="5"/>
      <c r="M493" s="5"/>
      <c r="N493" s="5"/>
      <c r="O493" s="5"/>
      <c r="P493" s="11" t="n">
        <v>1</v>
      </c>
      <c r="Q493" s="5"/>
      <c r="R493" s="5"/>
      <c r="S493" s="5"/>
      <c r="T493" s="11" t="n">
        <v>1</v>
      </c>
      <c r="U493" s="5"/>
      <c r="V493" s="5"/>
      <c r="W493" s="5"/>
      <c r="X493" s="5"/>
      <c r="Y493" s="5"/>
      <c r="Z493" s="11" t="n">
        <v>0</v>
      </c>
      <c r="AA493" s="5"/>
      <c r="AB493" s="5"/>
    </row>
    <row r="494" customFormat="false" ht="15.75" hidden="false" customHeight="false" outlineLevel="0" collapsed="false">
      <c r="A494" s="5" t="s">
        <v>1114</v>
      </c>
      <c r="B494" s="5" t="s">
        <v>1184</v>
      </c>
      <c r="C494" s="5" t="s">
        <v>1185</v>
      </c>
      <c r="D494" s="5"/>
      <c r="E494" s="5"/>
      <c r="F494" s="5"/>
      <c r="G494" s="9" t="s">
        <v>1186</v>
      </c>
      <c r="H494" s="5" t="n">
        <f aca="false">(COUNTIF(J494:EC494,"=0")+COUNTIF(J494:EC494,"=1"))</f>
        <v>8</v>
      </c>
      <c r="I494" s="12" t="n">
        <f aca="false">IFERROR(ROUND(10-AVERAGE(J494:EC494)*10,0),0)</f>
        <v>8</v>
      </c>
      <c r="J494" s="11" t="n">
        <v>0</v>
      </c>
      <c r="K494" s="11" t="n">
        <v>0</v>
      </c>
      <c r="L494" s="5"/>
      <c r="M494" s="5"/>
      <c r="N494" s="5"/>
      <c r="O494" s="11" t="n">
        <v>0</v>
      </c>
      <c r="P494" s="11" t="n">
        <v>1</v>
      </c>
      <c r="Q494" s="11" t="n">
        <v>0</v>
      </c>
      <c r="R494" s="5"/>
      <c r="S494" s="11" t="n">
        <v>0</v>
      </c>
      <c r="T494" s="11" t="n">
        <v>1</v>
      </c>
      <c r="U494" s="11" t="n">
        <v>0</v>
      </c>
      <c r="V494" s="5"/>
      <c r="W494" s="5"/>
      <c r="X494" s="5"/>
      <c r="Y494" s="5"/>
      <c r="Z494" s="5"/>
      <c r="AA494" s="5"/>
      <c r="AB494" s="5"/>
    </row>
    <row r="495" customFormat="false" ht="15.75" hidden="false" customHeight="false" outlineLevel="0" collapsed="false">
      <c r="A495" s="5" t="s">
        <v>1187</v>
      </c>
      <c r="B495" s="5" t="s">
        <v>1188</v>
      </c>
      <c r="C495" s="5" t="s">
        <v>1189</v>
      </c>
      <c r="D495" s="5"/>
      <c r="E495" s="5"/>
      <c r="F495" s="5"/>
      <c r="G495" s="5"/>
      <c r="H495" s="5" t="n">
        <f aca="false">(COUNTIF(J495:EC495,"=0")+COUNTIF(J495:EC495,"=1"))</f>
        <v>8</v>
      </c>
      <c r="I495" s="12" t="n">
        <f aca="false">IFERROR(ROUND(10-AVERAGE(J495:EC495)*10,0),0)</f>
        <v>8</v>
      </c>
      <c r="J495" s="11" t="n">
        <v>0</v>
      </c>
      <c r="K495" s="11" t="n">
        <v>0</v>
      </c>
      <c r="L495" s="5"/>
      <c r="M495" s="5"/>
      <c r="N495" s="5"/>
      <c r="O495" s="11" t="n">
        <v>1</v>
      </c>
      <c r="P495" s="11" t="n">
        <v>0</v>
      </c>
      <c r="Q495" s="11" t="n">
        <v>0</v>
      </c>
      <c r="R495" s="5"/>
      <c r="S495" s="5"/>
      <c r="T495" s="11" t="n">
        <v>0</v>
      </c>
      <c r="U495" s="11" t="n">
        <v>1</v>
      </c>
      <c r="V495" s="11" t="n">
        <v>0</v>
      </c>
      <c r="W495" s="5"/>
      <c r="X495" s="5"/>
      <c r="Y495" s="5"/>
      <c r="Z495" s="5"/>
      <c r="AA495" s="5"/>
      <c r="AB495" s="5"/>
    </row>
    <row r="496" customFormat="false" ht="15.75" hidden="false" customHeight="false" outlineLevel="0" collapsed="false">
      <c r="A496" s="5" t="s">
        <v>1187</v>
      </c>
      <c r="B496" s="5" t="s">
        <v>1188</v>
      </c>
      <c r="C496" s="5" t="s">
        <v>1190</v>
      </c>
      <c r="D496" s="5"/>
      <c r="E496" s="5"/>
      <c r="F496" s="5"/>
      <c r="G496" s="5"/>
      <c r="H496" s="5" t="n">
        <f aca="false">(COUNTIF(J496:EC496,"=0")+COUNTIF(J496:EC496,"=1"))</f>
        <v>9</v>
      </c>
      <c r="I496" s="16" t="n">
        <f aca="false">IFERROR(ROUND(10-AVERAGE(J496:EC496)*10,0),0)</f>
        <v>7</v>
      </c>
      <c r="J496" s="11" t="n">
        <v>0</v>
      </c>
      <c r="K496" s="11" t="n">
        <v>0</v>
      </c>
      <c r="L496" s="5"/>
      <c r="M496" s="5"/>
      <c r="N496" s="5"/>
      <c r="O496" s="11" t="n">
        <v>1</v>
      </c>
      <c r="P496" s="11" t="n">
        <v>1</v>
      </c>
      <c r="Q496" s="11" t="n">
        <v>0</v>
      </c>
      <c r="R496" s="5"/>
      <c r="S496" s="11" t="n">
        <v>0</v>
      </c>
      <c r="T496" s="11" t="n">
        <v>0</v>
      </c>
      <c r="U496" s="11" t="n">
        <v>1</v>
      </c>
      <c r="V496" s="11" t="n">
        <v>0</v>
      </c>
      <c r="W496" s="5"/>
      <c r="X496" s="5"/>
      <c r="Y496" s="5"/>
      <c r="Z496" s="5"/>
      <c r="AA496" s="5"/>
      <c r="AB496" s="5"/>
    </row>
    <row r="497" customFormat="false" ht="15.75" hidden="false" customHeight="false" outlineLevel="0" collapsed="false">
      <c r="A497" s="5" t="s">
        <v>1187</v>
      </c>
      <c r="B497" s="5" t="s">
        <v>1188</v>
      </c>
      <c r="C497" s="5" t="s">
        <v>1191</v>
      </c>
      <c r="D497" s="5"/>
      <c r="E497" s="5"/>
      <c r="F497" s="5"/>
      <c r="G497" s="5"/>
      <c r="H497" s="5" t="n">
        <f aca="false">(COUNTIF(J497:EC497,"=0")+COUNTIF(J497:EC497,"=1"))</f>
        <v>9</v>
      </c>
      <c r="I497" s="12" t="n">
        <f aca="false">IFERROR(ROUND(10-AVERAGE(J497:EC497)*10,0),0)</f>
        <v>8</v>
      </c>
      <c r="J497" s="11" t="n">
        <v>0</v>
      </c>
      <c r="K497" s="11" t="n">
        <v>0</v>
      </c>
      <c r="L497" s="5"/>
      <c r="M497" s="5"/>
      <c r="N497" s="5"/>
      <c r="O497" s="11" t="n">
        <v>1</v>
      </c>
      <c r="P497" s="11" t="n">
        <v>0</v>
      </c>
      <c r="Q497" s="11" t="n">
        <v>0</v>
      </c>
      <c r="R497" s="5"/>
      <c r="S497" s="11" t="n">
        <v>0</v>
      </c>
      <c r="T497" s="11" t="n">
        <v>0</v>
      </c>
      <c r="U497" s="11" t="n">
        <v>1</v>
      </c>
      <c r="V497" s="11" t="n">
        <v>0</v>
      </c>
      <c r="W497" s="5"/>
      <c r="X497" s="5"/>
      <c r="Y497" s="5"/>
      <c r="Z497" s="5"/>
      <c r="AA497" s="5"/>
      <c r="AB497" s="5"/>
    </row>
    <row r="498" customFormat="false" ht="15.75" hidden="false" customHeight="false" outlineLevel="0" collapsed="false">
      <c r="A498" s="5" t="s">
        <v>1187</v>
      </c>
      <c r="B498" s="5" t="s">
        <v>1192</v>
      </c>
      <c r="C498" s="5" t="s">
        <v>1193</v>
      </c>
      <c r="D498" s="5"/>
      <c r="E498" s="5"/>
      <c r="F498" s="5"/>
      <c r="G498" s="5"/>
      <c r="H498" s="5" t="n">
        <f aca="false">(COUNTIF(J498:EC498,"=0")+COUNTIF(J498:EC498,"=1"))</f>
        <v>10</v>
      </c>
      <c r="I498" s="21" t="n">
        <f aca="false">IFERROR(ROUND(10-AVERAGE(J498:EC498)*10,0),0)</f>
        <v>3</v>
      </c>
      <c r="J498" s="11" t="n">
        <v>1</v>
      </c>
      <c r="K498" s="11" t="n">
        <v>1</v>
      </c>
      <c r="L498" s="5"/>
      <c r="M498" s="5"/>
      <c r="N498" s="5"/>
      <c r="O498" s="11" t="n">
        <v>1</v>
      </c>
      <c r="P498" s="11" t="n">
        <v>1</v>
      </c>
      <c r="Q498" s="11" t="n">
        <v>0</v>
      </c>
      <c r="R498" s="5"/>
      <c r="S498" s="11" t="n">
        <v>0</v>
      </c>
      <c r="T498" s="11" t="n">
        <v>0</v>
      </c>
      <c r="U498" s="11" t="n">
        <v>1</v>
      </c>
      <c r="V498" s="11" t="n">
        <v>1</v>
      </c>
      <c r="W498" s="5"/>
      <c r="X498" s="5"/>
      <c r="Y498" s="5"/>
      <c r="Z498" s="5"/>
      <c r="AA498" s="5"/>
      <c r="AB498" s="5"/>
      <c r="AF498" s="5" t="n">
        <v>1</v>
      </c>
    </row>
    <row r="499" customFormat="false" ht="15.75" hidden="false" customHeight="false" outlineLevel="0" collapsed="false">
      <c r="A499" s="5" t="s">
        <v>1187</v>
      </c>
      <c r="B499" s="5" t="s">
        <v>1192</v>
      </c>
      <c r="C499" s="5" t="s">
        <v>1194</v>
      </c>
      <c r="D499" s="5"/>
      <c r="E499" s="5"/>
      <c r="F499" s="5"/>
      <c r="G499" s="5"/>
      <c r="H499" s="5" t="n">
        <f aca="false">(COUNTIF(J499:EC499,"=0")+COUNTIF(J499:EC499,"=1"))</f>
        <v>9</v>
      </c>
      <c r="I499" s="13" t="n">
        <f aca="false">IFERROR(ROUND(10-AVERAGE(J499:EC499)*10,0),0)</f>
        <v>2</v>
      </c>
      <c r="J499" s="11" t="n">
        <v>1</v>
      </c>
      <c r="K499" s="11" t="n">
        <v>1</v>
      </c>
      <c r="L499" s="5"/>
      <c r="M499" s="5"/>
      <c r="N499" s="5"/>
      <c r="O499" s="11" t="n">
        <v>1</v>
      </c>
      <c r="P499" s="11" t="n">
        <v>1</v>
      </c>
      <c r="Q499" s="11" t="n">
        <v>1</v>
      </c>
      <c r="R499" s="5"/>
      <c r="S499" s="11" t="n">
        <v>0</v>
      </c>
      <c r="T499" s="11" t="n">
        <v>0</v>
      </c>
      <c r="U499" s="11" t="n">
        <v>1</v>
      </c>
      <c r="V499" s="11" t="n">
        <v>1</v>
      </c>
      <c r="W499" s="5"/>
      <c r="X499" s="5"/>
      <c r="Y499" s="5"/>
      <c r="Z499" s="5"/>
      <c r="AA499" s="5"/>
      <c r="AB499" s="5"/>
    </row>
    <row r="500" customFormat="false" ht="15.75" hidden="false" customHeight="false" outlineLevel="0" collapsed="false">
      <c r="A500" s="5" t="s">
        <v>1187</v>
      </c>
      <c r="B500" s="5" t="s">
        <v>1192</v>
      </c>
      <c r="C500" s="5" t="s">
        <v>1195</v>
      </c>
      <c r="D500" s="5"/>
      <c r="E500" s="5"/>
      <c r="F500" s="5"/>
      <c r="G500" s="5"/>
      <c r="H500" s="5" t="n">
        <f aca="false">(COUNTIF(J500:EC500,"=0")+COUNTIF(J500:EC500,"=1"))</f>
        <v>11</v>
      </c>
      <c r="I500" s="21" t="n">
        <f aca="false">IFERROR(ROUND(10-AVERAGE(J500:EC500)*10,0),0)</f>
        <v>4</v>
      </c>
      <c r="J500" s="11" t="n">
        <v>1</v>
      </c>
      <c r="K500" s="11" t="n">
        <v>0</v>
      </c>
      <c r="L500" s="5"/>
      <c r="M500" s="5"/>
      <c r="N500" s="5"/>
      <c r="O500" s="11" t="n">
        <v>1</v>
      </c>
      <c r="P500" s="11" t="n">
        <v>1</v>
      </c>
      <c r="Q500" s="11" t="n">
        <v>1</v>
      </c>
      <c r="R500" s="5"/>
      <c r="S500" s="11" t="n">
        <v>0</v>
      </c>
      <c r="T500" s="11" t="n">
        <v>0</v>
      </c>
      <c r="U500" s="11" t="n">
        <v>1</v>
      </c>
      <c r="V500" s="11" t="n">
        <v>1</v>
      </c>
      <c r="W500" s="5"/>
      <c r="X500" s="5"/>
      <c r="Y500" s="5"/>
      <c r="Z500" s="5"/>
      <c r="AA500" s="5"/>
      <c r="AB500" s="5"/>
      <c r="AE500" s="5" t="n">
        <v>1</v>
      </c>
      <c r="AF500" s="5" t="n">
        <v>0</v>
      </c>
    </row>
    <row r="501" customFormat="false" ht="15.75" hidden="false" customHeight="false" outlineLevel="0" collapsed="false">
      <c r="A501" s="5" t="s">
        <v>1196</v>
      </c>
      <c r="B501" s="5" t="s">
        <v>1196</v>
      </c>
      <c r="D501" s="5"/>
      <c r="E501" s="5"/>
      <c r="F501" s="5"/>
      <c r="G501" s="5"/>
      <c r="H501" s="5" t="n">
        <f aca="false">(COUNTIF(J501:EC501,"=0")+COUNTIF(J501:EC501,"=1"))</f>
        <v>0</v>
      </c>
      <c r="I501" s="16" t="n">
        <f aca="false">IFERROR(ROUND(10-AVERAGE(J501:EC501)*10,0),0)</f>
        <v>0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customFormat="false" ht="15.75" hidden="false" customHeight="false" outlineLevel="0" collapsed="false">
      <c r="A502" s="5" t="s">
        <v>1197</v>
      </c>
      <c r="B502" s="5" t="s">
        <v>1197</v>
      </c>
      <c r="C502" s="5" t="s">
        <v>1198</v>
      </c>
      <c r="D502" s="5"/>
      <c r="E502" s="5"/>
      <c r="F502" s="5"/>
      <c r="G502" s="9" t="s">
        <v>1199</v>
      </c>
      <c r="H502" s="5" t="n">
        <f aca="false">(COUNTIF(J502:EC502,"=0")+COUNTIF(J502:EC502,"=1"))</f>
        <v>4</v>
      </c>
      <c r="I502" s="12" t="n">
        <f aca="false">IFERROR(ROUND(10-AVERAGE(J502:EC502)*10,0),0)</f>
        <v>8</v>
      </c>
      <c r="J502" s="11" t="n">
        <v>0</v>
      </c>
      <c r="K502" s="11" t="n">
        <v>0</v>
      </c>
      <c r="L502" s="5"/>
      <c r="M502" s="5"/>
      <c r="N502" s="5"/>
      <c r="O502" s="5"/>
      <c r="P502" s="11" t="n">
        <v>1</v>
      </c>
      <c r="Q502" s="5"/>
      <c r="R502" s="5"/>
      <c r="S502" s="5"/>
      <c r="T502" s="5"/>
      <c r="U502" s="5"/>
      <c r="V502" s="5"/>
      <c r="W502" s="5"/>
      <c r="X502" s="5"/>
      <c r="Y502" s="5"/>
      <c r="Z502" s="11" t="n">
        <v>0</v>
      </c>
      <c r="AA502" s="5"/>
      <c r="AB502" s="5"/>
    </row>
    <row r="503" customFormat="false" ht="15.75" hidden="false" customHeight="false" outlineLevel="0" collapsed="false">
      <c r="A503" s="5" t="s">
        <v>1200</v>
      </c>
      <c r="B503" s="5" t="s">
        <v>1200</v>
      </c>
      <c r="C503" s="5" t="s">
        <v>1201</v>
      </c>
      <c r="D503" s="5"/>
      <c r="E503" s="5"/>
      <c r="F503" s="5"/>
      <c r="G503" s="9" t="s">
        <v>1202</v>
      </c>
      <c r="H503" s="5" t="n">
        <f aca="false">(COUNTIF(J503:EC503,"=0")+COUNTIF(J503:EC503,"=1"))</f>
        <v>8</v>
      </c>
      <c r="I503" s="13" t="n">
        <f aca="false">IFERROR(ROUND(10-AVERAGE(J503:EC503)*10,0),0)</f>
        <v>6</v>
      </c>
      <c r="J503" s="11" t="n">
        <v>0</v>
      </c>
      <c r="K503" s="11" t="n">
        <v>0</v>
      </c>
      <c r="L503" s="5"/>
      <c r="M503" s="5"/>
      <c r="N503" s="5"/>
      <c r="O503" s="11" t="n">
        <v>0</v>
      </c>
      <c r="P503" s="11" t="n">
        <v>0</v>
      </c>
      <c r="Q503" s="11" t="n">
        <v>1</v>
      </c>
      <c r="R503" s="5"/>
      <c r="S503" s="11" t="n">
        <v>1</v>
      </c>
      <c r="T503" s="11" t="n">
        <v>0</v>
      </c>
      <c r="U503" s="11" t="n">
        <v>1</v>
      </c>
      <c r="V503" s="5"/>
      <c r="W503" s="5"/>
      <c r="X503" s="5"/>
      <c r="Y503" s="5"/>
      <c r="Z503" s="5"/>
      <c r="AA503" s="5"/>
      <c r="AB503" s="5"/>
    </row>
    <row r="504" customFormat="false" ht="15.75" hidden="false" customHeight="false" outlineLevel="0" collapsed="false">
      <c r="A504" s="5" t="s">
        <v>1200</v>
      </c>
      <c r="B504" s="5" t="s">
        <v>1200</v>
      </c>
      <c r="C504" s="5" t="s">
        <v>1203</v>
      </c>
      <c r="D504" s="5"/>
      <c r="E504" s="5"/>
      <c r="F504" s="5"/>
      <c r="G504" s="9" t="s">
        <v>1204</v>
      </c>
      <c r="H504" s="5" t="n">
        <f aca="false">(COUNTIF(J504:EC504,"=0")+COUNTIF(J504:EC504,"=1"))</f>
        <v>8</v>
      </c>
      <c r="I504" s="21" t="n">
        <f aca="false">IFERROR(ROUND(10-AVERAGE(J504:EC504)*10,0),0)</f>
        <v>6</v>
      </c>
      <c r="J504" s="11" t="n">
        <v>0</v>
      </c>
      <c r="K504" s="11" t="n">
        <v>0</v>
      </c>
      <c r="L504" s="5"/>
      <c r="M504" s="5"/>
      <c r="N504" s="5"/>
      <c r="O504" s="11" t="n">
        <v>0</v>
      </c>
      <c r="P504" s="11" t="n">
        <v>0</v>
      </c>
      <c r="Q504" s="11" t="n">
        <v>1</v>
      </c>
      <c r="R504" s="5"/>
      <c r="S504" s="11" t="n">
        <v>1</v>
      </c>
      <c r="T504" s="11" t="n">
        <v>0</v>
      </c>
      <c r="U504" s="11" t="n">
        <v>1</v>
      </c>
      <c r="V504" s="5"/>
      <c r="W504" s="5"/>
      <c r="X504" s="5"/>
      <c r="Y504" s="5"/>
      <c r="Z504" s="5"/>
      <c r="AA504" s="5"/>
      <c r="AB504" s="5"/>
    </row>
    <row r="505" customFormat="false" ht="15.75" hidden="false" customHeight="false" outlineLevel="0" collapsed="false">
      <c r="A505" s="5" t="s">
        <v>1205</v>
      </c>
      <c r="B505" s="5" t="s">
        <v>1206</v>
      </c>
      <c r="C505" s="5" t="s">
        <v>1207</v>
      </c>
      <c r="D505" s="5"/>
      <c r="E505" s="9" t="s">
        <v>1208</v>
      </c>
      <c r="F505" s="5"/>
      <c r="G505" s="5"/>
      <c r="H505" s="11" t="n">
        <f aca="false">(COUNTIF(J505:EC505,"=0")+COUNTIF(J505:EC505,"=1"))</f>
        <v>1</v>
      </c>
      <c r="I505" s="26" t="n">
        <f aca="false">IFERROR(ROUND(10-AVERAGE(J505:EC505)*10,0),0)</f>
        <v>0</v>
      </c>
      <c r="J505" s="11"/>
      <c r="K505" s="11"/>
      <c r="L505" s="5"/>
      <c r="M505" s="5"/>
      <c r="N505" s="5"/>
      <c r="O505" s="11"/>
      <c r="P505" s="11"/>
      <c r="Q505" s="11"/>
      <c r="R505" s="5"/>
      <c r="S505" s="11" t="n">
        <v>1</v>
      </c>
      <c r="T505" s="11"/>
      <c r="U505" s="11"/>
      <c r="V505" s="5"/>
      <c r="W505" s="5"/>
      <c r="X505" s="5"/>
      <c r="Y505" s="5"/>
      <c r="Z505" s="5"/>
      <c r="AA505" s="5"/>
      <c r="AB505" s="5"/>
    </row>
    <row r="506" customFormat="false" ht="15.75" hidden="false" customHeight="false" outlineLevel="0" collapsed="false">
      <c r="A506" s="5" t="s">
        <v>1205</v>
      </c>
      <c r="B506" s="5" t="s">
        <v>1206</v>
      </c>
      <c r="C506" s="5" t="s">
        <v>1209</v>
      </c>
      <c r="D506" s="5"/>
      <c r="E506" s="9" t="s">
        <v>1210</v>
      </c>
      <c r="F506" s="5"/>
      <c r="G506" s="5"/>
      <c r="H506" s="11" t="n">
        <f aca="false">(COUNTIF(J506:EC506,"=0")+COUNTIF(J506:EC506,"=1"))</f>
        <v>1</v>
      </c>
      <c r="I506" s="27" t="n">
        <f aca="false">IFERROR(ROUND(10-AVERAGE(J506:EC506)*10,0),0)</f>
        <v>0</v>
      </c>
      <c r="J506" s="11"/>
      <c r="K506" s="11"/>
      <c r="L506" s="5"/>
      <c r="M506" s="5"/>
      <c r="N506" s="5"/>
      <c r="O506" s="11"/>
      <c r="P506" s="11"/>
      <c r="Q506" s="11"/>
      <c r="R506" s="5"/>
      <c r="S506" s="11" t="n">
        <v>1</v>
      </c>
      <c r="T506" s="11"/>
      <c r="U506" s="11"/>
      <c r="V506" s="5"/>
      <c r="W506" s="5"/>
      <c r="X506" s="5"/>
      <c r="Y506" s="5"/>
      <c r="Z506" s="5"/>
      <c r="AA506" s="5"/>
      <c r="AB506" s="5"/>
    </row>
    <row r="507" customFormat="false" ht="15.75" hidden="false" customHeight="false" outlineLevel="0" collapsed="false">
      <c r="A507" s="5" t="s">
        <v>1205</v>
      </c>
      <c r="B507" s="5" t="s">
        <v>1206</v>
      </c>
      <c r="C507" s="5" t="s">
        <v>1211</v>
      </c>
      <c r="D507" s="5"/>
      <c r="E507" s="9" t="s">
        <v>1212</v>
      </c>
      <c r="F507" s="5"/>
      <c r="G507" s="5"/>
      <c r="H507" s="11" t="n">
        <f aca="false">(COUNTIF(J507:EC507,"=0")+COUNTIF(J507:EC507,"=1"))</f>
        <v>1</v>
      </c>
      <c r="I507" s="28" t="n">
        <f aca="false">IFERROR(ROUND(10-AVERAGE(J507:EC507)*10,0),0)</f>
        <v>0</v>
      </c>
      <c r="J507" s="11"/>
      <c r="K507" s="11"/>
      <c r="L507" s="5"/>
      <c r="M507" s="5"/>
      <c r="N507" s="5"/>
      <c r="O507" s="11"/>
      <c r="P507" s="11"/>
      <c r="Q507" s="11"/>
      <c r="R507" s="5"/>
      <c r="S507" s="11" t="n">
        <v>1</v>
      </c>
      <c r="T507" s="11"/>
      <c r="U507" s="11"/>
      <c r="V507" s="5"/>
      <c r="W507" s="5"/>
      <c r="X507" s="5"/>
      <c r="Y507" s="5"/>
      <c r="Z507" s="5"/>
      <c r="AA507" s="5"/>
      <c r="AB507" s="5"/>
    </row>
    <row r="508" customFormat="false" ht="15.75" hidden="false" customHeight="false" outlineLevel="0" collapsed="false">
      <c r="A508" s="5" t="s">
        <v>1205</v>
      </c>
      <c r="B508" s="5" t="s">
        <v>1206</v>
      </c>
      <c r="C508" s="5" t="s">
        <v>1213</v>
      </c>
      <c r="D508" s="5"/>
      <c r="E508" s="9" t="s">
        <v>1214</v>
      </c>
      <c r="F508" s="5"/>
      <c r="G508" s="5"/>
      <c r="H508" s="11" t="n">
        <f aca="false">(COUNTIF(J508:EC508,"=0")+COUNTIF(J508:EC508,"=1"))</f>
        <v>1</v>
      </c>
      <c r="I508" s="29" t="n">
        <f aca="false">IFERROR(ROUND(10-AVERAGE(J508:EC508)*10,0),0)</f>
        <v>0</v>
      </c>
      <c r="J508" s="11"/>
      <c r="K508" s="11"/>
      <c r="L508" s="5"/>
      <c r="M508" s="5"/>
      <c r="N508" s="5"/>
      <c r="O508" s="11"/>
      <c r="P508" s="11"/>
      <c r="Q508" s="11"/>
      <c r="R508" s="5"/>
      <c r="S508" s="11" t="n">
        <v>1</v>
      </c>
      <c r="T508" s="11"/>
      <c r="U508" s="11"/>
      <c r="V508" s="5"/>
      <c r="W508" s="5"/>
      <c r="X508" s="5"/>
      <c r="Y508" s="5"/>
      <c r="Z508" s="5"/>
      <c r="AA508" s="5"/>
      <c r="AB508" s="5"/>
    </row>
    <row r="509" customFormat="false" ht="15.75" hidden="false" customHeight="false" outlineLevel="0" collapsed="false">
      <c r="A509" s="5" t="s">
        <v>1205</v>
      </c>
      <c r="B509" s="5" t="s">
        <v>1206</v>
      </c>
      <c r="C509" s="5" t="s">
        <v>1215</v>
      </c>
      <c r="D509" s="5"/>
      <c r="E509" s="9" t="s">
        <v>1216</v>
      </c>
      <c r="F509" s="5"/>
      <c r="G509" s="5"/>
      <c r="H509" s="11" t="n">
        <f aca="false">(COUNTIF(J509:EC509,"=0")+COUNTIF(J509:EC509,"=1"))</f>
        <v>1</v>
      </c>
      <c r="I509" s="30" t="n">
        <f aca="false">IFERROR(ROUND(10-AVERAGE(J509:EC509)*10,0),0)</f>
        <v>0</v>
      </c>
      <c r="J509" s="11"/>
      <c r="K509" s="11"/>
      <c r="L509" s="5"/>
      <c r="M509" s="5"/>
      <c r="N509" s="5"/>
      <c r="O509" s="11"/>
      <c r="P509" s="11"/>
      <c r="Q509" s="11"/>
      <c r="R509" s="5"/>
      <c r="S509" s="11" t="n">
        <v>1</v>
      </c>
      <c r="T509" s="11"/>
      <c r="U509" s="11"/>
      <c r="V509" s="5"/>
      <c r="W509" s="5"/>
      <c r="X509" s="5"/>
      <c r="Y509" s="5"/>
      <c r="Z509" s="5"/>
      <c r="AA509" s="5"/>
      <c r="AB509" s="5"/>
    </row>
    <row r="510" customFormat="false" ht="15.75" hidden="false" customHeight="false" outlineLevel="0" collapsed="false">
      <c r="A510" s="5" t="s">
        <v>1200</v>
      </c>
      <c r="B510" s="5" t="s">
        <v>1200</v>
      </c>
      <c r="C510" s="5" t="s">
        <v>1217</v>
      </c>
      <c r="D510" s="5"/>
      <c r="E510" s="5"/>
      <c r="F510" s="5"/>
      <c r="G510" s="9" t="s">
        <v>1218</v>
      </c>
      <c r="H510" s="11" t="n">
        <f aca="false">(COUNTIF(J510:EC510,"=0")+COUNTIF(J510:EC510,"=1"))</f>
        <v>8</v>
      </c>
      <c r="I510" s="30" t="n">
        <f aca="false">IFERROR(ROUND(10-AVERAGE(J510:EC510)*10,0),0)</f>
        <v>8</v>
      </c>
      <c r="J510" s="11" t="n">
        <v>0</v>
      </c>
      <c r="K510" s="11" t="n">
        <v>0</v>
      </c>
      <c r="L510" s="5"/>
      <c r="M510" s="5"/>
      <c r="N510" s="5"/>
      <c r="O510" s="11" t="n">
        <v>0</v>
      </c>
      <c r="P510" s="11" t="n">
        <v>0</v>
      </c>
      <c r="Q510" s="11" t="n">
        <v>0</v>
      </c>
      <c r="R510" s="5"/>
      <c r="S510" s="11" t="n">
        <v>1</v>
      </c>
      <c r="T510" s="11" t="n">
        <v>0</v>
      </c>
      <c r="U510" s="11" t="n">
        <v>1</v>
      </c>
      <c r="V510" s="5"/>
      <c r="W510" s="5"/>
      <c r="X510" s="5"/>
      <c r="Y510" s="5"/>
      <c r="Z510" s="5"/>
      <c r="AA510" s="5"/>
      <c r="AB510" s="5"/>
    </row>
    <row r="511" customFormat="false" ht="15.75" hidden="false" customHeight="false" outlineLevel="0" collapsed="false">
      <c r="A511" s="5" t="s">
        <v>1200</v>
      </c>
      <c r="B511" s="5" t="s">
        <v>1200</v>
      </c>
      <c r="C511" s="5" t="s">
        <v>1219</v>
      </c>
      <c r="D511" s="5"/>
      <c r="E511" s="5"/>
      <c r="F511" s="5"/>
      <c r="G511" s="9" t="s">
        <v>1220</v>
      </c>
      <c r="H511" s="5" t="n">
        <f aca="false">(COUNTIF(J511:EC511,"=0")+COUNTIF(J511:EC511,"=1"))</f>
        <v>8</v>
      </c>
      <c r="I511" s="12" t="n">
        <f aca="false">IFERROR(ROUND(10-AVERAGE(J511:EC511)*10,0),0)</f>
        <v>8</v>
      </c>
      <c r="J511" s="11" t="n">
        <v>0</v>
      </c>
      <c r="K511" s="11" t="n">
        <v>0</v>
      </c>
      <c r="L511" s="5"/>
      <c r="M511" s="5"/>
      <c r="N511" s="5"/>
      <c r="O511" s="11" t="n">
        <v>0</v>
      </c>
      <c r="P511" s="11" t="n">
        <v>0</v>
      </c>
      <c r="Q511" s="11" t="n">
        <v>0</v>
      </c>
      <c r="R511" s="5"/>
      <c r="S511" s="11" t="n">
        <v>1</v>
      </c>
      <c r="T511" s="11" t="n">
        <v>0</v>
      </c>
      <c r="U511" s="11" t="n">
        <v>1</v>
      </c>
      <c r="V511" s="5"/>
      <c r="W511" s="5"/>
      <c r="X511" s="5"/>
      <c r="Y511" s="5"/>
      <c r="Z511" s="5"/>
      <c r="AA511" s="5"/>
      <c r="AB511" s="5"/>
    </row>
    <row r="512" customFormat="false" ht="15.75" hidden="false" customHeight="false" outlineLevel="0" collapsed="false">
      <c r="A512" s="5" t="s">
        <v>1200</v>
      </c>
      <c r="B512" s="5" t="s">
        <v>1200</v>
      </c>
      <c r="C512" s="5" t="s">
        <v>1221</v>
      </c>
      <c r="D512" s="5"/>
      <c r="E512" s="5"/>
      <c r="F512" s="5"/>
      <c r="G512" s="5"/>
      <c r="H512" s="5" t="n">
        <f aca="false">(COUNTIF(J512:EC512,"=0")+COUNTIF(J512:EC512,"=1"))</f>
        <v>5</v>
      </c>
      <c r="I512" s="12" t="n">
        <f aca="false">IFERROR(ROUND(10-AVERAGE(J512:EC512)*10,0),0)</f>
        <v>2</v>
      </c>
      <c r="J512" s="11" t="n">
        <v>1</v>
      </c>
      <c r="K512" s="11" t="n">
        <v>0</v>
      </c>
      <c r="L512" s="5"/>
      <c r="M512" s="5"/>
      <c r="N512" s="5"/>
      <c r="O512" s="11"/>
      <c r="P512" s="11" t="n">
        <v>1</v>
      </c>
      <c r="Q512" s="11" t="n">
        <v>1</v>
      </c>
      <c r="R512" s="5"/>
      <c r="S512" s="11" t="n">
        <v>1</v>
      </c>
      <c r="T512" s="11"/>
      <c r="U512" s="11"/>
      <c r="V512" s="5"/>
      <c r="W512" s="5"/>
      <c r="X512" s="5"/>
      <c r="Y512" s="5"/>
      <c r="Z512" s="5"/>
      <c r="AA512" s="5"/>
      <c r="AB512" s="5"/>
    </row>
    <row r="513" customFormat="false" ht="15.75" hidden="false" customHeight="false" outlineLevel="0" collapsed="false">
      <c r="A513" s="5" t="s">
        <v>1200</v>
      </c>
      <c r="B513" s="5" t="s">
        <v>1200</v>
      </c>
      <c r="C513" s="5" t="s">
        <v>1222</v>
      </c>
      <c r="D513" s="5"/>
      <c r="E513" s="5"/>
      <c r="F513" s="5"/>
      <c r="G513" s="5"/>
      <c r="H513" s="5" t="n">
        <f aca="false">(COUNTIF(J513:EC513,"=0")+COUNTIF(J513:EC513,"=1"))</f>
        <v>11</v>
      </c>
      <c r="I513" s="23" t="n">
        <f aca="false">IFERROR(ROUND(10-AVERAGE(J513:EC513)*10,0),0)</f>
        <v>4</v>
      </c>
      <c r="J513" s="11" t="n">
        <v>1</v>
      </c>
      <c r="K513" s="11" t="n">
        <v>0</v>
      </c>
      <c r="L513" s="11" t="n">
        <v>0</v>
      </c>
      <c r="M513" s="11" t="n">
        <v>1</v>
      </c>
      <c r="N513" s="5"/>
      <c r="O513" s="11" t="n">
        <v>0</v>
      </c>
      <c r="P513" s="11" t="n">
        <v>1</v>
      </c>
      <c r="Q513" s="11" t="n">
        <v>1</v>
      </c>
      <c r="R513" s="11" t="n">
        <v>1</v>
      </c>
      <c r="S513" s="11" t="n">
        <v>1</v>
      </c>
      <c r="T513" s="11" t="n">
        <v>0</v>
      </c>
      <c r="U513" s="11" t="n">
        <v>1</v>
      </c>
      <c r="V513" s="5"/>
      <c r="W513" s="5"/>
      <c r="X513" s="5"/>
      <c r="Y513" s="5"/>
      <c r="Z513" s="5"/>
      <c r="AA513" s="5"/>
      <c r="AB513" s="5"/>
    </row>
    <row r="514" customFormat="false" ht="15.75" hidden="false" customHeight="false" outlineLevel="0" collapsed="false">
      <c r="A514" s="5" t="s">
        <v>1200</v>
      </c>
      <c r="B514" s="5" t="s">
        <v>1200</v>
      </c>
      <c r="C514" s="5" t="s">
        <v>1223</v>
      </c>
      <c r="D514" s="5"/>
      <c r="E514" s="5"/>
      <c r="F514" s="5"/>
      <c r="G514" s="9" t="s">
        <v>1224</v>
      </c>
      <c r="H514" s="5" t="n">
        <f aca="false">(COUNTIF(J514:EC514,"=0")+COUNTIF(J514:EC514,"=1"))</f>
        <v>8</v>
      </c>
      <c r="I514" s="12" t="n">
        <f aca="false">IFERROR(ROUND(10-AVERAGE(J514:EC514)*10,0),0)</f>
        <v>8</v>
      </c>
      <c r="J514" s="11" t="n">
        <v>0</v>
      </c>
      <c r="K514" s="11" t="n">
        <v>0</v>
      </c>
      <c r="L514" s="5"/>
      <c r="M514" s="5"/>
      <c r="N514" s="5"/>
      <c r="O514" s="11" t="n">
        <v>0</v>
      </c>
      <c r="P514" s="11" t="n">
        <v>0</v>
      </c>
      <c r="Q514" s="11" t="n">
        <v>0</v>
      </c>
      <c r="R514" s="5"/>
      <c r="S514" s="11" t="n">
        <v>1</v>
      </c>
      <c r="T514" s="11" t="n">
        <v>0</v>
      </c>
      <c r="U514" s="11" t="n">
        <v>1</v>
      </c>
      <c r="V514" s="5"/>
      <c r="W514" s="5"/>
      <c r="X514" s="5"/>
      <c r="Y514" s="5"/>
      <c r="Z514" s="5"/>
      <c r="AA514" s="5"/>
      <c r="AB514" s="5"/>
    </row>
    <row r="515" customFormat="false" ht="15.75" hidden="false" customHeight="false" outlineLevel="0" collapsed="false">
      <c r="A515" s="5" t="s">
        <v>1200</v>
      </c>
      <c r="B515" s="5" t="s">
        <v>1200</v>
      </c>
      <c r="C515" s="5" t="s">
        <v>1225</v>
      </c>
      <c r="D515" s="5"/>
      <c r="E515" s="5"/>
      <c r="F515" s="5"/>
      <c r="G515" s="9" t="s">
        <v>1226</v>
      </c>
      <c r="H515" s="5" t="n">
        <f aca="false">(COUNTIF(J515:EC515,"=0")+COUNTIF(J515:EC515,"=1"))</f>
        <v>4</v>
      </c>
      <c r="I515" s="12" t="n">
        <f aca="false">IFERROR(ROUND(10-AVERAGE(J515:EC515)*10,0),0)</f>
        <v>8</v>
      </c>
      <c r="J515" s="11" t="n">
        <v>0</v>
      </c>
      <c r="K515" s="11" t="n">
        <v>0</v>
      </c>
      <c r="L515" s="5"/>
      <c r="M515" s="5"/>
      <c r="N515" s="5"/>
      <c r="O515" s="5"/>
      <c r="P515" s="11" t="n">
        <v>1</v>
      </c>
      <c r="Q515" s="5"/>
      <c r="R515" s="5"/>
      <c r="S515" s="5"/>
      <c r="T515" s="5"/>
      <c r="U515" s="5"/>
      <c r="V515" s="5"/>
      <c r="W515" s="5"/>
      <c r="X515" s="5"/>
      <c r="Y515" s="5"/>
      <c r="Z515" s="11" t="n">
        <v>0</v>
      </c>
      <c r="AA515" s="5"/>
      <c r="AB515" s="5"/>
    </row>
    <row r="516" customFormat="false" ht="15.75" hidden="false" customHeight="false" outlineLevel="0" collapsed="false">
      <c r="A516" s="5" t="s">
        <v>1200</v>
      </c>
      <c r="B516" s="5" t="s">
        <v>1200</v>
      </c>
      <c r="C516" s="5" t="s">
        <v>1227</v>
      </c>
      <c r="D516" s="5"/>
      <c r="E516" s="5"/>
      <c r="F516" s="5"/>
      <c r="G516" s="9" t="s">
        <v>1228</v>
      </c>
      <c r="H516" s="5" t="n">
        <f aca="false">(COUNTIF(J516:EC516,"=0")+COUNTIF(J516:EC516,"=1"))</f>
        <v>8</v>
      </c>
      <c r="I516" s="19" t="n">
        <f aca="false">IFERROR(ROUND(10-AVERAGE(J516:EC516)*10,0),0)</f>
        <v>5</v>
      </c>
      <c r="J516" s="11" t="n">
        <v>0</v>
      </c>
      <c r="K516" s="11" t="n">
        <v>0</v>
      </c>
      <c r="L516" s="5"/>
      <c r="M516" s="5"/>
      <c r="N516" s="5"/>
      <c r="O516" s="11" t="n">
        <v>0</v>
      </c>
      <c r="P516" s="11" t="n">
        <v>1</v>
      </c>
      <c r="Q516" s="11" t="n">
        <v>1</v>
      </c>
      <c r="R516" s="5"/>
      <c r="S516" s="11" t="n">
        <v>1</v>
      </c>
      <c r="T516" s="11" t="n">
        <v>0</v>
      </c>
      <c r="U516" s="11" t="n">
        <v>1</v>
      </c>
      <c r="V516" s="5"/>
      <c r="W516" s="5"/>
      <c r="X516" s="5"/>
      <c r="Y516" s="5"/>
      <c r="Z516" s="5"/>
      <c r="AA516" s="5"/>
      <c r="AB516" s="5"/>
    </row>
    <row r="517" customFormat="false" ht="15.75" hidden="false" customHeight="false" outlineLevel="0" collapsed="false">
      <c r="A517" s="5" t="s">
        <v>1200</v>
      </c>
      <c r="B517" s="5" t="s">
        <v>1200</v>
      </c>
      <c r="C517" s="5" t="s">
        <v>1229</v>
      </c>
      <c r="D517" s="5"/>
      <c r="E517" s="5"/>
      <c r="F517" s="5"/>
      <c r="G517" s="9" t="s">
        <v>1230</v>
      </c>
      <c r="H517" s="5" t="n">
        <f aca="false">(COUNTIF(J517:EC517,"=0")+COUNTIF(J517:EC517,"=1"))</f>
        <v>8</v>
      </c>
      <c r="I517" s="12" t="n">
        <f aca="false">IFERROR(ROUND(10-AVERAGE(J517:EC517)*10,0),0)</f>
        <v>8</v>
      </c>
      <c r="J517" s="11" t="n">
        <v>0</v>
      </c>
      <c r="K517" s="11" t="n">
        <v>0</v>
      </c>
      <c r="L517" s="5"/>
      <c r="M517" s="5"/>
      <c r="N517" s="5"/>
      <c r="O517" s="11" t="n">
        <v>0</v>
      </c>
      <c r="P517" s="11" t="n">
        <v>0</v>
      </c>
      <c r="Q517" s="11" t="n">
        <v>0</v>
      </c>
      <c r="R517" s="5"/>
      <c r="S517" s="11" t="n">
        <v>1</v>
      </c>
      <c r="T517" s="11" t="n">
        <v>0</v>
      </c>
      <c r="U517" s="11" t="n">
        <v>1</v>
      </c>
      <c r="V517" s="5"/>
      <c r="W517" s="5"/>
      <c r="X517" s="5"/>
      <c r="Y517" s="5"/>
      <c r="Z517" s="5"/>
      <c r="AA517" s="5"/>
      <c r="AB517" s="5"/>
    </row>
    <row r="518" customFormat="false" ht="15.75" hidden="false" customHeight="false" outlineLevel="0" collapsed="false">
      <c r="A518" s="5" t="s">
        <v>1200</v>
      </c>
      <c r="B518" s="5" t="s">
        <v>1200</v>
      </c>
      <c r="C518" s="5" t="s">
        <v>1231</v>
      </c>
      <c r="D518" s="5"/>
      <c r="E518" s="5"/>
      <c r="F518" s="5"/>
      <c r="G518" s="5"/>
      <c r="H518" s="5" t="n">
        <f aca="false">(COUNTIF(J518:EC518,"=0")+COUNTIF(J518:EC518,"=1"))</f>
        <v>8</v>
      </c>
      <c r="I518" s="20" t="n">
        <f aca="false">IFERROR(ROUND(10-AVERAGE(J518:EC518)*10,0),0)</f>
        <v>0</v>
      </c>
      <c r="J518" s="11" t="n">
        <v>1</v>
      </c>
      <c r="K518" s="11" t="n">
        <v>1</v>
      </c>
      <c r="L518" s="5"/>
      <c r="M518" s="5"/>
      <c r="N518" s="5"/>
      <c r="O518" s="11" t="n">
        <v>1</v>
      </c>
      <c r="P518" s="11" t="n">
        <v>1</v>
      </c>
      <c r="Q518" s="11" t="n">
        <v>1</v>
      </c>
      <c r="R518" s="5"/>
      <c r="S518" s="11" t="n">
        <v>1</v>
      </c>
      <c r="T518" s="11" t="n">
        <v>1</v>
      </c>
      <c r="U518" s="11" t="n">
        <v>1</v>
      </c>
      <c r="V518" s="5"/>
      <c r="W518" s="5"/>
      <c r="X518" s="5"/>
      <c r="Y518" s="5"/>
      <c r="Z518" s="5"/>
      <c r="AA518" s="5"/>
      <c r="AB518" s="5"/>
    </row>
    <row r="519" customFormat="false" ht="15.75" hidden="false" customHeight="false" outlineLevel="0" collapsed="false">
      <c r="A519" s="5" t="s">
        <v>1200</v>
      </c>
      <c r="B519" s="5" t="s">
        <v>1232</v>
      </c>
      <c r="C519" s="5" t="s">
        <v>1233</v>
      </c>
      <c r="D519" s="5" t="s">
        <v>1234</v>
      </c>
      <c r="E519" s="5"/>
      <c r="F519" s="5"/>
      <c r="G519" s="5"/>
      <c r="H519" s="5"/>
      <c r="I519" s="15"/>
      <c r="J519" s="11"/>
      <c r="K519" s="11"/>
      <c r="L519" s="11"/>
      <c r="M519" s="11"/>
      <c r="N519" s="5"/>
      <c r="O519" s="11"/>
      <c r="P519" s="11" t="n">
        <v>1</v>
      </c>
      <c r="Q519" s="11"/>
      <c r="R519" s="5"/>
      <c r="S519" s="11"/>
      <c r="T519" s="11"/>
      <c r="U519" s="5"/>
      <c r="V519" s="5"/>
      <c r="W519" s="5"/>
      <c r="X519" s="5"/>
      <c r="Y519" s="5"/>
      <c r="Z519" s="5"/>
      <c r="AA519" s="5"/>
      <c r="AB519" s="5"/>
    </row>
    <row r="520" customFormat="false" ht="15.75" hidden="false" customHeight="false" outlineLevel="0" collapsed="false">
      <c r="A520" s="5" t="s">
        <v>1200</v>
      </c>
      <c r="B520" s="5" t="s">
        <v>1200</v>
      </c>
      <c r="C520" s="5" t="s">
        <v>1235</v>
      </c>
      <c r="D520" s="5"/>
      <c r="E520" s="25"/>
      <c r="F520" s="25"/>
      <c r="G520" s="25"/>
      <c r="H520" s="5" t="n">
        <f aca="false">(COUNTIF(J520:EC520,"=0")+COUNTIF(J520:EC520,"=1"))</f>
        <v>10</v>
      </c>
      <c r="I520" s="19" t="n">
        <f aca="false">IFERROR(ROUND(10-AVERAGE(J520:EC520)*10,0),0)</f>
        <v>5</v>
      </c>
      <c r="J520" s="11" t="n">
        <v>1</v>
      </c>
      <c r="K520" s="11" t="n">
        <v>0</v>
      </c>
      <c r="L520" s="11" t="n">
        <v>0</v>
      </c>
      <c r="M520" s="11" t="n">
        <v>1</v>
      </c>
      <c r="N520" s="5"/>
      <c r="O520" s="11" t="n">
        <v>0</v>
      </c>
      <c r="P520" s="11" t="n">
        <v>0</v>
      </c>
      <c r="Q520" s="11" t="n">
        <v>1</v>
      </c>
      <c r="R520" s="5"/>
      <c r="S520" s="11" t="n">
        <v>1</v>
      </c>
      <c r="T520" s="11" t="n">
        <v>0</v>
      </c>
      <c r="U520" s="11" t="n">
        <v>1</v>
      </c>
      <c r="V520" s="5"/>
      <c r="W520" s="5"/>
      <c r="X520" s="5"/>
      <c r="Y520" s="5"/>
      <c r="Z520" s="5"/>
      <c r="AA520" s="5"/>
      <c r="AB520" s="5"/>
    </row>
    <row r="521" customFormat="false" ht="15.75" hidden="false" customHeight="false" outlineLevel="0" collapsed="false">
      <c r="A521" s="5" t="s">
        <v>1200</v>
      </c>
      <c r="B521" s="5" t="s">
        <v>1200</v>
      </c>
      <c r="C521" s="5" t="s">
        <v>1236</v>
      </c>
      <c r="D521" s="5"/>
      <c r="E521" s="5"/>
      <c r="F521" s="5"/>
      <c r="G521" s="9" t="s">
        <v>1237</v>
      </c>
      <c r="H521" s="5" t="n">
        <f aca="false">(COUNTIF(J521:EC521,"=0")+COUNTIF(J521:EC521,"=1"))</f>
        <v>8</v>
      </c>
      <c r="I521" s="12" t="n">
        <f aca="false">IFERROR(ROUND(10-AVERAGE(J521:EC521)*10,0),0)</f>
        <v>8</v>
      </c>
      <c r="J521" s="11" t="n">
        <v>0</v>
      </c>
      <c r="K521" s="11" t="n">
        <v>0</v>
      </c>
      <c r="L521" s="5"/>
      <c r="M521" s="5"/>
      <c r="N521" s="5"/>
      <c r="O521" s="11" t="n">
        <v>0</v>
      </c>
      <c r="P521" s="11" t="n">
        <v>0</v>
      </c>
      <c r="Q521" s="11" t="n">
        <v>0</v>
      </c>
      <c r="R521" s="5"/>
      <c r="S521" s="11" t="n">
        <v>1</v>
      </c>
      <c r="T521" s="11" t="n">
        <v>0</v>
      </c>
      <c r="U521" s="11" t="n">
        <v>1</v>
      </c>
      <c r="V521" s="5"/>
      <c r="W521" s="5"/>
      <c r="X521" s="5"/>
      <c r="Y521" s="5"/>
      <c r="Z521" s="5"/>
      <c r="AA521" s="5"/>
      <c r="AB521" s="5"/>
    </row>
    <row r="522" customFormat="false" ht="15.75" hidden="false" customHeight="false" outlineLevel="0" collapsed="false">
      <c r="A522" s="5" t="s">
        <v>1200</v>
      </c>
      <c r="B522" s="5" t="s">
        <v>1200</v>
      </c>
      <c r="C522" s="5" t="s">
        <v>1238</v>
      </c>
      <c r="D522" s="5"/>
      <c r="E522" s="5"/>
      <c r="F522" s="5"/>
      <c r="G522" s="5"/>
      <c r="H522" s="5" t="n">
        <f aca="false">(COUNTIF(J522:EC522,"=0")+COUNTIF(J522:EC522,"=1"))</f>
        <v>1</v>
      </c>
      <c r="I522" s="15" t="n">
        <f aca="false">IFERROR(ROUND(10-AVERAGE(J522:EC522)*10,0),0)</f>
        <v>0</v>
      </c>
      <c r="J522" s="5"/>
      <c r="K522" s="5"/>
      <c r="L522" s="5"/>
      <c r="M522" s="5"/>
      <c r="N522" s="5"/>
      <c r="O522" s="5"/>
      <c r="P522" s="5" t="n">
        <v>1</v>
      </c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customFormat="false" ht="15.75" hidden="false" customHeight="false" outlineLevel="0" collapsed="false">
      <c r="A523" s="5" t="s">
        <v>1200</v>
      </c>
      <c r="B523" s="5" t="s">
        <v>1200</v>
      </c>
      <c r="C523" s="5" t="s">
        <v>1239</v>
      </c>
      <c r="D523" s="5"/>
      <c r="E523" s="5"/>
      <c r="F523" s="5"/>
      <c r="G523" s="9" t="s">
        <v>1240</v>
      </c>
      <c r="H523" s="5" t="n">
        <f aca="false">(COUNTIF(J523:EC523,"=0")+COUNTIF(J523:EC523,"=1"))</f>
        <v>9</v>
      </c>
      <c r="I523" s="12" t="n">
        <f aca="false">IFERROR(ROUND(10-AVERAGE(J523:EC523)*10,0),0)</f>
        <v>8</v>
      </c>
      <c r="J523" s="11" t="n">
        <v>0</v>
      </c>
      <c r="K523" s="11" t="n">
        <v>0</v>
      </c>
      <c r="L523" s="5"/>
      <c r="M523" s="5"/>
      <c r="N523" s="5"/>
      <c r="O523" s="11" t="n">
        <v>0</v>
      </c>
      <c r="P523" s="11" t="n">
        <v>0</v>
      </c>
      <c r="Q523" s="11" t="n">
        <v>0</v>
      </c>
      <c r="R523" s="5"/>
      <c r="S523" s="11" t="n">
        <v>1</v>
      </c>
      <c r="T523" s="11" t="n">
        <v>0</v>
      </c>
      <c r="U523" s="11" t="n">
        <v>1</v>
      </c>
      <c r="V523" s="5"/>
      <c r="W523" s="5"/>
      <c r="X523" s="5"/>
      <c r="Y523" s="5"/>
      <c r="Z523" s="5"/>
      <c r="AA523" s="5"/>
      <c r="AB523" s="5"/>
      <c r="AF523" s="5" t="n">
        <v>0</v>
      </c>
    </row>
    <row r="524" customFormat="false" ht="15.75" hidden="false" customHeight="false" outlineLevel="0" collapsed="false">
      <c r="A524" s="5" t="s">
        <v>1200</v>
      </c>
      <c r="B524" s="5" t="s">
        <v>1200</v>
      </c>
      <c r="C524" s="5" t="s">
        <v>1241</v>
      </c>
      <c r="D524" s="5"/>
      <c r="E524" s="5"/>
      <c r="F524" s="5"/>
      <c r="G524" s="9" t="s">
        <v>1242</v>
      </c>
      <c r="H524" s="5" t="n">
        <f aca="false">(COUNTIF(J524:EC524,"=0")+COUNTIF(J524:EC524,"=1"))</f>
        <v>8</v>
      </c>
      <c r="I524" s="12" t="n">
        <f aca="false">IFERROR(ROUND(10-AVERAGE(J524:EC524)*10,0),0)</f>
        <v>8</v>
      </c>
      <c r="J524" s="11" t="n">
        <v>0</v>
      </c>
      <c r="K524" s="11" t="n">
        <v>0</v>
      </c>
      <c r="L524" s="5"/>
      <c r="M524" s="5"/>
      <c r="N524" s="5"/>
      <c r="O524" s="11" t="n">
        <v>0</v>
      </c>
      <c r="P524" s="11" t="n">
        <v>0</v>
      </c>
      <c r="Q524" s="11" t="n">
        <v>0</v>
      </c>
      <c r="R524" s="5"/>
      <c r="S524" s="11" t="n">
        <v>1</v>
      </c>
      <c r="T524" s="11" t="n">
        <v>0</v>
      </c>
      <c r="U524" s="11" t="n">
        <v>1</v>
      </c>
      <c r="V524" s="5"/>
      <c r="W524" s="5"/>
      <c r="X524" s="5"/>
      <c r="Y524" s="5"/>
      <c r="Z524" s="5"/>
      <c r="AA524" s="5"/>
      <c r="AB524" s="5"/>
    </row>
    <row r="525" customFormat="false" ht="15.75" hidden="false" customHeight="false" outlineLevel="0" collapsed="false">
      <c r="A525" s="5" t="s">
        <v>1200</v>
      </c>
      <c r="B525" s="5" t="s">
        <v>1200</v>
      </c>
      <c r="C525" s="5" t="s">
        <v>1243</v>
      </c>
      <c r="D525" s="5"/>
      <c r="E525" s="5"/>
      <c r="F525" s="5"/>
      <c r="G525" s="9" t="s">
        <v>1244</v>
      </c>
      <c r="H525" s="5" t="n">
        <f aca="false">(COUNTIF(J525:EC525,"=0")+COUNTIF(J525:EC525,"=1"))</f>
        <v>8</v>
      </c>
      <c r="I525" s="12" t="n">
        <f aca="false">IFERROR(ROUND(10-AVERAGE(J525:EC525)*10,0),0)</f>
        <v>8</v>
      </c>
      <c r="J525" s="11" t="n">
        <v>0</v>
      </c>
      <c r="K525" s="11" t="n">
        <v>0</v>
      </c>
      <c r="L525" s="5"/>
      <c r="M525" s="5"/>
      <c r="N525" s="5"/>
      <c r="O525" s="11" t="n">
        <v>0</v>
      </c>
      <c r="P525" s="11" t="n">
        <v>0</v>
      </c>
      <c r="Q525" s="11" t="n">
        <v>0</v>
      </c>
      <c r="R525" s="5"/>
      <c r="S525" s="11" t="n">
        <v>1</v>
      </c>
      <c r="T525" s="11" t="n">
        <v>0</v>
      </c>
      <c r="U525" s="11" t="n">
        <v>1</v>
      </c>
      <c r="V525" s="5"/>
      <c r="W525" s="5"/>
      <c r="X525" s="5"/>
      <c r="Y525" s="5"/>
      <c r="Z525" s="5"/>
      <c r="AA525" s="5"/>
      <c r="AB525" s="5"/>
    </row>
    <row r="526" customFormat="false" ht="15.75" hidden="false" customHeight="false" outlineLevel="0" collapsed="false">
      <c r="A526" s="5" t="s">
        <v>1200</v>
      </c>
      <c r="B526" s="5" t="s">
        <v>1200</v>
      </c>
      <c r="C526" s="5" t="s">
        <v>1245</v>
      </c>
      <c r="D526" s="5"/>
      <c r="E526" s="5"/>
      <c r="F526" s="5"/>
      <c r="G526" s="9" t="s">
        <v>1246</v>
      </c>
      <c r="H526" s="5" t="n">
        <f aca="false">(COUNTIF(J526:EC526,"=0")+COUNTIF(J526:EC526,"=1"))</f>
        <v>11</v>
      </c>
      <c r="I526" s="19" t="n">
        <f aca="false">IFERROR(ROUND(10-AVERAGE(J526:EC526)*10,0),0)</f>
        <v>5</v>
      </c>
      <c r="J526" s="11" t="n">
        <v>0</v>
      </c>
      <c r="K526" s="11" t="n">
        <v>0</v>
      </c>
      <c r="L526" s="11" t="n">
        <v>0</v>
      </c>
      <c r="M526" s="11" t="n">
        <v>1</v>
      </c>
      <c r="N526" s="5"/>
      <c r="O526" s="11" t="n">
        <v>0</v>
      </c>
      <c r="P526" s="11" t="n">
        <v>0</v>
      </c>
      <c r="Q526" s="11" t="n">
        <v>1</v>
      </c>
      <c r="R526" s="11" t="n">
        <v>1</v>
      </c>
      <c r="S526" s="11" t="n">
        <v>1</v>
      </c>
      <c r="T526" s="11" t="n">
        <v>0</v>
      </c>
      <c r="U526" s="11" t="n">
        <v>1</v>
      </c>
      <c r="V526" s="5"/>
      <c r="W526" s="5"/>
      <c r="X526" s="5"/>
      <c r="Y526" s="5"/>
      <c r="Z526" s="5"/>
      <c r="AA526" s="5"/>
      <c r="AB526" s="5"/>
    </row>
    <row r="527" customFormat="false" ht="15.75" hidden="false" customHeight="false" outlineLevel="0" collapsed="false">
      <c r="A527" s="5" t="s">
        <v>1200</v>
      </c>
      <c r="B527" s="5" t="s">
        <v>1200</v>
      </c>
      <c r="C527" s="5" t="s">
        <v>1247</v>
      </c>
      <c r="D527" s="5"/>
      <c r="E527" s="5"/>
      <c r="F527" s="5"/>
      <c r="G527" s="9" t="s">
        <v>1248</v>
      </c>
      <c r="H527" s="5" t="n">
        <f aca="false">(COUNTIF(J527:EC527,"=0")+COUNTIF(J527:EC527,"=1"))</f>
        <v>8</v>
      </c>
      <c r="I527" s="12" t="n">
        <f aca="false">IFERROR(ROUND(10-AVERAGE(J527:EC527)*10,0),0)</f>
        <v>8</v>
      </c>
      <c r="J527" s="11" t="n">
        <v>0</v>
      </c>
      <c r="K527" s="11" t="n">
        <v>0</v>
      </c>
      <c r="L527" s="5"/>
      <c r="M527" s="5"/>
      <c r="N527" s="5"/>
      <c r="O527" s="11" t="n">
        <v>0</v>
      </c>
      <c r="P527" s="11" t="n">
        <v>0</v>
      </c>
      <c r="Q527" s="11" t="n">
        <v>0</v>
      </c>
      <c r="R527" s="5"/>
      <c r="S527" s="11" t="n">
        <v>1</v>
      </c>
      <c r="T527" s="11" t="n">
        <v>0</v>
      </c>
      <c r="U527" s="11" t="n">
        <v>1</v>
      </c>
      <c r="V527" s="5"/>
      <c r="W527" s="5"/>
      <c r="X527" s="5"/>
      <c r="Y527" s="5"/>
      <c r="Z527" s="5"/>
      <c r="AA527" s="5"/>
      <c r="AB527" s="5"/>
    </row>
    <row r="528" customFormat="false" ht="15.75" hidden="false" customHeight="false" outlineLevel="0" collapsed="false">
      <c r="A528" s="5" t="s">
        <v>1200</v>
      </c>
      <c r="B528" s="5" t="s">
        <v>1200</v>
      </c>
      <c r="C528" s="5" t="s">
        <v>1249</v>
      </c>
      <c r="D528" s="5"/>
      <c r="E528" s="5"/>
      <c r="F528" s="5"/>
      <c r="G528" s="9" t="s">
        <v>1250</v>
      </c>
      <c r="H528" s="5" t="n">
        <f aca="false">(COUNTIF(J528:EC528,"=0")+COUNTIF(J528:EC528,"=1"))</f>
        <v>5</v>
      </c>
      <c r="I528" s="12" t="n">
        <f aca="false">IFERROR(ROUND(10-AVERAGE(J528:EC528)*10,0),0)</f>
        <v>8</v>
      </c>
      <c r="J528" s="11" t="n">
        <v>0</v>
      </c>
      <c r="K528" s="11" t="n">
        <v>0</v>
      </c>
      <c r="L528" s="5"/>
      <c r="M528" s="5"/>
      <c r="N528" s="5"/>
      <c r="O528" s="5"/>
      <c r="P528" s="11" t="n">
        <v>1</v>
      </c>
      <c r="Q528" s="5"/>
      <c r="R528" s="5"/>
      <c r="S528" s="5"/>
      <c r="T528" s="11" t="n">
        <v>0</v>
      </c>
      <c r="U528" s="5"/>
      <c r="V528" s="5"/>
      <c r="W528" s="5"/>
      <c r="X528" s="5"/>
      <c r="Y528" s="5"/>
      <c r="Z528" s="11" t="n">
        <v>0</v>
      </c>
      <c r="AA528" s="5"/>
      <c r="AB528" s="5"/>
    </row>
    <row r="529" customFormat="false" ht="15.75" hidden="false" customHeight="false" outlineLevel="0" collapsed="false">
      <c r="A529" s="5" t="s">
        <v>1200</v>
      </c>
      <c r="B529" s="5" t="s">
        <v>1200</v>
      </c>
      <c r="C529" s="5" t="s">
        <v>1251</v>
      </c>
      <c r="D529" s="5"/>
      <c r="E529" s="5"/>
      <c r="F529" s="5"/>
      <c r="G529" s="9" t="s">
        <v>1252</v>
      </c>
      <c r="H529" s="5" t="n">
        <f aca="false">(COUNTIF(J529:EC529,"=0")+COUNTIF(J529:EC529,"=1"))</f>
        <v>8</v>
      </c>
      <c r="I529" s="12" t="n">
        <f aca="false">IFERROR(ROUND(10-AVERAGE(J529:EC529)*10,0),0)</f>
        <v>8</v>
      </c>
      <c r="J529" s="11" t="n">
        <v>0</v>
      </c>
      <c r="K529" s="11" t="n">
        <v>0</v>
      </c>
      <c r="L529" s="5"/>
      <c r="M529" s="5"/>
      <c r="N529" s="5"/>
      <c r="O529" s="11" t="n">
        <v>0</v>
      </c>
      <c r="P529" s="11" t="n">
        <v>0</v>
      </c>
      <c r="Q529" s="11" t="n">
        <v>0</v>
      </c>
      <c r="R529" s="5"/>
      <c r="S529" s="11" t="n">
        <v>1</v>
      </c>
      <c r="T529" s="11" t="n">
        <v>0</v>
      </c>
      <c r="U529" s="11" t="n">
        <v>1</v>
      </c>
      <c r="V529" s="5"/>
      <c r="W529" s="5"/>
      <c r="X529" s="5"/>
      <c r="Y529" s="5"/>
      <c r="Z529" s="5"/>
      <c r="AA529" s="5"/>
      <c r="AB529" s="5"/>
    </row>
    <row r="530" customFormat="false" ht="15.75" hidden="false" customHeight="false" outlineLevel="0" collapsed="false">
      <c r="A530" s="5" t="s">
        <v>1200</v>
      </c>
      <c r="B530" s="5" t="s">
        <v>1253</v>
      </c>
      <c r="C530" s="5" t="s">
        <v>1254</v>
      </c>
      <c r="D530" s="5"/>
      <c r="E530" s="5"/>
      <c r="F530" s="5"/>
      <c r="G530" s="9" t="s">
        <v>1255</v>
      </c>
      <c r="H530" s="5" t="n">
        <f aca="false">(COUNTIF(J530:EC530,"=0")+COUNTIF(J530:EC530,"=1"))</f>
        <v>5</v>
      </c>
      <c r="I530" s="12" t="n">
        <f aca="false">IFERROR(ROUND(10-AVERAGE(J530:EC530)*10,0),0)</f>
        <v>8</v>
      </c>
      <c r="J530" s="11" t="n">
        <v>0</v>
      </c>
      <c r="K530" s="11" t="n">
        <v>0</v>
      </c>
      <c r="L530" s="5"/>
      <c r="M530" s="5"/>
      <c r="N530" s="5"/>
      <c r="O530" s="5"/>
      <c r="P530" s="11" t="n">
        <v>1</v>
      </c>
      <c r="Q530" s="5"/>
      <c r="R530" s="5"/>
      <c r="S530" s="5"/>
      <c r="T530" s="11" t="n">
        <v>0</v>
      </c>
      <c r="U530" s="5"/>
      <c r="V530" s="5"/>
      <c r="W530" s="5"/>
      <c r="X530" s="5"/>
      <c r="Y530" s="5"/>
      <c r="Z530" s="11" t="n">
        <v>0</v>
      </c>
      <c r="AA530" s="5"/>
      <c r="AB530" s="5"/>
    </row>
    <row r="531" customFormat="false" ht="15.75" hidden="false" customHeight="false" outlineLevel="0" collapsed="false">
      <c r="A531" s="5" t="s">
        <v>1200</v>
      </c>
      <c r="B531" s="5" t="s">
        <v>1253</v>
      </c>
      <c r="C531" s="5" t="s">
        <v>1256</v>
      </c>
      <c r="D531" s="5"/>
      <c r="E531" s="5"/>
      <c r="F531" s="5"/>
      <c r="G531" s="9" t="s">
        <v>1257</v>
      </c>
      <c r="H531" s="5" t="n">
        <f aca="false">(COUNTIF(J531:EC531,"=0")+COUNTIF(J531:EC531,"=1"))</f>
        <v>7</v>
      </c>
      <c r="I531" s="17" t="n">
        <f aca="false">IFERROR(ROUND(10-AVERAGE(J531:EC531)*10,0),0)</f>
        <v>9</v>
      </c>
      <c r="J531" s="11" t="n">
        <v>0</v>
      </c>
      <c r="K531" s="11" t="n">
        <v>0</v>
      </c>
      <c r="L531" s="5"/>
      <c r="M531" s="5"/>
      <c r="N531" s="5"/>
      <c r="O531" s="11" t="n">
        <v>0</v>
      </c>
      <c r="P531" s="11" t="n">
        <v>1</v>
      </c>
      <c r="Q531" s="11" t="n">
        <v>0</v>
      </c>
      <c r="R531" s="5"/>
      <c r="S531" s="11" t="n">
        <v>0</v>
      </c>
      <c r="T531" s="11" t="n">
        <v>0</v>
      </c>
      <c r="U531" s="5"/>
      <c r="V531" s="5"/>
      <c r="W531" s="5"/>
      <c r="X531" s="5"/>
      <c r="Y531" s="5"/>
      <c r="Z531" s="5"/>
      <c r="AA531" s="5"/>
      <c r="AB531" s="5"/>
    </row>
    <row r="532" customFormat="false" ht="15.75" hidden="false" customHeight="false" outlineLevel="0" collapsed="false">
      <c r="A532" s="5" t="s">
        <v>1200</v>
      </c>
      <c r="B532" s="5" t="s">
        <v>1253</v>
      </c>
      <c r="C532" s="5" t="s">
        <v>1258</v>
      </c>
      <c r="D532" s="5"/>
      <c r="E532" s="5"/>
      <c r="F532" s="5"/>
      <c r="G532" s="9" t="s">
        <v>1259</v>
      </c>
      <c r="H532" s="5" t="n">
        <f aca="false">(COUNTIF(J532:EC532,"=0")+COUNTIF(J532:EC532,"=1"))</f>
        <v>7</v>
      </c>
      <c r="I532" s="17" t="n">
        <f aca="false">IFERROR(ROUND(10-AVERAGE(J532:EC532)*10,0),0)</f>
        <v>9</v>
      </c>
      <c r="J532" s="11" t="n">
        <v>0</v>
      </c>
      <c r="K532" s="11" t="n">
        <v>0</v>
      </c>
      <c r="L532" s="5"/>
      <c r="M532" s="5"/>
      <c r="N532" s="5"/>
      <c r="O532" s="11" t="n">
        <v>0</v>
      </c>
      <c r="P532" s="11" t="n">
        <v>1</v>
      </c>
      <c r="Q532" s="11" t="n">
        <v>0</v>
      </c>
      <c r="R532" s="5"/>
      <c r="S532" s="11" t="n">
        <v>0</v>
      </c>
      <c r="T532" s="11" t="n">
        <v>0</v>
      </c>
      <c r="U532" s="5"/>
      <c r="V532" s="5"/>
      <c r="W532" s="5"/>
      <c r="X532" s="5"/>
      <c r="Y532" s="5"/>
      <c r="Z532" s="5"/>
      <c r="AA532" s="5"/>
      <c r="AB532" s="5"/>
    </row>
    <row r="533" customFormat="false" ht="15.75" hidden="false" customHeight="false" outlineLevel="0" collapsed="false">
      <c r="A533" s="5" t="s">
        <v>1200</v>
      </c>
      <c r="B533" s="5" t="s">
        <v>1253</v>
      </c>
      <c r="C533" s="5" t="s">
        <v>1260</v>
      </c>
      <c r="D533" s="5"/>
      <c r="E533" s="5"/>
      <c r="F533" s="5"/>
      <c r="G533" s="9" t="s">
        <v>1261</v>
      </c>
      <c r="H533" s="5" t="n">
        <f aca="false">(COUNTIF(J533:EC533,"=0")+COUNTIF(J533:EC533,"=1"))</f>
        <v>5</v>
      </c>
      <c r="I533" s="12" t="n">
        <f aca="false">IFERROR(ROUND(10-AVERAGE(J533:EC533)*10,0),0)</f>
        <v>8</v>
      </c>
      <c r="J533" s="11" t="n">
        <v>0</v>
      </c>
      <c r="K533" s="11" t="n">
        <v>0</v>
      </c>
      <c r="L533" s="5"/>
      <c r="M533" s="5"/>
      <c r="N533" s="5"/>
      <c r="O533" s="5"/>
      <c r="P533" s="11" t="n">
        <v>1</v>
      </c>
      <c r="Q533" s="5"/>
      <c r="R533" s="5"/>
      <c r="S533" s="5"/>
      <c r="T533" s="11" t="n">
        <v>0</v>
      </c>
      <c r="U533" s="5"/>
      <c r="V533" s="5"/>
      <c r="W533" s="5"/>
      <c r="X533" s="5"/>
      <c r="Y533" s="5"/>
      <c r="Z533" s="11" t="n">
        <v>0</v>
      </c>
      <c r="AA533" s="5"/>
      <c r="AB533" s="5"/>
    </row>
    <row r="534" customFormat="false" ht="15.75" hidden="false" customHeight="false" outlineLevel="0" collapsed="false">
      <c r="A534" s="5" t="s">
        <v>1200</v>
      </c>
      <c r="B534" s="5" t="s">
        <v>1253</v>
      </c>
      <c r="C534" s="5" t="s">
        <v>1262</v>
      </c>
      <c r="D534" s="5"/>
      <c r="E534" s="5"/>
      <c r="F534" s="5"/>
      <c r="G534" s="9" t="s">
        <v>1263</v>
      </c>
      <c r="H534" s="5" t="n">
        <f aca="false">(COUNTIF(J534:EC534,"=0")+COUNTIF(J534:EC534,"=1"))</f>
        <v>5</v>
      </c>
      <c r="I534" s="12" t="n">
        <f aca="false">IFERROR(ROUND(10-AVERAGE(J534:EC534)*10,0),0)</f>
        <v>8</v>
      </c>
      <c r="J534" s="11" t="n">
        <v>0</v>
      </c>
      <c r="K534" s="11" t="n">
        <v>0</v>
      </c>
      <c r="L534" s="5"/>
      <c r="M534" s="5"/>
      <c r="N534" s="5"/>
      <c r="O534" s="5"/>
      <c r="P534" s="11" t="n">
        <v>1</v>
      </c>
      <c r="Q534" s="5"/>
      <c r="R534" s="5"/>
      <c r="S534" s="5"/>
      <c r="T534" s="11" t="n">
        <v>0</v>
      </c>
      <c r="U534" s="5"/>
      <c r="V534" s="5"/>
      <c r="W534" s="5"/>
      <c r="X534" s="5"/>
      <c r="Y534" s="5"/>
      <c r="Z534" s="11" t="n">
        <v>0</v>
      </c>
      <c r="AA534" s="5"/>
      <c r="AB534" s="5"/>
    </row>
    <row r="535" customFormat="false" ht="15.75" hidden="false" customHeight="false" outlineLevel="0" collapsed="false">
      <c r="A535" s="5" t="s">
        <v>1200</v>
      </c>
      <c r="B535" s="5" t="s">
        <v>1253</v>
      </c>
      <c r="C535" s="25" t="s">
        <v>1264</v>
      </c>
      <c r="D535" s="5"/>
      <c r="E535" s="5"/>
      <c r="F535" s="5"/>
      <c r="G535" s="9" t="s">
        <v>1265</v>
      </c>
      <c r="H535" s="5" t="n">
        <f aca="false">(COUNTIF(J535:EC535,"=0")+COUNTIF(J535:EC535,"=1"))</f>
        <v>7</v>
      </c>
      <c r="I535" s="17" t="n">
        <f aca="false">IFERROR(ROUND(10-AVERAGE(J535:EC535)*10,0),0)</f>
        <v>9</v>
      </c>
      <c r="J535" s="11" t="n">
        <v>0</v>
      </c>
      <c r="K535" s="11" t="n">
        <v>0</v>
      </c>
      <c r="L535" s="5"/>
      <c r="M535" s="5"/>
      <c r="N535" s="5"/>
      <c r="O535" s="11" t="n">
        <v>0</v>
      </c>
      <c r="P535" s="11" t="n">
        <v>1</v>
      </c>
      <c r="Q535" s="11" t="n">
        <v>0</v>
      </c>
      <c r="R535" s="5"/>
      <c r="S535" s="11" t="n">
        <v>0</v>
      </c>
      <c r="T535" s="11" t="n">
        <v>0</v>
      </c>
      <c r="U535" s="5"/>
      <c r="V535" s="5"/>
      <c r="W535" s="5"/>
      <c r="X535" s="5"/>
      <c r="Y535" s="5"/>
      <c r="Z535" s="5"/>
      <c r="AA535" s="5"/>
      <c r="AB535" s="5"/>
    </row>
    <row r="536" customFormat="false" ht="15.75" hidden="false" customHeight="false" outlineLevel="0" collapsed="false">
      <c r="A536" s="5" t="s">
        <v>1200</v>
      </c>
      <c r="B536" s="5" t="s">
        <v>1253</v>
      </c>
      <c r="C536" s="5" t="s">
        <v>1266</v>
      </c>
      <c r="D536" s="5"/>
      <c r="E536" s="5"/>
      <c r="F536" s="5"/>
      <c r="G536" s="9" t="s">
        <v>1267</v>
      </c>
      <c r="H536" s="5" t="n">
        <f aca="false">(COUNTIF(J536:EC536,"=0")+COUNTIF(J536:EC536,"=1"))</f>
        <v>7</v>
      </c>
      <c r="I536" s="17" t="n">
        <f aca="false">IFERROR(ROUND(10-AVERAGE(J536:EC536)*10,0),0)</f>
        <v>9</v>
      </c>
      <c r="J536" s="11" t="n">
        <v>0</v>
      </c>
      <c r="K536" s="11" t="n">
        <v>0</v>
      </c>
      <c r="L536" s="5"/>
      <c r="M536" s="5"/>
      <c r="N536" s="5"/>
      <c r="O536" s="11" t="n">
        <v>0</v>
      </c>
      <c r="P536" s="11" t="n">
        <v>1</v>
      </c>
      <c r="Q536" s="11" t="n">
        <v>0</v>
      </c>
      <c r="R536" s="5"/>
      <c r="S536" s="11" t="n">
        <v>0</v>
      </c>
      <c r="T536" s="11" t="n">
        <v>0</v>
      </c>
      <c r="U536" s="5"/>
      <c r="V536" s="5"/>
      <c r="W536" s="5"/>
      <c r="X536" s="5"/>
      <c r="Y536" s="5"/>
      <c r="Z536" s="5"/>
      <c r="AA536" s="5"/>
      <c r="AB536" s="5"/>
    </row>
    <row r="537" customFormat="false" ht="15.75" hidden="false" customHeight="false" outlineLevel="0" collapsed="false">
      <c r="A537" s="5" t="s">
        <v>1200</v>
      </c>
      <c r="B537" s="5" t="s">
        <v>1253</v>
      </c>
      <c r="C537" s="5" t="s">
        <v>1268</v>
      </c>
      <c r="D537" s="5"/>
      <c r="E537" s="5"/>
      <c r="F537" s="5"/>
      <c r="G537" s="9" t="s">
        <v>1269</v>
      </c>
      <c r="H537" s="5" t="n">
        <f aca="false">(COUNTIF(J537:EC537,"=0")+COUNTIF(J537:EC537,"=1"))</f>
        <v>5</v>
      </c>
      <c r="I537" s="12" t="n">
        <f aca="false">IFERROR(ROUND(10-AVERAGE(J537:EC537)*10,0),0)</f>
        <v>8</v>
      </c>
      <c r="J537" s="11" t="n">
        <v>0</v>
      </c>
      <c r="K537" s="11" t="n">
        <v>0</v>
      </c>
      <c r="L537" s="5"/>
      <c r="M537" s="5"/>
      <c r="N537" s="5"/>
      <c r="O537" s="5"/>
      <c r="P537" s="11" t="n">
        <v>1</v>
      </c>
      <c r="Q537" s="5"/>
      <c r="R537" s="5"/>
      <c r="S537" s="5"/>
      <c r="T537" s="11" t="n">
        <v>0</v>
      </c>
      <c r="U537" s="5"/>
      <c r="V537" s="5"/>
      <c r="W537" s="5"/>
      <c r="X537" s="5"/>
      <c r="Y537" s="5"/>
      <c r="Z537" s="11" t="n">
        <v>0</v>
      </c>
      <c r="AA537" s="5"/>
      <c r="AB537" s="5"/>
    </row>
    <row r="538" customFormat="false" ht="15.75" hidden="false" customHeight="false" outlineLevel="0" collapsed="false">
      <c r="A538" s="5" t="s">
        <v>1200</v>
      </c>
      <c r="B538" s="5" t="s">
        <v>1253</v>
      </c>
      <c r="C538" s="5" t="s">
        <v>1270</v>
      </c>
      <c r="D538" s="5"/>
      <c r="E538" s="5"/>
      <c r="F538" s="5"/>
      <c r="G538" s="9" t="s">
        <v>1271</v>
      </c>
      <c r="H538" s="5" t="n">
        <f aca="false">(COUNTIF(J538:EC538,"=0")+COUNTIF(J538:EC538,"=1"))</f>
        <v>5</v>
      </c>
      <c r="I538" s="12" t="n">
        <f aca="false">IFERROR(ROUND(10-AVERAGE(J538:EC538)*10,0),0)</f>
        <v>8</v>
      </c>
      <c r="J538" s="11" t="n">
        <v>0</v>
      </c>
      <c r="K538" s="11" t="n">
        <v>0</v>
      </c>
      <c r="L538" s="5"/>
      <c r="M538" s="5"/>
      <c r="N538" s="5"/>
      <c r="O538" s="5"/>
      <c r="P538" s="11" t="n">
        <v>1</v>
      </c>
      <c r="Q538" s="5"/>
      <c r="R538" s="5"/>
      <c r="S538" s="5"/>
      <c r="T538" s="11" t="n">
        <v>0</v>
      </c>
      <c r="U538" s="5"/>
      <c r="V538" s="5"/>
      <c r="W538" s="5"/>
      <c r="X538" s="5"/>
      <c r="Y538" s="5"/>
      <c r="Z538" s="11" t="n">
        <v>0</v>
      </c>
      <c r="AA538" s="5"/>
      <c r="AB538" s="5"/>
    </row>
    <row r="539" customFormat="false" ht="15.75" hidden="false" customHeight="false" outlineLevel="0" collapsed="false">
      <c r="A539" s="5" t="s">
        <v>1200</v>
      </c>
      <c r="B539" s="5" t="s">
        <v>1272</v>
      </c>
      <c r="C539" s="5" t="s">
        <v>1273</v>
      </c>
      <c r="D539" s="5"/>
      <c r="E539" s="5"/>
      <c r="F539" s="5"/>
      <c r="G539" s="9" t="s">
        <v>1274</v>
      </c>
      <c r="H539" s="5" t="n">
        <f aca="false">(COUNTIF(J539:EC539,"=0")+COUNTIF(J539:EC539,"=1"))</f>
        <v>4</v>
      </c>
      <c r="I539" s="19" t="n">
        <f aca="false">IFERROR(ROUND(10-AVERAGE(J539:EC539)*10,0),0)</f>
        <v>5</v>
      </c>
      <c r="J539" s="11" t="n">
        <v>1</v>
      </c>
      <c r="K539" s="11" t="n">
        <v>0</v>
      </c>
      <c r="L539" s="5"/>
      <c r="M539" s="5"/>
      <c r="N539" s="5"/>
      <c r="O539" s="5"/>
      <c r="P539" s="11" t="n">
        <v>1</v>
      </c>
      <c r="Q539" s="5"/>
      <c r="R539" s="5"/>
      <c r="S539" s="5"/>
      <c r="T539" s="5"/>
      <c r="U539" s="5"/>
      <c r="V539" s="5"/>
      <c r="W539" s="5"/>
      <c r="X539" s="5"/>
      <c r="Y539" s="5"/>
      <c r="Z539" s="11" t="n">
        <v>0</v>
      </c>
      <c r="AA539" s="5"/>
      <c r="AB539" s="5"/>
    </row>
    <row r="540" customFormat="false" ht="15.75" hidden="false" customHeight="false" outlineLevel="0" collapsed="false">
      <c r="A540" s="5" t="s">
        <v>1200</v>
      </c>
      <c r="B540" s="5" t="s">
        <v>1275</v>
      </c>
      <c r="C540" s="5" t="s">
        <v>1276</v>
      </c>
      <c r="D540" s="5"/>
      <c r="E540" s="5"/>
      <c r="F540" s="5"/>
      <c r="G540" s="9" t="s">
        <v>1277</v>
      </c>
      <c r="H540" s="5" t="n">
        <f aca="false">(COUNTIF(J540:EC540,"=0")+COUNTIF(J540:EC540,"=1"))</f>
        <v>5</v>
      </c>
      <c r="I540" s="19" t="n">
        <f aca="false">IFERROR(ROUND(10-AVERAGE(J540:EC540)*10,0),0)</f>
        <v>6</v>
      </c>
      <c r="J540" s="11" t="n">
        <v>1</v>
      </c>
      <c r="K540" s="11" t="n">
        <v>0</v>
      </c>
      <c r="L540" s="5"/>
      <c r="M540" s="5"/>
      <c r="N540" s="5"/>
      <c r="O540" s="5"/>
      <c r="P540" s="11" t="n">
        <v>1</v>
      </c>
      <c r="Q540" s="5"/>
      <c r="R540" s="5"/>
      <c r="S540" s="5"/>
      <c r="T540" s="5"/>
      <c r="U540" s="5"/>
      <c r="V540" s="5"/>
      <c r="W540" s="5" t="n">
        <v>0</v>
      </c>
      <c r="X540" s="5"/>
      <c r="Y540" s="5"/>
      <c r="Z540" s="11" t="n">
        <v>0</v>
      </c>
      <c r="AA540" s="5"/>
      <c r="AB540" s="5"/>
    </row>
    <row r="541" customFormat="false" ht="15.75" hidden="false" customHeight="false" outlineLevel="0" collapsed="false">
      <c r="A541" s="5" t="s">
        <v>1278</v>
      </c>
      <c r="B541" s="5" t="s">
        <v>1279</v>
      </c>
      <c r="C541" s="5" t="s">
        <v>87</v>
      </c>
      <c r="D541" s="5"/>
      <c r="E541" s="5"/>
      <c r="F541" s="5"/>
      <c r="G541" s="5"/>
      <c r="H541" s="5" t="n">
        <f aca="false">(COUNTIF(J541:EC541,"=0")+COUNTIF(J541:EC541,"=1"))</f>
        <v>3</v>
      </c>
      <c r="I541" s="15" t="n">
        <f aca="false">IFERROR(ROUND(10-AVERAGE(J541:EC541)*10,0),0)</f>
        <v>7</v>
      </c>
      <c r="J541" s="11"/>
      <c r="K541" s="11" t="n">
        <v>0</v>
      </c>
      <c r="L541" s="11"/>
      <c r="M541" s="11"/>
      <c r="N541" s="5"/>
      <c r="O541" s="11"/>
      <c r="P541" s="11" t="n">
        <v>0</v>
      </c>
      <c r="Q541" s="11"/>
      <c r="R541" s="5"/>
      <c r="S541" s="11"/>
      <c r="T541" s="11"/>
      <c r="U541" s="5"/>
      <c r="V541" s="5"/>
      <c r="W541" s="5" t="n">
        <v>1</v>
      </c>
      <c r="X541" s="5"/>
      <c r="Y541" s="5"/>
      <c r="Z541" s="5"/>
      <c r="AA541" s="5"/>
      <c r="AB541" s="5"/>
    </row>
    <row r="542" customFormat="false" ht="15.75" hidden="false" customHeight="false" outlineLevel="0" collapsed="false">
      <c r="A542" s="5" t="s">
        <v>1278</v>
      </c>
      <c r="B542" s="5" t="s">
        <v>1280</v>
      </c>
      <c r="C542" s="5" t="s">
        <v>1281</v>
      </c>
      <c r="D542" s="5"/>
      <c r="E542" s="5"/>
      <c r="F542" s="5"/>
      <c r="G542" s="5"/>
      <c r="H542" s="5" t="n">
        <f aca="false">(COUNTIF(J542:EC542,"=0")+COUNTIF(J542:EC542,"=1"))</f>
        <v>3</v>
      </c>
      <c r="I542" s="15" t="n">
        <f aca="false">IFERROR(ROUND(10-AVERAGE(J542:EC542)*10,0),0)</f>
        <v>7</v>
      </c>
      <c r="J542" s="11"/>
      <c r="K542" s="11" t="n">
        <v>0</v>
      </c>
      <c r="L542" s="5"/>
      <c r="M542" s="5"/>
      <c r="N542" s="5"/>
      <c r="O542" s="5"/>
      <c r="P542" s="11" t="n">
        <v>0</v>
      </c>
      <c r="Q542" s="5"/>
      <c r="R542" s="5"/>
      <c r="S542" s="5"/>
      <c r="T542" s="5"/>
      <c r="U542" s="5"/>
      <c r="V542" s="5"/>
      <c r="W542" s="5" t="n">
        <v>1</v>
      </c>
      <c r="X542" s="5"/>
      <c r="Y542" s="5"/>
      <c r="Z542" s="11"/>
      <c r="AA542" s="5"/>
      <c r="AB542" s="5"/>
    </row>
    <row r="543" customFormat="false" ht="15.75" hidden="false" customHeight="false" outlineLevel="0" collapsed="false">
      <c r="A543" s="5" t="s">
        <v>1278</v>
      </c>
      <c r="B543" s="5" t="s">
        <v>1282</v>
      </c>
      <c r="C543" s="5" t="s">
        <v>1282</v>
      </c>
      <c r="D543" s="5"/>
      <c r="E543" s="5"/>
      <c r="F543" s="5"/>
      <c r="G543" s="5"/>
      <c r="H543" s="5" t="n">
        <f aca="false">(COUNTIF(J543:EC543,"=0")+COUNTIF(J543:EC543,"=1"))</f>
        <v>3</v>
      </c>
      <c r="I543" s="15" t="n">
        <f aca="false">IFERROR(ROUND(10-AVERAGE(J543:EC543)*10,0),0)</f>
        <v>3</v>
      </c>
      <c r="J543" s="5"/>
      <c r="K543" s="11" t="n">
        <v>0</v>
      </c>
      <c r="L543" s="5"/>
      <c r="M543" s="5"/>
      <c r="N543" s="5"/>
      <c r="O543" s="5"/>
      <c r="P543" s="5" t="n">
        <v>1</v>
      </c>
      <c r="Q543" s="5"/>
      <c r="R543" s="5"/>
      <c r="S543" s="5"/>
      <c r="T543" s="5"/>
      <c r="U543" s="5"/>
      <c r="V543" s="5"/>
      <c r="W543" s="5" t="n">
        <v>1</v>
      </c>
      <c r="X543" s="5"/>
      <c r="Y543" s="5"/>
      <c r="Z543" s="5"/>
      <c r="AA543" s="5"/>
      <c r="AB543" s="5"/>
    </row>
    <row r="544" customFormat="false" ht="15.75" hidden="false" customHeight="false" outlineLevel="0" collapsed="false">
      <c r="A544" s="5" t="s">
        <v>1278</v>
      </c>
      <c r="B544" s="5" t="s">
        <v>1283</v>
      </c>
      <c r="C544" s="5" t="s">
        <v>1284</v>
      </c>
      <c r="D544" s="5"/>
      <c r="E544" s="5"/>
      <c r="F544" s="5"/>
      <c r="G544" s="9" t="s">
        <v>1285</v>
      </c>
      <c r="H544" s="5" t="n">
        <f aca="false">(COUNTIF(J544:EC544,"=0")+COUNTIF(J544:EC544,"=1"))</f>
        <v>8</v>
      </c>
      <c r="I544" s="23" t="n">
        <f aca="false">IFERROR(ROUND(10-AVERAGE(J544:EC544)*10,0),0)</f>
        <v>4</v>
      </c>
      <c r="J544" s="11" t="n">
        <v>1</v>
      </c>
      <c r="K544" s="11" t="n">
        <v>0</v>
      </c>
      <c r="L544" s="5"/>
      <c r="M544" s="5"/>
      <c r="N544" s="5"/>
      <c r="O544" s="5" t="n">
        <v>1</v>
      </c>
      <c r="P544" s="11" t="n">
        <v>1</v>
      </c>
      <c r="Q544" s="5" t="n">
        <v>1</v>
      </c>
      <c r="R544" s="5"/>
      <c r="S544" s="5"/>
      <c r="T544" s="5"/>
      <c r="U544" s="11" t="n">
        <v>1</v>
      </c>
      <c r="V544" s="5"/>
      <c r="W544" s="5"/>
      <c r="X544" s="5"/>
      <c r="Y544" s="5"/>
      <c r="Z544" s="11" t="n">
        <v>0</v>
      </c>
      <c r="AA544" s="5"/>
      <c r="AB544" s="5"/>
      <c r="AF544" s="5" t="n">
        <v>0</v>
      </c>
    </row>
    <row r="545" customFormat="false" ht="15.75" hidden="false" customHeight="false" outlineLevel="0" collapsed="false">
      <c r="A545" s="5" t="s">
        <v>1286</v>
      </c>
      <c r="B545" s="5" t="s">
        <v>1286</v>
      </c>
      <c r="C545" s="5" t="s">
        <v>1287</v>
      </c>
      <c r="D545" s="5"/>
      <c r="E545" s="5"/>
      <c r="F545" s="5"/>
      <c r="G545" s="9" t="s">
        <v>1288</v>
      </c>
      <c r="H545" s="5" t="n">
        <f aca="false">(COUNTIF(J545:EC545,"=0")+COUNTIF(J545:EC545,"=1"))</f>
        <v>9</v>
      </c>
      <c r="I545" s="12" t="n">
        <f aca="false">IFERROR(ROUND(10-AVERAGE(J545:EC545)*10,0),0)</f>
        <v>9</v>
      </c>
      <c r="J545" s="11" t="n">
        <v>0</v>
      </c>
      <c r="K545" s="11" t="n">
        <v>0</v>
      </c>
      <c r="L545" s="5"/>
      <c r="M545" s="5"/>
      <c r="N545" s="5"/>
      <c r="O545" s="5"/>
      <c r="P545" s="11" t="n">
        <v>0</v>
      </c>
      <c r="Q545" s="5" t="n">
        <v>0</v>
      </c>
      <c r="R545" s="5"/>
      <c r="S545" s="5"/>
      <c r="T545" s="11" t="n">
        <v>0</v>
      </c>
      <c r="U545" s="5"/>
      <c r="V545" s="5"/>
      <c r="W545" s="5" t="n">
        <v>0</v>
      </c>
      <c r="X545" s="11" t="n">
        <v>1</v>
      </c>
      <c r="Y545" s="5"/>
      <c r="Z545" s="5"/>
      <c r="AA545" s="5"/>
      <c r="AB545" s="5"/>
      <c r="AF545" s="5" t="n">
        <v>0</v>
      </c>
      <c r="AG545" s="5" t="n">
        <v>0</v>
      </c>
    </row>
    <row r="546" customFormat="false" ht="15.75" hidden="false" customHeight="false" outlineLevel="0" collapsed="false">
      <c r="A546" s="5" t="s">
        <v>1289</v>
      </c>
      <c r="B546" s="5" t="s">
        <v>1289</v>
      </c>
      <c r="D546" s="5"/>
      <c r="E546" s="5"/>
      <c r="F546" s="5"/>
      <c r="G546" s="5"/>
      <c r="H546" s="5" t="n">
        <f aca="false">(COUNTIF(J546:EC546,"=0")+COUNTIF(J546:EC546,"=1"))</f>
        <v>1</v>
      </c>
      <c r="I546" s="10" t="n">
        <f aca="false">IFERROR(ROUND(10-AVERAGE(J546:EC546)*10,0),0)</f>
        <v>10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11" t="n">
        <v>0</v>
      </c>
      <c r="V546" s="5"/>
      <c r="W546" s="5"/>
      <c r="X546" s="5"/>
      <c r="Y546" s="5"/>
      <c r="Z546" s="5"/>
      <c r="AA546" s="5"/>
      <c r="AB546" s="5"/>
    </row>
    <row r="547" customFormat="false" ht="15.75" hidden="false" customHeight="false" outlineLevel="0" collapsed="false">
      <c r="A547" s="5" t="s">
        <v>1290</v>
      </c>
      <c r="B547" s="5" t="s">
        <v>1290</v>
      </c>
      <c r="C547" s="5" t="s">
        <v>1291</v>
      </c>
      <c r="D547" s="5"/>
      <c r="E547" s="14" t="s">
        <v>1292</v>
      </c>
      <c r="F547" s="5"/>
      <c r="G547" s="5"/>
      <c r="H547" s="5" t="n">
        <f aca="false">(COUNTIF(J547:EC547,"=0")+COUNTIF(J547:EC547,"=1"))</f>
        <v>2</v>
      </c>
      <c r="I547" s="15" t="n">
        <f aca="false">IFERROR(ROUND(10-AVERAGE(J547:EC547)*10,0),0)</f>
        <v>5</v>
      </c>
      <c r="J547" s="5"/>
      <c r="K547" s="5"/>
      <c r="L547" s="5"/>
      <c r="M547" s="5"/>
      <c r="N547" s="5"/>
      <c r="O547" s="5"/>
      <c r="P547" s="5" t="n">
        <v>0</v>
      </c>
      <c r="Q547" s="5"/>
      <c r="R547" s="5"/>
      <c r="S547" s="5" t="n">
        <v>1</v>
      </c>
      <c r="T547" s="5"/>
      <c r="U547" s="5"/>
      <c r="V547" s="5"/>
      <c r="W547" s="5"/>
      <c r="X547" s="5"/>
      <c r="Y547" s="5"/>
      <c r="Z547" s="5"/>
      <c r="AA547" s="5"/>
      <c r="AB547" s="5"/>
    </row>
    <row r="548" customFormat="false" ht="15.75" hidden="false" customHeight="false" outlineLevel="0" collapsed="false">
      <c r="A548" s="5" t="s">
        <v>1293</v>
      </c>
      <c r="B548" s="5" t="s">
        <v>1293</v>
      </c>
      <c r="C548" s="5" t="s">
        <v>1294</v>
      </c>
      <c r="D548" s="5" t="s">
        <v>1295</v>
      </c>
      <c r="E548" s="5"/>
      <c r="F548" s="5"/>
      <c r="G548" s="9" t="s">
        <v>1296</v>
      </c>
      <c r="H548" s="5" t="n">
        <f aca="false">(COUNTIF(J548:EC548,"=0")+COUNTIF(J548:EC548,"=1"))</f>
        <v>11</v>
      </c>
      <c r="I548" s="18" t="n">
        <f aca="false">IFERROR(ROUND(10-AVERAGE(J548:EC548)*10,0),0)</f>
        <v>3</v>
      </c>
      <c r="J548" s="11" t="n">
        <v>1</v>
      </c>
      <c r="K548" s="11" t="n">
        <v>1</v>
      </c>
      <c r="L548" s="5"/>
      <c r="M548" s="11" t="n">
        <v>1</v>
      </c>
      <c r="N548" s="5"/>
      <c r="O548" s="11" t="n">
        <v>1</v>
      </c>
      <c r="P548" s="11" t="n">
        <v>1</v>
      </c>
      <c r="Q548" s="5" t="n">
        <v>0</v>
      </c>
      <c r="R548" s="5"/>
      <c r="S548" s="11" t="n">
        <v>1</v>
      </c>
      <c r="T548" s="11" t="n">
        <v>1</v>
      </c>
      <c r="U548" s="11" t="n">
        <v>1</v>
      </c>
      <c r="V548" s="5"/>
      <c r="W548" s="5"/>
      <c r="X548" s="5"/>
      <c r="Y548" s="5"/>
      <c r="Z548" s="5" t="n">
        <v>0</v>
      </c>
      <c r="AA548" s="5"/>
      <c r="AB548" s="5"/>
      <c r="AF548" s="5" t="n">
        <v>0</v>
      </c>
    </row>
    <row r="549" customFormat="false" ht="15.75" hidden="false" customHeight="false" outlineLevel="0" collapsed="false">
      <c r="A549" s="5" t="s">
        <v>1293</v>
      </c>
      <c r="B549" s="5" t="s">
        <v>1297</v>
      </c>
      <c r="C549" s="5" t="s">
        <v>108</v>
      </c>
      <c r="D549" s="5"/>
      <c r="E549" s="9" t="s">
        <v>1298</v>
      </c>
      <c r="F549" s="5"/>
      <c r="G549" s="5"/>
      <c r="H549" s="5"/>
      <c r="I549" s="18"/>
      <c r="J549" s="11"/>
      <c r="K549" s="11"/>
      <c r="L549" s="5"/>
      <c r="M549" s="11"/>
      <c r="N549" s="5"/>
      <c r="O549" s="11"/>
      <c r="P549" s="11" t="n">
        <v>1</v>
      </c>
      <c r="Q549" s="5"/>
      <c r="R549" s="5"/>
      <c r="S549" s="11"/>
      <c r="T549" s="11"/>
      <c r="U549" s="11"/>
      <c r="V549" s="5"/>
      <c r="W549" s="5"/>
      <c r="X549" s="5"/>
      <c r="Y549" s="5"/>
      <c r="Z549" s="5"/>
      <c r="AA549" s="5"/>
      <c r="AB549" s="5"/>
      <c r="AF549" s="5"/>
    </row>
    <row r="550" customFormat="false" ht="15.75" hidden="false" customHeight="false" outlineLevel="0" collapsed="false">
      <c r="A550" s="5" t="s">
        <v>1293</v>
      </c>
      <c r="B550" s="5" t="s">
        <v>1299</v>
      </c>
      <c r="C550" s="5" t="s">
        <v>108</v>
      </c>
      <c r="D550" s="5"/>
      <c r="E550" s="5"/>
      <c r="F550" s="5"/>
      <c r="G550" s="9" t="s">
        <v>1300</v>
      </c>
      <c r="H550" s="5" t="n">
        <f aca="false">(COUNTIF(J550:EC550,"=0")+COUNTIF(J550:EC550,"=1"))</f>
        <v>11</v>
      </c>
      <c r="I550" s="21" t="n">
        <f aca="false">IFERROR(ROUND(10-AVERAGE(J550:EC550)*10,0),0)</f>
        <v>3</v>
      </c>
      <c r="J550" s="11" t="n">
        <v>1</v>
      </c>
      <c r="K550" s="11" t="n">
        <v>1</v>
      </c>
      <c r="L550" s="5"/>
      <c r="M550" s="5"/>
      <c r="N550" s="5"/>
      <c r="O550" s="11" t="n">
        <v>1</v>
      </c>
      <c r="P550" s="11" t="n">
        <v>1</v>
      </c>
      <c r="Q550" s="5" t="n">
        <v>0</v>
      </c>
      <c r="R550" s="5"/>
      <c r="S550" s="11" t="n">
        <v>1</v>
      </c>
      <c r="T550" s="11" t="n">
        <v>1</v>
      </c>
      <c r="U550" s="11" t="n">
        <v>1</v>
      </c>
      <c r="V550" s="5"/>
      <c r="W550" s="5"/>
      <c r="X550" s="5"/>
      <c r="Y550" s="5"/>
      <c r="Z550" s="5"/>
      <c r="AA550" s="5"/>
      <c r="AB550" s="5"/>
      <c r="AD550" s="5" t="n">
        <v>1</v>
      </c>
      <c r="AE550" s="5" t="n">
        <v>0</v>
      </c>
      <c r="AF550" s="5" t="n">
        <v>0</v>
      </c>
    </row>
    <row r="551" customFormat="false" ht="15.75" hidden="false" customHeight="false" outlineLevel="0" collapsed="false">
      <c r="A551" s="5" t="s">
        <v>1301</v>
      </c>
      <c r="B551" s="5" t="s">
        <v>1302</v>
      </c>
      <c r="C551" s="5" t="s">
        <v>1303</v>
      </c>
      <c r="D551" s="5"/>
      <c r="E551" s="5"/>
      <c r="F551" s="5"/>
      <c r="G551" s="5"/>
      <c r="H551" s="5" t="n">
        <f aca="false">(COUNTIF(J551:EC551,"=0")+COUNTIF(J551:EC551,"=1"))</f>
        <v>7</v>
      </c>
      <c r="I551" s="10" t="n">
        <f aca="false">IFERROR(ROUND(10-AVERAGE(J551:EC551)*10,0),0)</f>
        <v>10</v>
      </c>
      <c r="J551" s="5" t="n">
        <v>0</v>
      </c>
      <c r="K551" s="11" t="n">
        <v>0</v>
      </c>
      <c r="L551" s="5"/>
      <c r="M551" s="5"/>
      <c r="N551" s="5"/>
      <c r="O551" s="5"/>
      <c r="P551" s="11" t="n">
        <v>0</v>
      </c>
      <c r="Q551" s="5" t="n">
        <v>0</v>
      </c>
      <c r="R551" s="5"/>
      <c r="S551" s="5" t="n">
        <v>0</v>
      </c>
      <c r="T551" s="5"/>
      <c r="U551" s="5"/>
      <c r="V551" s="5"/>
      <c r="W551" s="5" t="n">
        <v>0</v>
      </c>
      <c r="X551" s="5"/>
      <c r="Y551" s="5"/>
      <c r="Z551" s="11" t="n">
        <v>0</v>
      </c>
      <c r="AA551" s="5"/>
      <c r="AB551" s="5"/>
    </row>
    <row r="552" customFormat="false" ht="15.75" hidden="false" customHeight="false" outlineLevel="0" collapsed="false">
      <c r="A552" s="5" t="s">
        <v>1301</v>
      </c>
      <c r="B552" s="5" t="s">
        <v>1304</v>
      </c>
      <c r="C552" s="5" t="s">
        <v>1305</v>
      </c>
      <c r="D552" s="5"/>
      <c r="E552" s="25"/>
      <c r="F552" s="25"/>
      <c r="G552" s="25"/>
      <c r="H552" s="5" t="n">
        <f aca="false">(COUNTIF(J552:EC552,"=0")+COUNTIF(J552:EC552,"=1"))</f>
        <v>4</v>
      </c>
      <c r="I552" s="10" t="n">
        <f aca="false">IFERROR(ROUND(10-AVERAGE(J552:EC552)*10,0),0)</f>
        <v>10</v>
      </c>
      <c r="J552" s="5" t="n">
        <v>0</v>
      </c>
      <c r="K552" s="11" t="n">
        <v>0</v>
      </c>
      <c r="L552" s="5"/>
      <c r="M552" s="5"/>
      <c r="N552" s="5"/>
      <c r="O552" s="5"/>
      <c r="P552" s="11" t="n">
        <v>0</v>
      </c>
      <c r="Q552" s="5"/>
      <c r="R552" s="5"/>
      <c r="S552" s="5"/>
      <c r="T552" s="5"/>
      <c r="U552" s="5"/>
      <c r="V552" s="5"/>
      <c r="W552" s="5"/>
      <c r="X552" s="5"/>
      <c r="Y552" s="5"/>
      <c r="Z552" s="11" t="n">
        <v>0</v>
      </c>
      <c r="AA552" s="5"/>
      <c r="AB552" s="5"/>
    </row>
    <row r="553" customFormat="false" ht="15.75" hidden="false" customHeight="false" outlineLevel="0" collapsed="false">
      <c r="A553" s="5" t="s">
        <v>1306</v>
      </c>
      <c r="B553" s="5" t="s">
        <v>1307</v>
      </c>
      <c r="C553" s="5" t="s">
        <v>1308</v>
      </c>
      <c r="D553" s="5"/>
      <c r="E553" s="5"/>
      <c r="G553" s="5"/>
      <c r="H553" s="5" t="n">
        <f aca="false">(COUNTIF(J553:EC553,"=0")+COUNTIF(J553:EC553,"=1"))</f>
        <v>2</v>
      </c>
      <c r="I553" s="18" t="n">
        <f aca="false">IFERROR(ROUND(10-AVERAGE(J553:EC553)*10,0),0)</f>
        <v>5</v>
      </c>
      <c r="J553" s="11"/>
      <c r="K553" s="11"/>
      <c r="L553" s="11"/>
      <c r="M553" s="5"/>
      <c r="N553" s="5"/>
      <c r="O553" s="5"/>
      <c r="P553" s="11" t="n">
        <v>0</v>
      </c>
      <c r="Q553" s="5"/>
      <c r="R553" s="5"/>
      <c r="S553" s="11" t="n">
        <v>1</v>
      </c>
      <c r="T553" s="11"/>
      <c r="U553" s="11"/>
      <c r="V553" s="5"/>
      <c r="W553" s="5"/>
      <c r="X553" s="5"/>
      <c r="Y553" s="5"/>
      <c r="Z553" s="5"/>
      <c r="AA553" s="5"/>
      <c r="AB553" s="5"/>
      <c r="AF553" s="5"/>
      <c r="AG553" s="5"/>
    </row>
    <row r="554" customFormat="false" ht="15.75" hidden="false" customHeight="false" outlineLevel="0" collapsed="false">
      <c r="A554" s="5" t="s">
        <v>1306</v>
      </c>
      <c r="B554" s="5" t="s">
        <v>1307</v>
      </c>
      <c r="C554" s="5" t="s">
        <v>1309</v>
      </c>
      <c r="D554" s="5"/>
      <c r="E554" s="5"/>
      <c r="G554" s="5"/>
      <c r="H554" s="5" t="n">
        <f aca="false">(COUNTIF(J554:EC554,"=0")+COUNTIF(J554:EC554,"=1"))</f>
        <v>2</v>
      </c>
      <c r="I554" s="18" t="n">
        <f aca="false">IFERROR(ROUND(10-AVERAGE(J554:EC554)*10,0),0)</f>
        <v>5</v>
      </c>
      <c r="J554" s="11"/>
      <c r="K554" s="11"/>
      <c r="L554" s="11"/>
      <c r="M554" s="5"/>
      <c r="N554" s="5"/>
      <c r="O554" s="5"/>
      <c r="P554" s="11" t="n">
        <v>0</v>
      </c>
      <c r="Q554" s="5"/>
      <c r="R554" s="5"/>
      <c r="S554" s="11" t="n">
        <v>1</v>
      </c>
      <c r="T554" s="11"/>
      <c r="U554" s="11"/>
      <c r="V554" s="5"/>
      <c r="W554" s="5"/>
      <c r="X554" s="5"/>
      <c r="Y554" s="5"/>
      <c r="Z554" s="5"/>
      <c r="AA554" s="5"/>
      <c r="AB554" s="5"/>
      <c r="AF554" s="5"/>
      <c r="AG554" s="5"/>
    </row>
    <row r="555" customFormat="false" ht="15.75" hidden="false" customHeight="false" outlineLevel="0" collapsed="false">
      <c r="A555" s="5" t="s">
        <v>1306</v>
      </c>
      <c r="B555" s="5" t="s">
        <v>1307</v>
      </c>
      <c r="C555" s="5" t="s">
        <v>1310</v>
      </c>
      <c r="D555" s="5"/>
      <c r="E555" s="5"/>
      <c r="F555" s="5"/>
      <c r="G555" s="9" t="s">
        <v>1311</v>
      </c>
      <c r="H555" s="5" t="n">
        <f aca="false">(COUNTIF(J555:EC555,"=0")+COUNTIF(J555:EC555,"=1"))</f>
        <v>10</v>
      </c>
      <c r="I555" s="23" t="n">
        <f aca="false">IFERROR(ROUND(10-AVERAGE(J555:EC555)*10,0),0)</f>
        <v>4</v>
      </c>
      <c r="J555" s="11" t="n">
        <v>1</v>
      </c>
      <c r="K555" s="11" t="n">
        <v>0</v>
      </c>
      <c r="L555" s="11" t="n">
        <v>1</v>
      </c>
      <c r="M555" s="5"/>
      <c r="N555" s="5"/>
      <c r="O555" s="5"/>
      <c r="P555" s="11" t="n">
        <v>1</v>
      </c>
      <c r="Q555" s="5" t="n">
        <v>1</v>
      </c>
      <c r="R555" s="5"/>
      <c r="S555" s="11" t="n">
        <v>0</v>
      </c>
      <c r="T555" s="11" t="n">
        <v>0</v>
      </c>
      <c r="U555" s="11" t="n">
        <v>1</v>
      </c>
      <c r="V555" s="5"/>
      <c r="W555" s="5"/>
      <c r="X555" s="5"/>
      <c r="Y555" s="5"/>
      <c r="Z555" s="5"/>
      <c r="AA555" s="5"/>
      <c r="AB555" s="5"/>
      <c r="AF555" s="5" t="n">
        <v>0</v>
      </c>
      <c r="AG555" s="5" t="n">
        <v>1</v>
      </c>
    </row>
    <row r="556" customFormat="false" ht="15.75" hidden="false" customHeight="false" outlineLevel="0" collapsed="false">
      <c r="A556" s="5" t="s">
        <v>1306</v>
      </c>
      <c r="B556" s="5" t="s">
        <v>1307</v>
      </c>
      <c r="C556" s="5" t="s">
        <v>1312</v>
      </c>
      <c r="D556" s="5"/>
      <c r="E556" s="5"/>
      <c r="G556" s="5"/>
      <c r="H556" s="5" t="n">
        <f aca="false">(COUNTIF(J556:EC556,"=0")+COUNTIF(J556:EC556,"=1"))</f>
        <v>2</v>
      </c>
      <c r="I556" s="18" t="n">
        <f aca="false">IFERROR(ROUND(10-AVERAGE(J556:EC556)*10,0),0)</f>
        <v>5</v>
      </c>
      <c r="J556" s="11"/>
      <c r="K556" s="11"/>
      <c r="L556" s="11"/>
      <c r="M556" s="5"/>
      <c r="N556" s="5"/>
      <c r="O556" s="5"/>
      <c r="P556" s="11" t="n">
        <v>0</v>
      </c>
      <c r="Q556" s="5"/>
      <c r="R556" s="5"/>
      <c r="S556" s="11" t="n">
        <v>1</v>
      </c>
      <c r="T556" s="11"/>
      <c r="U556" s="11"/>
      <c r="V556" s="5"/>
      <c r="W556" s="5"/>
      <c r="X556" s="5"/>
      <c r="Y556" s="5"/>
      <c r="Z556" s="5"/>
      <c r="AA556" s="5"/>
      <c r="AB556" s="5"/>
      <c r="AF556" s="5"/>
      <c r="AG556" s="5"/>
    </row>
    <row r="557" customFormat="false" ht="15.75" hidden="false" customHeight="false" outlineLevel="0" collapsed="false">
      <c r="A557" s="5" t="s">
        <v>1306</v>
      </c>
      <c r="B557" s="5" t="s">
        <v>1313</v>
      </c>
      <c r="C557" s="5" t="s">
        <v>1314</v>
      </c>
      <c r="D557" s="5"/>
      <c r="E557" s="5"/>
      <c r="F557" s="5"/>
      <c r="G557" s="14" t="s">
        <v>1315</v>
      </c>
      <c r="H557" s="5" t="n">
        <f aca="false">(COUNTIF(J557:EC557,"=0")+COUNTIF(J557:EC557,"=1"))</f>
        <v>2</v>
      </c>
      <c r="I557" s="16" t="n">
        <f aca="false">IFERROR(ROUND(10-AVERAGE(J557:EC557)*10,0),0)</f>
        <v>5</v>
      </c>
      <c r="J557" s="11"/>
      <c r="K557" s="11"/>
      <c r="L557" s="11" t="n">
        <v>1</v>
      </c>
      <c r="M557" s="5"/>
      <c r="N557" s="5"/>
      <c r="O557" s="11"/>
      <c r="P557" s="11" t="n">
        <v>0</v>
      </c>
      <c r="Q557" s="11"/>
      <c r="R557" s="5"/>
      <c r="S557" s="11"/>
      <c r="T557" s="11"/>
      <c r="U557" s="11"/>
      <c r="V557" s="5"/>
      <c r="W557" s="5"/>
      <c r="X557" s="5"/>
      <c r="Y557" s="5"/>
      <c r="Z557" s="5"/>
      <c r="AA557" s="5"/>
      <c r="AB557" s="5"/>
      <c r="AF557" s="5"/>
      <c r="AG557" s="5"/>
    </row>
    <row r="558" customFormat="false" ht="15.75" hidden="false" customHeight="false" outlineLevel="0" collapsed="false">
      <c r="A558" s="5" t="s">
        <v>1306</v>
      </c>
      <c r="B558" s="5" t="s">
        <v>1313</v>
      </c>
      <c r="C558" s="5" t="s">
        <v>1316</v>
      </c>
      <c r="D558" s="5"/>
      <c r="E558" s="5"/>
      <c r="F558" s="5"/>
      <c r="G558" s="14" t="s">
        <v>1317</v>
      </c>
      <c r="H558" s="5" t="n">
        <f aca="false">(COUNTIF(J558:EC558,"=0")+COUNTIF(J558:EC558,"=1"))</f>
        <v>2</v>
      </c>
      <c r="I558" s="16" t="n">
        <f aca="false">IFERROR(ROUND(10-AVERAGE(J558:EC558)*10,0),0)</f>
        <v>5</v>
      </c>
      <c r="J558" s="11"/>
      <c r="K558" s="11"/>
      <c r="L558" s="11" t="n">
        <v>1</v>
      </c>
      <c r="M558" s="5"/>
      <c r="N558" s="5"/>
      <c r="O558" s="11"/>
      <c r="P558" s="11" t="n">
        <v>0</v>
      </c>
      <c r="Q558" s="11"/>
      <c r="R558" s="5"/>
      <c r="S558" s="11"/>
      <c r="T558" s="11"/>
      <c r="U558" s="11"/>
      <c r="V558" s="5"/>
      <c r="W558" s="5"/>
      <c r="X558" s="5"/>
      <c r="Y558" s="5"/>
      <c r="Z558" s="5"/>
      <c r="AA558" s="5"/>
      <c r="AB558" s="5"/>
      <c r="AF558" s="5"/>
      <c r="AG558" s="5"/>
    </row>
    <row r="559" customFormat="false" ht="15.75" hidden="false" customHeight="false" outlineLevel="0" collapsed="false">
      <c r="A559" s="5" t="s">
        <v>1306</v>
      </c>
      <c r="B559" s="5" t="s">
        <v>1313</v>
      </c>
      <c r="C559" s="5" t="s">
        <v>1318</v>
      </c>
      <c r="D559" s="5"/>
      <c r="E559" s="5"/>
      <c r="F559" s="5"/>
      <c r="G559" s="14" t="s">
        <v>1319</v>
      </c>
      <c r="H559" s="5" t="n">
        <f aca="false">(COUNTIF(J559:EC559,"=0")+COUNTIF(J559:EC559,"=1"))</f>
        <v>2</v>
      </c>
      <c r="I559" s="16" t="n">
        <f aca="false">IFERROR(ROUND(10-AVERAGE(J559:EC559)*10,0),0)</f>
        <v>5</v>
      </c>
      <c r="J559" s="11"/>
      <c r="K559" s="11"/>
      <c r="L559" s="11" t="n">
        <v>1</v>
      </c>
      <c r="M559" s="5"/>
      <c r="N559" s="5"/>
      <c r="O559" s="11"/>
      <c r="P559" s="11" t="n">
        <v>0</v>
      </c>
      <c r="Q559" s="11"/>
      <c r="R559" s="5"/>
      <c r="S559" s="11"/>
      <c r="T559" s="11"/>
      <c r="U559" s="11"/>
      <c r="V559" s="5"/>
      <c r="W559" s="5"/>
      <c r="X559" s="5"/>
      <c r="Y559" s="5"/>
      <c r="Z559" s="5"/>
      <c r="AA559" s="5"/>
      <c r="AB559" s="5"/>
      <c r="AF559" s="5"/>
      <c r="AG559" s="5"/>
    </row>
    <row r="560" customFormat="false" ht="15.75" hidden="false" customHeight="false" outlineLevel="0" collapsed="false">
      <c r="A560" s="5" t="s">
        <v>1306</v>
      </c>
      <c r="B560" s="5" t="s">
        <v>1320</v>
      </c>
      <c r="C560" s="5" t="s">
        <v>1318</v>
      </c>
      <c r="D560" s="5"/>
      <c r="E560" s="5"/>
      <c r="F560" s="5"/>
      <c r="G560" s="5"/>
      <c r="H560" s="5" t="n">
        <f aca="false">(COUNTIF(J560:EC560,"=0")+COUNTIF(J560:EC560,"=1"))</f>
        <v>11</v>
      </c>
      <c r="I560" s="16" t="n">
        <f aca="false">IFERROR(ROUND(10-AVERAGE(J560:EC560)*10,0),0)</f>
        <v>7</v>
      </c>
      <c r="J560" s="11" t="n">
        <v>0</v>
      </c>
      <c r="K560" s="11" t="n">
        <v>0</v>
      </c>
      <c r="L560" s="11" t="n">
        <v>1</v>
      </c>
      <c r="M560" s="5"/>
      <c r="N560" s="5"/>
      <c r="O560" s="11" t="n">
        <v>0</v>
      </c>
      <c r="P560" s="11" t="n">
        <v>0</v>
      </c>
      <c r="Q560" s="11" t="n">
        <v>0</v>
      </c>
      <c r="R560" s="5"/>
      <c r="S560" s="11" t="n">
        <v>1</v>
      </c>
      <c r="T560" s="11" t="n">
        <v>0</v>
      </c>
      <c r="U560" s="11" t="n">
        <v>1</v>
      </c>
      <c r="V560" s="5"/>
      <c r="W560" s="5"/>
      <c r="X560" s="5"/>
      <c r="Y560" s="5"/>
      <c r="Z560" s="5"/>
      <c r="AA560" s="5"/>
      <c r="AB560" s="5"/>
      <c r="AF560" s="5" t="n">
        <v>0</v>
      </c>
      <c r="AG560" s="5" t="n">
        <v>0</v>
      </c>
    </row>
    <row r="561" customFormat="false" ht="15.75" hidden="false" customHeight="false" outlineLevel="0" collapsed="false">
      <c r="A561" s="5" t="s">
        <v>1306</v>
      </c>
      <c r="B561" s="5" t="s">
        <v>1320</v>
      </c>
      <c r="C561" s="5" t="s">
        <v>1321</v>
      </c>
      <c r="D561" s="5"/>
      <c r="E561" s="5"/>
      <c r="F561" s="5"/>
      <c r="G561" s="14" t="s">
        <v>1322</v>
      </c>
      <c r="H561" s="5" t="n">
        <f aca="false">(COUNTIF(J561:EC561,"=0")+COUNTIF(J561:EC561,"=1"))</f>
        <v>2</v>
      </c>
      <c r="I561" s="16" t="n">
        <f aca="false">IFERROR(ROUND(10-AVERAGE(J561:EC561)*10,0),0)</f>
        <v>5</v>
      </c>
      <c r="J561" s="11"/>
      <c r="K561" s="11"/>
      <c r="L561" s="11" t="n">
        <v>1</v>
      </c>
      <c r="M561" s="5"/>
      <c r="N561" s="5"/>
      <c r="O561" s="11"/>
      <c r="P561" s="11" t="n">
        <v>0</v>
      </c>
      <c r="Q561" s="11"/>
      <c r="R561" s="5"/>
      <c r="S561" s="11"/>
      <c r="T561" s="11"/>
      <c r="U561" s="11"/>
      <c r="V561" s="5"/>
      <c r="W561" s="5"/>
      <c r="X561" s="5"/>
      <c r="Y561" s="5"/>
      <c r="Z561" s="5"/>
      <c r="AA561" s="5"/>
      <c r="AB561" s="5"/>
      <c r="AF561" s="5"/>
      <c r="AG561" s="5"/>
    </row>
    <row r="562" customFormat="false" ht="15.75" hidden="false" customHeight="false" outlineLevel="0" collapsed="false">
      <c r="A562" s="5" t="s">
        <v>1323</v>
      </c>
      <c r="B562" s="5" t="s">
        <v>1324</v>
      </c>
      <c r="C562" s="5" t="s">
        <v>478</v>
      </c>
      <c r="D562" s="5"/>
      <c r="E562" s="5"/>
      <c r="F562" s="5"/>
      <c r="G562" s="9" t="s">
        <v>1325</v>
      </c>
      <c r="H562" s="5" t="n">
        <f aca="false">(COUNTIF(J562:EC562,"=0")+COUNTIF(J562:EC562,"=1"))</f>
        <v>8</v>
      </c>
      <c r="I562" s="16" t="n">
        <f aca="false">IFERROR(ROUND(10-AVERAGE(J562:EC562)*10,0),0)</f>
        <v>8</v>
      </c>
      <c r="J562" s="11" t="n">
        <v>1</v>
      </c>
      <c r="K562" s="11" t="n">
        <v>0</v>
      </c>
      <c r="L562" s="5"/>
      <c r="M562" s="5"/>
      <c r="N562" s="5"/>
      <c r="O562" s="11" t="n">
        <v>0</v>
      </c>
      <c r="P562" s="11" t="n">
        <v>0</v>
      </c>
      <c r="Q562" s="5"/>
      <c r="R562" s="5"/>
      <c r="S562" s="11" t="n">
        <v>0</v>
      </c>
      <c r="T562" s="11" t="n">
        <v>0</v>
      </c>
      <c r="U562" s="11" t="n">
        <v>1</v>
      </c>
      <c r="V562" s="5"/>
      <c r="W562" s="5"/>
      <c r="X562" s="5"/>
      <c r="Y562" s="5"/>
      <c r="Z562" s="5"/>
      <c r="AA562" s="5"/>
      <c r="AB562" s="5"/>
      <c r="AF562" s="5" t="n">
        <v>0</v>
      </c>
    </row>
    <row r="563" customFormat="false" ht="15.75" hidden="false" customHeight="false" outlineLevel="0" collapsed="false">
      <c r="A563" s="5" t="s">
        <v>1323</v>
      </c>
      <c r="B563" s="5" t="s">
        <v>1324</v>
      </c>
      <c r="C563" s="5" t="s">
        <v>72</v>
      </c>
      <c r="D563" s="5"/>
      <c r="E563" s="5"/>
      <c r="F563" s="5"/>
      <c r="G563" s="9" t="s">
        <v>1326</v>
      </c>
      <c r="H563" s="5" t="n">
        <f aca="false">(COUNTIF(J563:EC563,"=0")+COUNTIF(J563:EC563,"=1"))</f>
        <v>8</v>
      </c>
      <c r="I563" s="16" t="n">
        <f aca="false">IFERROR(ROUND(10-AVERAGE(J563:EC563)*10,0),0)</f>
        <v>8</v>
      </c>
      <c r="J563" s="11" t="n">
        <v>1</v>
      </c>
      <c r="K563" s="11" t="n">
        <v>0</v>
      </c>
      <c r="L563" s="5"/>
      <c r="M563" s="5"/>
      <c r="N563" s="5"/>
      <c r="O563" s="11" t="n">
        <v>0</v>
      </c>
      <c r="P563" s="11" t="n">
        <v>0</v>
      </c>
      <c r="Q563" s="5"/>
      <c r="R563" s="5"/>
      <c r="S563" s="11" t="n">
        <v>0</v>
      </c>
      <c r="T563" s="11" t="n">
        <v>0</v>
      </c>
      <c r="U563" s="11" t="n">
        <v>1</v>
      </c>
      <c r="V563" s="5"/>
      <c r="W563" s="5"/>
      <c r="X563" s="5"/>
      <c r="Y563" s="5"/>
      <c r="Z563" s="5"/>
      <c r="AA563" s="5"/>
      <c r="AB563" s="5"/>
      <c r="AF563" s="5" t="n">
        <v>0</v>
      </c>
    </row>
    <row r="564" customFormat="false" ht="15.75" hidden="false" customHeight="false" outlineLevel="0" collapsed="false">
      <c r="A564" s="5" t="s">
        <v>1323</v>
      </c>
      <c r="B564" s="5" t="s">
        <v>1327</v>
      </c>
      <c r="C564" s="5" t="s">
        <v>79</v>
      </c>
      <c r="D564" s="5"/>
      <c r="E564" s="5"/>
      <c r="F564" s="5"/>
      <c r="G564" s="9" t="s">
        <v>1328</v>
      </c>
      <c r="H564" s="5" t="n">
        <f aca="false">(COUNTIF(J564:EC564,"=0")+COUNTIF(J564:EC564,"=1"))</f>
        <v>9</v>
      </c>
      <c r="I564" s="16" t="n">
        <f aca="false">IFERROR(ROUND(10-AVERAGE(J564:EC564)*10,0),0)</f>
        <v>8</v>
      </c>
      <c r="J564" s="11" t="n">
        <v>1</v>
      </c>
      <c r="K564" s="11" t="n">
        <v>0</v>
      </c>
      <c r="L564" s="5"/>
      <c r="M564" s="5"/>
      <c r="N564" s="5"/>
      <c r="O564" s="11" t="n">
        <v>0</v>
      </c>
      <c r="P564" s="11" t="n">
        <v>0</v>
      </c>
      <c r="Q564" s="5"/>
      <c r="R564" s="5"/>
      <c r="S564" s="11" t="n">
        <v>0</v>
      </c>
      <c r="T564" s="11" t="n">
        <v>0</v>
      </c>
      <c r="U564" s="11" t="n">
        <v>1</v>
      </c>
      <c r="V564" s="5"/>
      <c r="W564" s="5" t="n">
        <v>0</v>
      </c>
      <c r="X564" s="5"/>
      <c r="Y564" s="5"/>
      <c r="Z564" s="5"/>
      <c r="AA564" s="5"/>
      <c r="AB564" s="5"/>
      <c r="AF564" s="5" t="n">
        <v>0</v>
      </c>
    </row>
    <row r="565" customFormat="false" ht="15.75" hidden="false" customHeight="false" outlineLevel="0" collapsed="false">
      <c r="A565" s="5" t="s">
        <v>1329</v>
      </c>
      <c r="B565" s="5" t="s">
        <v>1330</v>
      </c>
      <c r="C565" s="5" t="s">
        <v>1331</v>
      </c>
      <c r="D565" s="5"/>
      <c r="E565" s="5"/>
      <c r="F565" s="5"/>
      <c r="G565" s="5"/>
      <c r="H565" s="5" t="n">
        <f aca="false">(COUNTIF(J565:EC565,"=0")+COUNTIF(J565:EC565,"=1"))</f>
        <v>7</v>
      </c>
      <c r="I565" s="21" t="n">
        <f aca="false">IFERROR(ROUND(10-AVERAGE(J565:EC565)*10,0),0)</f>
        <v>1</v>
      </c>
      <c r="J565" s="11" t="n">
        <v>1</v>
      </c>
      <c r="K565" s="11" t="n">
        <v>1</v>
      </c>
      <c r="L565" s="5"/>
      <c r="M565" s="5"/>
      <c r="N565" s="5"/>
      <c r="O565" s="11" t="n">
        <v>0</v>
      </c>
      <c r="P565" s="11" t="n">
        <v>1</v>
      </c>
      <c r="Q565" s="5" t="n">
        <v>1</v>
      </c>
      <c r="R565" s="5"/>
      <c r="S565" s="11"/>
      <c r="T565" s="11" t="n">
        <v>1</v>
      </c>
      <c r="U565" s="11" t="n">
        <v>1</v>
      </c>
      <c r="V565" s="5"/>
      <c r="W565" s="5"/>
      <c r="X565" s="5"/>
      <c r="Y565" s="5"/>
      <c r="Z565" s="5"/>
      <c r="AA565" s="5"/>
      <c r="AB565" s="5"/>
    </row>
    <row r="566" customFormat="false" ht="15.75" hidden="false" customHeight="false" outlineLevel="0" collapsed="false">
      <c r="A566" s="5" t="s">
        <v>1329</v>
      </c>
      <c r="B566" s="5" t="s">
        <v>1330</v>
      </c>
      <c r="C566" s="5" t="s">
        <v>1332</v>
      </c>
      <c r="D566" s="5"/>
      <c r="E566" s="5"/>
      <c r="F566" s="5"/>
      <c r="G566" s="9" t="s">
        <v>1333</v>
      </c>
      <c r="H566" s="5" t="n">
        <f aca="false">(COUNTIF(J566:EC566,"=0")+COUNTIF(J566:EC566,"=1"))</f>
        <v>7</v>
      </c>
      <c r="I566" s="23" t="n">
        <f aca="false">IFERROR(ROUND(10-AVERAGE(J566:EC566)*10,0),0)</f>
        <v>4</v>
      </c>
      <c r="J566" s="11" t="n">
        <v>1</v>
      </c>
      <c r="K566" s="11" t="n">
        <v>0</v>
      </c>
      <c r="L566" s="5"/>
      <c r="M566" s="5"/>
      <c r="N566" s="5"/>
      <c r="O566" s="11" t="n">
        <v>0</v>
      </c>
      <c r="P566" s="11" t="n">
        <v>1</v>
      </c>
      <c r="Q566" s="5" t="n">
        <v>0</v>
      </c>
      <c r="R566" s="5"/>
      <c r="S566" s="11"/>
      <c r="T566" s="11" t="n">
        <v>1</v>
      </c>
      <c r="U566" s="11" t="n">
        <v>1</v>
      </c>
      <c r="V566" s="5"/>
      <c r="W566" s="5"/>
      <c r="X566" s="5"/>
      <c r="Y566" s="5"/>
      <c r="Z566" s="5"/>
      <c r="AA566" s="5"/>
      <c r="AB566" s="5"/>
    </row>
    <row r="567" customFormat="false" ht="15.75" hidden="false" customHeight="false" outlineLevel="0" collapsed="false">
      <c r="A567" s="5" t="s">
        <v>1329</v>
      </c>
      <c r="B567" s="5" t="s">
        <v>1330</v>
      </c>
      <c r="C567" s="5" t="s">
        <v>323</v>
      </c>
      <c r="D567" s="5"/>
      <c r="E567" s="5"/>
      <c r="F567" s="5"/>
      <c r="G567" s="5"/>
      <c r="H567" s="5" t="n">
        <f aca="false">(COUNTIF(J567:EC567,"=0")+COUNTIF(J567:EC567,"=1"))</f>
        <v>9</v>
      </c>
      <c r="I567" s="20" t="n">
        <f aca="false">IFERROR(ROUND(10-AVERAGE(J567:EC567)*10,0),0)</f>
        <v>0</v>
      </c>
      <c r="J567" s="11" t="n">
        <v>1</v>
      </c>
      <c r="K567" s="11" t="n">
        <v>1</v>
      </c>
      <c r="L567" s="5"/>
      <c r="M567" s="11" t="n">
        <v>1</v>
      </c>
      <c r="N567" s="5"/>
      <c r="O567" s="11" t="n">
        <v>1</v>
      </c>
      <c r="P567" s="11" t="n">
        <v>1</v>
      </c>
      <c r="Q567" s="5" t="n">
        <v>1</v>
      </c>
      <c r="R567" s="5"/>
      <c r="S567" s="11"/>
      <c r="T567" s="11" t="n">
        <v>1</v>
      </c>
      <c r="U567" s="11" t="n">
        <v>1</v>
      </c>
      <c r="V567" s="5"/>
      <c r="W567" s="5"/>
      <c r="X567" s="5"/>
      <c r="Y567" s="5"/>
      <c r="Z567" s="5"/>
      <c r="AA567" s="5"/>
      <c r="AB567" s="5"/>
      <c r="AF567" s="5" t="n">
        <v>1</v>
      </c>
    </row>
    <row r="568" customFormat="false" ht="15.75" hidden="false" customHeight="false" outlineLevel="0" collapsed="false">
      <c r="A568" s="5" t="s">
        <v>1329</v>
      </c>
      <c r="B568" s="5" t="s">
        <v>1330</v>
      </c>
      <c r="C568" s="5" t="s">
        <v>1334</v>
      </c>
      <c r="D568" s="5"/>
      <c r="E568" s="5"/>
      <c r="F568" s="5"/>
      <c r="G568" s="5"/>
      <c r="H568" s="5" t="n">
        <f aca="false">(COUNTIF(J568:EC568,"=0")+COUNTIF(J568:EC568,"=1"))</f>
        <v>7</v>
      </c>
      <c r="I568" s="20" t="n">
        <f aca="false">IFERROR(ROUND(10-AVERAGE(J568:EC568)*10,0),0)</f>
        <v>1</v>
      </c>
      <c r="J568" s="11" t="n">
        <v>1</v>
      </c>
      <c r="K568" s="11" t="n">
        <v>1</v>
      </c>
      <c r="L568" s="5"/>
      <c r="M568" s="5"/>
      <c r="N568" s="5"/>
      <c r="O568" s="11" t="n">
        <v>1</v>
      </c>
      <c r="P568" s="11" t="n">
        <v>1</v>
      </c>
      <c r="Q568" s="5" t="n">
        <v>0</v>
      </c>
      <c r="R568" s="5"/>
      <c r="S568" s="11"/>
      <c r="T568" s="11" t="n">
        <v>1</v>
      </c>
      <c r="U568" s="11" t="n">
        <v>1</v>
      </c>
      <c r="V568" s="5"/>
      <c r="W568" s="5"/>
      <c r="X568" s="5"/>
      <c r="Y568" s="5"/>
      <c r="Z568" s="5"/>
      <c r="AA568" s="5"/>
      <c r="AB568" s="5"/>
    </row>
    <row r="569" customFormat="false" ht="15.75" hidden="false" customHeight="false" outlineLevel="0" collapsed="false">
      <c r="A569" s="5" t="s">
        <v>1329</v>
      </c>
      <c r="B569" s="5" t="s">
        <v>1330</v>
      </c>
      <c r="C569" s="5" t="s">
        <v>1335</v>
      </c>
      <c r="D569" s="5"/>
      <c r="E569" s="5"/>
      <c r="F569" s="5"/>
      <c r="G569" s="9" t="s">
        <v>1336</v>
      </c>
      <c r="H569" s="5" t="n">
        <f aca="false">(COUNTIF(J569:EC569,"=0")+COUNTIF(J569:EC569,"=1"))</f>
        <v>7</v>
      </c>
      <c r="I569" s="16" t="n">
        <f aca="false">IFERROR(ROUND(10-AVERAGE(J569:EC569)*10,0),0)</f>
        <v>7</v>
      </c>
      <c r="J569" s="11" t="n">
        <v>1</v>
      </c>
      <c r="K569" s="11" t="n">
        <v>0</v>
      </c>
      <c r="L569" s="5"/>
      <c r="M569" s="5"/>
      <c r="N569" s="5"/>
      <c r="O569" s="11" t="n">
        <v>0</v>
      </c>
      <c r="P569" s="11" t="n">
        <v>0</v>
      </c>
      <c r="Q569" s="5" t="n">
        <v>0</v>
      </c>
      <c r="R569" s="5"/>
      <c r="S569" s="11"/>
      <c r="T569" s="11" t="n">
        <v>0</v>
      </c>
      <c r="U569" s="11" t="n">
        <v>1</v>
      </c>
      <c r="V569" s="5"/>
      <c r="W569" s="5"/>
      <c r="X569" s="5"/>
      <c r="Y569" s="5"/>
      <c r="Z569" s="5"/>
      <c r="AA569" s="5"/>
      <c r="AB569" s="5"/>
    </row>
    <row r="570" customFormat="false" ht="15.75" hidden="false" customHeight="false" outlineLevel="0" collapsed="false">
      <c r="A570" s="5" t="s">
        <v>1329</v>
      </c>
      <c r="B570" s="5" t="s">
        <v>1330</v>
      </c>
      <c r="C570" s="5" t="s">
        <v>1337</v>
      </c>
      <c r="D570" s="5"/>
      <c r="E570" s="5"/>
      <c r="F570" s="5"/>
      <c r="G570" s="9" t="s">
        <v>1338</v>
      </c>
      <c r="H570" s="5" t="n">
        <f aca="false">(COUNTIF(J570:EC570,"=0")+COUNTIF(J570:EC570,"=1"))</f>
        <v>6</v>
      </c>
      <c r="I570" s="15" t="n">
        <f aca="false">IFERROR(ROUND(10-AVERAGE(J570:EC570)*10,0),0)</f>
        <v>5</v>
      </c>
      <c r="J570" s="11" t="n">
        <v>1</v>
      </c>
      <c r="K570" s="11" t="n">
        <v>0</v>
      </c>
      <c r="L570" s="5"/>
      <c r="M570" s="5"/>
      <c r="N570" s="5"/>
      <c r="O570" s="11" t="n">
        <v>0</v>
      </c>
      <c r="P570" s="11" t="n">
        <v>1</v>
      </c>
      <c r="Q570" s="5"/>
      <c r="R570" s="5"/>
      <c r="S570" s="11"/>
      <c r="T570" s="11" t="n">
        <v>0</v>
      </c>
      <c r="U570" s="11" t="n">
        <v>1</v>
      </c>
      <c r="V570" s="5"/>
      <c r="W570" s="5"/>
      <c r="X570" s="5"/>
      <c r="Y570" s="5"/>
      <c r="Z570" s="5"/>
      <c r="AA570" s="5"/>
      <c r="AB570" s="5"/>
    </row>
    <row r="571" customFormat="false" ht="15.75" hidden="false" customHeight="false" outlineLevel="0" collapsed="false">
      <c r="A571" s="5" t="s">
        <v>1329</v>
      </c>
      <c r="B571" s="5" t="s">
        <v>1330</v>
      </c>
      <c r="C571" s="5" t="s">
        <v>1339</v>
      </c>
      <c r="D571" s="5"/>
      <c r="E571" s="5"/>
      <c r="F571" s="5"/>
      <c r="G571" s="9" t="s">
        <v>1340</v>
      </c>
      <c r="H571" s="5" t="n">
        <f aca="false">(COUNTIF(J571:EC571,"=0")+COUNTIF(J571:EC571,"=1"))</f>
        <v>8</v>
      </c>
      <c r="I571" s="21" t="n">
        <f aca="false">IFERROR(ROUND(10-AVERAGE(J571:EC571)*10,0),0)</f>
        <v>3</v>
      </c>
      <c r="J571" s="11" t="n">
        <v>1</v>
      </c>
      <c r="K571" s="11" t="n">
        <v>0</v>
      </c>
      <c r="L571" s="5"/>
      <c r="M571" s="5"/>
      <c r="N571" s="5"/>
      <c r="O571" s="11" t="n">
        <v>1</v>
      </c>
      <c r="P571" s="11" t="n">
        <v>1</v>
      </c>
      <c r="Q571" s="5" t="n">
        <v>1</v>
      </c>
      <c r="R571" s="5"/>
      <c r="S571" s="11"/>
      <c r="T571" s="11" t="n">
        <v>1</v>
      </c>
      <c r="U571" s="11" t="n">
        <v>1</v>
      </c>
      <c r="V571" s="5"/>
      <c r="W571" s="5"/>
      <c r="X571" s="5"/>
      <c r="Y571" s="5"/>
      <c r="Z571" s="5"/>
      <c r="AA571" s="5"/>
      <c r="AB571" s="5"/>
      <c r="AF571" s="5" t="n">
        <v>0</v>
      </c>
    </row>
    <row r="572" customFormat="false" ht="15.75" hidden="false" customHeight="false" outlineLevel="0" collapsed="false">
      <c r="A572" s="5" t="s">
        <v>1329</v>
      </c>
      <c r="B572" s="5" t="s">
        <v>1330</v>
      </c>
      <c r="C572" s="5" t="s">
        <v>1341</v>
      </c>
      <c r="D572" s="5"/>
      <c r="E572" s="5"/>
      <c r="F572" s="5"/>
      <c r="G572" s="9" t="s">
        <v>1342</v>
      </c>
      <c r="H572" s="5" t="n">
        <f aca="false">(COUNTIF(J572:EC572,"=0")+COUNTIF(J572:EC572,"=1"))</f>
        <v>6</v>
      </c>
      <c r="I572" s="15" t="n">
        <f aca="false">IFERROR(ROUND(10-AVERAGE(J572:EC572)*10,0),0)</f>
        <v>5</v>
      </c>
      <c r="J572" s="11" t="n">
        <v>1</v>
      </c>
      <c r="K572" s="11" t="n">
        <v>0</v>
      </c>
      <c r="L572" s="5"/>
      <c r="M572" s="5"/>
      <c r="N572" s="5"/>
      <c r="O572" s="11" t="n">
        <v>0</v>
      </c>
      <c r="P572" s="11" t="n">
        <v>1</v>
      </c>
      <c r="Q572" s="5"/>
      <c r="R572" s="5"/>
      <c r="S572" s="11"/>
      <c r="T572" s="11" t="n">
        <v>0</v>
      </c>
      <c r="U572" s="11" t="n">
        <v>1</v>
      </c>
      <c r="V572" s="5"/>
      <c r="W572" s="5"/>
      <c r="X572" s="5"/>
      <c r="Y572" s="5"/>
      <c r="Z572" s="5"/>
      <c r="AA572" s="5"/>
      <c r="AB572" s="5"/>
    </row>
    <row r="573" customFormat="false" ht="15.75" hidden="false" customHeight="false" outlineLevel="0" collapsed="false">
      <c r="A573" s="5" t="s">
        <v>1329</v>
      </c>
      <c r="B573" s="5" t="s">
        <v>1343</v>
      </c>
      <c r="C573" s="5" t="s">
        <v>1344</v>
      </c>
      <c r="D573" s="5"/>
      <c r="E573" s="5"/>
      <c r="F573" s="5"/>
      <c r="G573" s="9" t="s">
        <v>1345</v>
      </c>
      <c r="H573" s="5" t="n">
        <f aca="false">(COUNTIF(J573:EC573,"=0")+COUNTIF(J573:EC573,"=1"))</f>
        <v>8</v>
      </c>
      <c r="I573" s="19" t="n">
        <f aca="false">IFERROR(ROUND(10-AVERAGE(J573:EC573)*10,0),0)</f>
        <v>4</v>
      </c>
      <c r="J573" s="11" t="n">
        <v>1</v>
      </c>
      <c r="K573" s="11" t="n">
        <v>0</v>
      </c>
      <c r="L573" s="11" t="n">
        <v>0</v>
      </c>
      <c r="M573" s="5"/>
      <c r="N573" s="5"/>
      <c r="O573" s="11" t="n">
        <v>1</v>
      </c>
      <c r="P573" s="11" t="n">
        <v>1</v>
      </c>
      <c r="Q573" s="5"/>
      <c r="R573" s="5"/>
      <c r="S573" s="11"/>
      <c r="T573" s="11" t="n">
        <v>0</v>
      </c>
      <c r="U573" s="11" t="n">
        <v>1</v>
      </c>
      <c r="V573" s="5"/>
      <c r="W573" s="5"/>
      <c r="X573" s="5"/>
      <c r="Y573" s="5"/>
      <c r="Z573" s="5"/>
      <c r="AA573" s="5"/>
      <c r="AB573" s="5"/>
      <c r="AG573" s="5" t="n">
        <v>1</v>
      </c>
    </row>
    <row r="574" customFormat="false" ht="15.75" hidden="false" customHeight="false" outlineLevel="0" collapsed="false">
      <c r="A574" s="5" t="s">
        <v>1329</v>
      </c>
      <c r="B574" s="5" t="s">
        <v>1343</v>
      </c>
      <c r="C574" s="5" t="s">
        <v>1293</v>
      </c>
      <c r="D574" s="5"/>
      <c r="E574" s="5"/>
      <c r="F574" s="5"/>
      <c r="G574" s="9" t="s">
        <v>1346</v>
      </c>
      <c r="H574" s="5" t="n">
        <f aca="false">(COUNTIF(J574:EC574,"=0")+COUNTIF(J574:EC574,"=1"))</f>
        <v>7</v>
      </c>
      <c r="I574" s="23" t="n">
        <f aca="false">IFERROR(ROUND(10-AVERAGE(J574:EC574)*10,0),0)</f>
        <v>3</v>
      </c>
      <c r="J574" s="11" t="n">
        <v>1</v>
      </c>
      <c r="K574" s="11" t="n">
        <v>0</v>
      </c>
      <c r="L574" s="11" t="n">
        <v>1</v>
      </c>
      <c r="M574" s="5"/>
      <c r="N574" s="5"/>
      <c r="O574" s="11" t="n">
        <v>1</v>
      </c>
      <c r="P574" s="11" t="n">
        <v>1</v>
      </c>
      <c r="Q574" s="5"/>
      <c r="R574" s="5"/>
      <c r="S574" s="11"/>
      <c r="T574" s="11" t="n">
        <v>0</v>
      </c>
      <c r="U574" s="11" t="n">
        <v>1</v>
      </c>
      <c r="V574" s="5"/>
      <c r="W574" s="5"/>
      <c r="X574" s="5"/>
      <c r="Y574" s="5"/>
      <c r="Z574" s="5"/>
      <c r="AA574" s="5"/>
      <c r="AB574" s="5"/>
    </row>
    <row r="575" customFormat="false" ht="15.75" hidden="false" customHeight="false" outlineLevel="0" collapsed="false">
      <c r="A575" s="5" t="s">
        <v>1329</v>
      </c>
      <c r="B575" s="5" t="s">
        <v>1343</v>
      </c>
      <c r="C575" s="5" t="s">
        <v>478</v>
      </c>
      <c r="D575" s="5"/>
      <c r="E575" s="5"/>
      <c r="F575" s="5"/>
      <c r="G575" s="9" t="s">
        <v>1347</v>
      </c>
      <c r="H575" s="5" t="n">
        <f aca="false">(COUNTIF(J575:EC575,"=0")+COUNTIF(J575:EC575,"=1"))</f>
        <v>8</v>
      </c>
      <c r="I575" s="20" t="n">
        <f aca="false">IFERROR(ROUND(10-AVERAGE(J575:EC575)*10,0),0)</f>
        <v>0</v>
      </c>
      <c r="J575" s="11" t="n">
        <v>1</v>
      </c>
      <c r="K575" s="11" t="n">
        <v>1</v>
      </c>
      <c r="L575" s="11" t="n">
        <v>1</v>
      </c>
      <c r="M575" s="5"/>
      <c r="N575" s="5"/>
      <c r="O575" s="11" t="n">
        <v>1</v>
      </c>
      <c r="P575" s="11" t="n">
        <v>1</v>
      </c>
      <c r="Q575" s="5" t="n">
        <v>1</v>
      </c>
      <c r="R575" s="5"/>
      <c r="S575" s="11"/>
      <c r="T575" s="11" t="n">
        <v>1</v>
      </c>
      <c r="U575" s="11" t="n">
        <v>1</v>
      </c>
      <c r="V575" s="5"/>
      <c r="W575" s="5"/>
      <c r="X575" s="5"/>
      <c r="Y575" s="5"/>
      <c r="Z575" s="5"/>
      <c r="AA575" s="5"/>
      <c r="AB575" s="5"/>
    </row>
    <row r="576" customFormat="false" ht="15.75" hidden="false" customHeight="false" outlineLevel="0" collapsed="false">
      <c r="A576" s="5" t="s">
        <v>1329</v>
      </c>
      <c r="B576" s="5" t="s">
        <v>1343</v>
      </c>
      <c r="C576" s="5" t="s">
        <v>1348</v>
      </c>
      <c r="D576" s="5"/>
      <c r="E576" s="5"/>
      <c r="F576" s="5"/>
      <c r="G576" s="9" t="s">
        <v>1349</v>
      </c>
      <c r="H576" s="5" t="n">
        <f aca="false">(COUNTIF(J576:EC576,"=0")+COUNTIF(J576:EC576,"=1"))</f>
        <v>7</v>
      </c>
      <c r="I576" s="23" t="n">
        <f aca="false">IFERROR(ROUND(10-AVERAGE(J576:EC576)*10,0),0)</f>
        <v>3</v>
      </c>
      <c r="J576" s="11" t="n">
        <v>1</v>
      </c>
      <c r="K576" s="11" t="n">
        <v>0</v>
      </c>
      <c r="L576" s="11" t="n">
        <v>0</v>
      </c>
      <c r="M576" s="5"/>
      <c r="N576" s="5"/>
      <c r="O576" s="11" t="n">
        <v>1</v>
      </c>
      <c r="P576" s="11" t="n">
        <v>1</v>
      </c>
      <c r="Q576" s="5"/>
      <c r="R576" s="5"/>
      <c r="S576" s="11"/>
      <c r="T576" s="11" t="n">
        <v>1</v>
      </c>
      <c r="U576" s="11" t="n">
        <v>1</v>
      </c>
      <c r="V576" s="5"/>
      <c r="W576" s="5"/>
      <c r="X576" s="5"/>
      <c r="Y576" s="5"/>
      <c r="Z576" s="5"/>
      <c r="AA576" s="5"/>
      <c r="AB576" s="5"/>
    </row>
    <row r="577" customFormat="false" ht="15.75" hidden="false" customHeight="false" outlineLevel="0" collapsed="false">
      <c r="A577" s="5" t="s">
        <v>1329</v>
      </c>
      <c r="B577" s="5" t="s">
        <v>1343</v>
      </c>
      <c r="C577" s="5" t="s">
        <v>1350</v>
      </c>
      <c r="D577" s="5"/>
      <c r="E577" s="5"/>
      <c r="F577" s="5"/>
      <c r="G577" s="9" t="s">
        <v>1351</v>
      </c>
      <c r="H577" s="5" t="n">
        <f aca="false">(COUNTIF(J577:EC577,"=0")+COUNTIF(J577:EC577,"=1"))</f>
        <v>7</v>
      </c>
      <c r="I577" s="23" t="n">
        <f aca="false">IFERROR(ROUND(10-AVERAGE(J577:EC577)*10,0),0)</f>
        <v>3</v>
      </c>
      <c r="J577" s="11" t="n">
        <v>1</v>
      </c>
      <c r="K577" s="11" t="n">
        <v>0</v>
      </c>
      <c r="L577" s="11" t="n">
        <v>1</v>
      </c>
      <c r="M577" s="5"/>
      <c r="N577" s="5"/>
      <c r="O577" s="11" t="n">
        <v>1</v>
      </c>
      <c r="P577" s="11" t="n">
        <v>1</v>
      </c>
      <c r="Q577" s="5"/>
      <c r="R577" s="5"/>
      <c r="S577" s="11"/>
      <c r="T577" s="11" t="n">
        <v>0</v>
      </c>
      <c r="U577" s="11" t="n">
        <v>1</v>
      </c>
      <c r="V577" s="5"/>
      <c r="W577" s="5"/>
      <c r="X577" s="5"/>
      <c r="Y577" s="5"/>
      <c r="Z577" s="5"/>
      <c r="AA577" s="5"/>
      <c r="AB577" s="5"/>
    </row>
    <row r="578" customFormat="false" ht="15.75" hidden="false" customHeight="false" outlineLevel="0" collapsed="false">
      <c r="A578" s="5" t="s">
        <v>1329</v>
      </c>
      <c r="B578" s="5" t="s">
        <v>1343</v>
      </c>
      <c r="C578" s="5" t="s">
        <v>1352</v>
      </c>
      <c r="D578" s="5"/>
      <c r="E578" s="5"/>
      <c r="F578" s="5"/>
      <c r="G578" s="9" t="s">
        <v>1353</v>
      </c>
      <c r="H578" s="5" t="n">
        <f aca="false">(COUNTIF(J578:EC578,"=0")+COUNTIF(J578:EC578,"=1"))</f>
        <v>8</v>
      </c>
      <c r="I578" s="23" t="n">
        <f aca="false">IFERROR(ROUND(10-AVERAGE(J578:EC578)*10,0),0)</f>
        <v>4</v>
      </c>
      <c r="J578" s="11" t="n">
        <v>1</v>
      </c>
      <c r="K578" s="11" t="n">
        <v>0</v>
      </c>
      <c r="L578" s="11" t="n">
        <v>1</v>
      </c>
      <c r="M578" s="5"/>
      <c r="N578" s="5"/>
      <c r="O578" s="11" t="n">
        <v>1</v>
      </c>
      <c r="P578" s="11" t="n">
        <v>1</v>
      </c>
      <c r="Q578" s="5" t="n">
        <v>0</v>
      </c>
      <c r="R578" s="5"/>
      <c r="S578" s="11"/>
      <c r="T578" s="11" t="n">
        <v>0</v>
      </c>
      <c r="U578" s="11" t="n">
        <v>1</v>
      </c>
      <c r="V578" s="5"/>
      <c r="W578" s="5"/>
      <c r="X578" s="5"/>
      <c r="Y578" s="5"/>
      <c r="Z578" s="5"/>
      <c r="AA578" s="5"/>
      <c r="AB578" s="5"/>
    </row>
    <row r="579" customFormat="false" ht="15.75" hidden="false" customHeight="false" outlineLevel="0" collapsed="false">
      <c r="A579" s="5" t="s">
        <v>1329</v>
      </c>
      <c r="B579" s="5" t="s">
        <v>1354</v>
      </c>
      <c r="C579" s="5" t="s">
        <v>1355</v>
      </c>
      <c r="D579" s="5"/>
      <c r="E579" s="5"/>
      <c r="G579" s="5"/>
      <c r="H579" s="5" t="n">
        <f aca="false">(COUNTIF(J579:EC579,"=0")+COUNTIF(J579:EC579,"=1"))</f>
        <v>7</v>
      </c>
      <c r="I579" s="19" t="n">
        <f aca="false">IFERROR(ROUND(10-AVERAGE(J579:EC579)*10,0),0)</f>
        <v>4</v>
      </c>
      <c r="J579" s="11" t="n">
        <v>1</v>
      </c>
      <c r="K579" s="11" t="n">
        <v>0</v>
      </c>
      <c r="L579" s="11" t="n">
        <v>1</v>
      </c>
      <c r="M579" s="5"/>
      <c r="N579" s="5"/>
      <c r="O579" s="11" t="n">
        <v>0</v>
      </c>
      <c r="P579" s="11" t="n">
        <v>1</v>
      </c>
      <c r="Q579" s="5"/>
      <c r="R579" s="5"/>
      <c r="S579" s="11"/>
      <c r="T579" s="11" t="n">
        <v>0</v>
      </c>
      <c r="U579" s="11" t="n">
        <v>1</v>
      </c>
      <c r="V579" s="5"/>
      <c r="W579" s="5"/>
      <c r="X579" s="5"/>
      <c r="Y579" s="5"/>
      <c r="Z579" s="5"/>
      <c r="AA579" s="5"/>
      <c r="AB579" s="5"/>
    </row>
    <row r="580" customFormat="false" ht="15.75" hidden="false" customHeight="false" outlineLevel="0" collapsed="false">
      <c r="A580" s="5" t="s">
        <v>1329</v>
      </c>
      <c r="B580" s="5" t="s">
        <v>1354</v>
      </c>
      <c r="C580" s="5" t="s">
        <v>1356</v>
      </c>
      <c r="D580" s="5"/>
      <c r="E580" s="5"/>
      <c r="G580" s="5"/>
      <c r="H580" s="5" t="n">
        <f aca="false">(COUNTIF(J580:EC580,"=0")+COUNTIF(J580:EC580,"=1"))</f>
        <v>7</v>
      </c>
      <c r="I580" s="15" t="n">
        <f aca="false">IFERROR(ROUND(10-AVERAGE(J580:EC580)*10,0),0)</f>
        <v>6</v>
      </c>
      <c r="J580" s="11" t="n">
        <v>1</v>
      </c>
      <c r="K580" s="11" t="n">
        <v>0</v>
      </c>
      <c r="L580" s="11" t="n">
        <v>0</v>
      </c>
      <c r="M580" s="5"/>
      <c r="N580" s="5"/>
      <c r="O580" s="11" t="n">
        <v>0</v>
      </c>
      <c r="P580" s="11" t="n">
        <v>1</v>
      </c>
      <c r="Q580" s="5"/>
      <c r="R580" s="5"/>
      <c r="S580" s="11"/>
      <c r="T580" s="11" t="n">
        <v>0</v>
      </c>
      <c r="U580" s="11" t="n">
        <v>1</v>
      </c>
      <c r="V580" s="5"/>
      <c r="W580" s="5"/>
      <c r="X580" s="5"/>
      <c r="Y580" s="5"/>
      <c r="Z580" s="5"/>
      <c r="AA580" s="5"/>
      <c r="AB580" s="5"/>
    </row>
    <row r="581" customFormat="false" ht="15.75" hidden="false" customHeight="false" outlineLevel="0" collapsed="false">
      <c r="A581" s="5" t="s">
        <v>1329</v>
      </c>
      <c r="B581" s="5" t="s">
        <v>1354</v>
      </c>
      <c r="C581" s="5" t="s">
        <v>1357</v>
      </c>
      <c r="D581" s="5"/>
      <c r="E581" s="5"/>
      <c r="F581" s="5"/>
      <c r="G581" s="5"/>
      <c r="H581" s="5" t="n">
        <f aca="false">(COUNTIF(J581:EC581,"=0")+COUNTIF(J581:EC581,"=1"))</f>
        <v>7</v>
      </c>
      <c r="I581" s="15" t="n">
        <f aca="false">IFERROR(ROUND(10-AVERAGE(J581:EC581)*10,0),0)</f>
        <v>6</v>
      </c>
      <c r="J581" s="11" t="n">
        <v>1</v>
      </c>
      <c r="K581" s="11" t="n">
        <v>0</v>
      </c>
      <c r="L581" s="11" t="n">
        <v>0</v>
      </c>
      <c r="M581" s="5"/>
      <c r="N581" s="5"/>
      <c r="O581" s="11" t="n">
        <v>0</v>
      </c>
      <c r="P581" s="11" t="n">
        <v>1</v>
      </c>
      <c r="Q581" s="5"/>
      <c r="R581" s="5"/>
      <c r="S581" s="11"/>
      <c r="T581" s="11" t="n">
        <v>0</v>
      </c>
      <c r="U581" s="11" t="n">
        <v>1</v>
      </c>
      <c r="V581" s="5"/>
      <c r="W581" s="5"/>
      <c r="X581" s="5"/>
      <c r="Y581" s="5"/>
      <c r="Z581" s="5"/>
      <c r="AA581" s="5"/>
      <c r="AB581" s="5"/>
    </row>
    <row r="582" customFormat="false" ht="15.75" hidden="false" customHeight="false" outlineLevel="0" collapsed="false">
      <c r="A582" s="5" t="s">
        <v>1329</v>
      </c>
      <c r="B582" s="5" t="s">
        <v>1354</v>
      </c>
      <c r="C582" s="5" t="s">
        <v>1358</v>
      </c>
      <c r="D582" s="5"/>
      <c r="E582" s="5"/>
      <c r="F582" s="5"/>
      <c r="G582" s="5"/>
      <c r="H582" s="5" t="n">
        <f aca="false">(COUNTIF(J582:EC582,"=0")+COUNTIF(J582:EC582,"=1"))</f>
        <v>7</v>
      </c>
      <c r="I582" s="19" t="n">
        <f aca="false">IFERROR(ROUND(10-AVERAGE(J582:EC582)*10,0),0)</f>
        <v>4</v>
      </c>
      <c r="J582" s="11" t="n">
        <v>1</v>
      </c>
      <c r="K582" s="11" t="n">
        <v>0</v>
      </c>
      <c r="L582" s="11" t="n">
        <v>0</v>
      </c>
      <c r="M582" s="5"/>
      <c r="N582" s="5"/>
      <c r="O582" s="11" t="n">
        <v>0</v>
      </c>
      <c r="P582" s="11" t="n">
        <v>1</v>
      </c>
      <c r="Q582" s="5"/>
      <c r="R582" s="5"/>
      <c r="S582" s="11"/>
      <c r="T582" s="11" t="n">
        <v>1</v>
      </c>
      <c r="U582" s="11" t="n">
        <v>1</v>
      </c>
      <c r="V582" s="5"/>
      <c r="W582" s="5"/>
      <c r="X582" s="5"/>
      <c r="Y582" s="5"/>
      <c r="Z582" s="5"/>
      <c r="AA582" s="5"/>
      <c r="AB582" s="5"/>
    </row>
    <row r="583" customFormat="false" ht="15.75" hidden="false" customHeight="false" outlineLevel="0" collapsed="false">
      <c r="A583" s="5" t="s">
        <v>1329</v>
      </c>
      <c r="B583" s="5" t="s">
        <v>1354</v>
      </c>
      <c r="C583" s="5" t="s">
        <v>1359</v>
      </c>
      <c r="D583" s="5"/>
      <c r="E583" s="5"/>
      <c r="F583" s="5"/>
      <c r="G583" s="5"/>
      <c r="H583" s="5" t="n">
        <f aca="false">(COUNTIF(J583:EC583,"=0")+COUNTIF(J583:EC583,"=1"))</f>
        <v>7</v>
      </c>
      <c r="I583" s="19" t="n">
        <f aca="false">IFERROR(ROUND(10-AVERAGE(J583:EC583)*10,0),0)</f>
        <v>4</v>
      </c>
      <c r="J583" s="11" t="n">
        <v>1</v>
      </c>
      <c r="K583" s="11" t="n">
        <v>0</v>
      </c>
      <c r="L583" s="11" t="n">
        <v>1</v>
      </c>
      <c r="M583" s="5"/>
      <c r="N583" s="5"/>
      <c r="O583" s="11" t="n">
        <v>0</v>
      </c>
      <c r="P583" s="11" t="n">
        <v>1</v>
      </c>
      <c r="Q583" s="5"/>
      <c r="R583" s="5"/>
      <c r="S583" s="11"/>
      <c r="T583" s="11" t="n">
        <v>0</v>
      </c>
      <c r="U583" s="11" t="n">
        <v>1</v>
      </c>
      <c r="V583" s="5"/>
      <c r="W583" s="5"/>
      <c r="X583" s="5"/>
      <c r="Y583" s="5"/>
      <c r="Z583" s="5"/>
      <c r="AA583" s="5"/>
      <c r="AB583" s="5"/>
    </row>
    <row r="584" customFormat="false" ht="15.75" hidden="false" customHeight="false" outlineLevel="0" collapsed="false">
      <c r="A584" s="5" t="s">
        <v>1329</v>
      </c>
      <c r="B584" s="5" t="s">
        <v>1354</v>
      </c>
      <c r="C584" s="5" t="s">
        <v>478</v>
      </c>
      <c r="D584" s="5"/>
      <c r="E584" s="5"/>
      <c r="F584" s="5"/>
      <c r="G584" s="5"/>
      <c r="H584" s="5" t="n">
        <f aca="false">(COUNTIF(J584:EC584,"=0")+COUNTIF(J584:EC584,"=1"))</f>
        <v>8</v>
      </c>
      <c r="I584" s="19" t="n">
        <f aca="false">IFERROR(ROUND(10-AVERAGE(J584:EC584)*10,0),0)</f>
        <v>5</v>
      </c>
      <c r="J584" s="11" t="n">
        <v>1</v>
      </c>
      <c r="K584" s="11" t="n">
        <v>0</v>
      </c>
      <c r="L584" s="11" t="n">
        <v>1</v>
      </c>
      <c r="M584" s="5"/>
      <c r="N584" s="5"/>
      <c r="O584" s="11" t="n">
        <v>0</v>
      </c>
      <c r="P584" s="11" t="n">
        <v>1</v>
      </c>
      <c r="Q584" s="5" t="n">
        <v>0</v>
      </c>
      <c r="R584" s="5"/>
      <c r="S584" s="11"/>
      <c r="T584" s="11" t="n">
        <v>0</v>
      </c>
      <c r="U584" s="11" t="n">
        <v>1</v>
      </c>
      <c r="V584" s="5"/>
      <c r="W584" s="5"/>
      <c r="X584" s="5"/>
      <c r="Y584" s="5"/>
      <c r="Z584" s="5"/>
      <c r="AA584" s="5"/>
      <c r="AB584" s="5"/>
    </row>
    <row r="585" customFormat="false" ht="15.75" hidden="false" customHeight="false" outlineLevel="0" collapsed="false">
      <c r="A585" s="5" t="s">
        <v>1329</v>
      </c>
      <c r="B585" s="5" t="s">
        <v>1354</v>
      </c>
      <c r="C585" s="5" t="s">
        <v>1360</v>
      </c>
      <c r="D585" s="5"/>
      <c r="E585" s="5"/>
      <c r="F585" s="5"/>
      <c r="G585" s="5"/>
      <c r="H585" s="5" t="n">
        <f aca="false">(COUNTIF(J585:EC585,"=0")+COUNTIF(J585:EC585,"=1"))</f>
        <v>7</v>
      </c>
      <c r="I585" s="19" t="n">
        <f aca="false">IFERROR(ROUND(10-AVERAGE(J585:EC585)*10,0),0)</f>
        <v>4</v>
      </c>
      <c r="J585" s="11" t="n">
        <v>1</v>
      </c>
      <c r="K585" s="11" t="n">
        <v>0</v>
      </c>
      <c r="L585" s="11" t="n">
        <v>1</v>
      </c>
      <c r="M585" s="5"/>
      <c r="N585" s="5"/>
      <c r="O585" s="11" t="n">
        <v>0</v>
      </c>
      <c r="P585" s="11" t="n">
        <v>1</v>
      </c>
      <c r="Q585" s="5"/>
      <c r="R585" s="5"/>
      <c r="S585" s="11"/>
      <c r="T585" s="11" t="n">
        <v>0</v>
      </c>
      <c r="U585" s="11" t="n">
        <v>1</v>
      </c>
      <c r="V585" s="5"/>
      <c r="W585" s="5"/>
      <c r="X585" s="5"/>
      <c r="Y585" s="5"/>
      <c r="Z585" s="5"/>
      <c r="AA585" s="5"/>
      <c r="AB585" s="5"/>
    </row>
    <row r="586" customFormat="false" ht="15.75" hidden="false" customHeight="false" outlineLevel="0" collapsed="false">
      <c r="A586" s="5" t="s">
        <v>1329</v>
      </c>
      <c r="B586" s="5" t="s">
        <v>1354</v>
      </c>
      <c r="C586" s="5" t="s">
        <v>1361</v>
      </c>
      <c r="D586" s="5"/>
      <c r="E586" s="5"/>
      <c r="F586" s="5"/>
      <c r="G586" s="5"/>
      <c r="H586" s="5" t="n">
        <f aca="false">(COUNTIF(J586:EC586,"=0")+COUNTIF(J586:EC586,"=1"))</f>
        <v>7</v>
      </c>
      <c r="I586" s="15" t="n">
        <f aca="false">IFERROR(ROUND(10-AVERAGE(J586:EC586)*10,0),0)</f>
        <v>6</v>
      </c>
      <c r="J586" s="11" t="n">
        <v>1</v>
      </c>
      <c r="K586" s="11" t="n">
        <v>0</v>
      </c>
      <c r="L586" s="11" t="n">
        <v>0</v>
      </c>
      <c r="M586" s="5"/>
      <c r="N586" s="5"/>
      <c r="O586" s="11" t="n">
        <v>0</v>
      </c>
      <c r="P586" s="11" t="n">
        <v>1</v>
      </c>
      <c r="Q586" s="5"/>
      <c r="R586" s="5"/>
      <c r="S586" s="11"/>
      <c r="T586" s="11" t="n">
        <v>0</v>
      </c>
      <c r="U586" s="11" t="n">
        <v>1</v>
      </c>
      <c r="V586" s="5"/>
      <c r="W586" s="5"/>
      <c r="X586" s="5"/>
      <c r="Y586" s="5"/>
      <c r="Z586" s="5"/>
      <c r="AA586" s="5"/>
      <c r="AB586" s="5"/>
    </row>
    <row r="587" customFormat="false" ht="15.75" hidden="false" customHeight="false" outlineLevel="0" collapsed="false">
      <c r="A587" s="5" t="s">
        <v>1329</v>
      </c>
      <c r="B587" s="5" t="s">
        <v>1354</v>
      </c>
      <c r="C587" s="5" t="s">
        <v>1362</v>
      </c>
      <c r="D587" s="5"/>
      <c r="E587" s="5"/>
      <c r="F587" s="5"/>
      <c r="G587" s="5"/>
      <c r="H587" s="5" t="n">
        <f aca="false">(COUNTIF(J587:EC587,"=0")+COUNTIF(J587:EC587,"=1"))</f>
        <v>7</v>
      </c>
      <c r="I587" s="15" t="n">
        <f aca="false">IFERROR(ROUND(10-AVERAGE(J587:EC587)*10,0),0)</f>
        <v>6</v>
      </c>
      <c r="J587" s="11" t="n">
        <v>1</v>
      </c>
      <c r="K587" s="11" t="n">
        <v>0</v>
      </c>
      <c r="L587" s="11" t="n">
        <v>0</v>
      </c>
      <c r="M587" s="5"/>
      <c r="N587" s="5"/>
      <c r="O587" s="11" t="n">
        <v>0</v>
      </c>
      <c r="P587" s="11" t="n">
        <v>1</v>
      </c>
      <c r="Q587" s="5"/>
      <c r="R587" s="5"/>
      <c r="S587" s="11"/>
      <c r="T587" s="11" t="n">
        <v>0</v>
      </c>
      <c r="U587" s="11" t="n">
        <v>1</v>
      </c>
      <c r="V587" s="5"/>
      <c r="W587" s="5"/>
      <c r="X587" s="5"/>
      <c r="Y587" s="5"/>
      <c r="Z587" s="5"/>
      <c r="AA587" s="5"/>
      <c r="AB587" s="5"/>
    </row>
    <row r="588" customFormat="false" ht="15.75" hidden="false" customHeight="false" outlineLevel="0" collapsed="false">
      <c r="A588" s="5" t="s">
        <v>1329</v>
      </c>
      <c r="B588" s="5" t="s">
        <v>1354</v>
      </c>
      <c r="C588" s="5" t="s">
        <v>1363</v>
      </c>
      <c r="D588" s="5"/>
      <c r="E588" s="5"/>
      <c r="F588" s="5"/>
      <c r="G588" s="5"/>
      <c r="H588" s="5" t="n">
        <f aca="false">(COUNTIF(J588:EC588,"=0")+COUNTIF(J588:EC588,"=1"))</f>
        <v>7</v>
      </c>
      <c r="I588" s="15" t="n">
        <f aca="false">IFERROR(ROUND(10-AVERAGE(J588:EC588)*10,0),0)</f>
        <v>6</v>
      </c>
      <c r="J588" s="11" t="n">
        <v>1</v>
      </c>
      <c r="K588" s="11" t="n">
        <v>0</v>
      </c>
      <c r="L588" s="11" t="n">
        <v>0</v>
      </c>
      <c r="M588" s="5"/>
      <c r="N588" s="5"/>
      <c r="O588" s="11" t="n">
        <v>0</v>
      </c>
      <c r="P588" s="11" t="n">
        <v>1</v>
      </c>
      <c r="Q588" s="5"/>
      <c r="R588" s="5"/>
      <c r="S588" s="11"/>
      <c r="T588" s="11" t="n">
        <v>0</v>
      </c>
      <c r="U588" s="11" t="n">
        <v>1</v>
      </c>
      <c r="V588" s="5"/>
      <c r="W588" s="5"/>
      <c r="X588" s="5"/>
      <c r="Y588" s="5"/>
      <c r="Z588" s="5"/>
      <c r="AA588" s="5"/>
      <c r="AB588" s="5"/>
    </row>
    <row r="589" customFormat="false" ht="15.75" hidden="false" customHeight="false" outlineLevel="0" collapsed="false">
      <c r="A589" s="5" t="s">
        <v>1329</v>
      </c>
      <c r="B589" s="5" t="s">
        <v>1354</v>
      </c>
      <c r="C589" s="5" t="s">
        <v>1364</v>
      </c>
      <c r="D589" s="5"/>
      <c r="E589" s="5"/>
      <c r="F589" s="5"/>
      <c r="G589" s="5"/>
      <c r="H589" s="5" t="n">
        <f aca="false">(COUNTIF(J589:EC589,"=0")+COUNTIF(J589:EC589,"=1"))</f>
        <v>7</v>
      </c>
      <c r="I589" s="19" t="n">
        <f aca="false">IFERROR(ROUND(10-AVERAGE(J589:EC589)*10,0),0)</f>
        <v>4</v>
      </c>
      <c r="J589" s="11" t="n">
        <v>1</v>
      </c>
      <c r="K589" s="11" t="n">
        <v>0</v>
      </c>
      <c r="L589" s="11" t="n">
        <v>1</v>
      </c>
      <c r="M589" s="5"/>
      <c r="N589" s="5"/>
      <c r="O589" s="11" t="n">
        <v>0</v>
      </c>
      <c r="P589" s="11" t="n">
        <v>1</v>
      </c>
      <c r="Q589" s="5"/>
      <c r="R589" s="5"/>
      <c r="S589" s="11"/>
      <c r="T589" s="11" t="n">
        <v>0</v>
      </c>
      <c r="U589" s="11" t="n">
        <v>1</v>
      </c>
      <c r="V589" s="5"/>
      <c r="W589" s="5"/>
      <c r="X589" s="5"/>
      <c r="Y589" s="5"/>
      <c r="Z589" s="5"/>
      <c r="AA589" s="5"/>
      <c r="AB589" s="5"/>
    </row>
    <row r="590" customFormat="false" ht="15.75" hidden="false" customHeight="false" outlineLevel="0" collapsed="false">
      <c r="A590" s="5" t="s">
        <v>1329</v>
      </c>
      <c r="B590" s="5" t="s">
        <v>1354</v>
      </c>
      <c r="C590" s="5" t="s">
        <v>1365</v>
      </c>
      <c r="D590" s="5"/>
      <c r="E590" s="5"/>
      <c r="F590" s="5"/>
      <c r="G590" s="5"/>
      <c r="H590" s="5" t="n">
        <f aca="false">(COUNTIF(J590:EC590,"=0")+COUNTIF(J590:EC590,"=1"))</f>
        <v>8</v>
      </c>
      <c r="I590" s="19" t="n">
        <f aca="false">IFERROR(ROUND(10-AVERAGE(J590:EC590)*10,0),0)</f>
        <v>5</v>
      </c>
      <c r="J590" s="11" t="n">
        <v>1</v>
      </c>
      <c r="K590" s="11" t="n">
        <v>0</v>
      </c>
      <c r="L590" s="11" t="n">
        <v>1</v>
      </c>
      <c r="M590" s="5"/>
      <c r="N590" s="5"/>
      <c r="O590" s="11" t="n">
        <v>0</v>
      </c>
      <c r="P590" s="11" t="n">
        <v>1</v>
      </c>
      <c r="Q590" s="5"/>
      <c r="R590" s="5"/>
      <c r="S590" s="11"/>
      <c r="T590" s="11" t="n">
        <v>0</v>
      </c>
      <c r="U590" s="11" t="n">
        <v>1</v>
      </c>
      <c r="V590" s="5"/>
      <c r="W590" s="5"/>
      <c r="X590" s="5"/>
      <c r="Y590" s="5"/>
      <c r="Z590" s="5"/>
      <c r="AA590" s="5"/>
      <c r="AB590" s="5"/>
      <c r="AF590" s="5" t="n">
        <v>0</v>
      </c>
    </row>
    <row r="591" customFormat="false" ht="15.75" hidden="false" customHeight="false" outlineLevel="0" collapsed="false">
      <c r="A591" s="5" t="s">
        <v>1329</v>
      </c>
      <c r="B591" s="5" t="s">
        <v>1354</v>
      </c>
      <c r="C591" s="5" t="s">
        <v>1366</v>
      </c>
      <c r="D591" s="5"/>
      <c r="E591" s="5"/>
      <c r="F591" s="5"/>
      <c r="G591" s="5"/>
      <c r="H591" s="5" t="n">
        <f aca="false">(COUNTIF(J591:EC591,"=0")+COUNTIF(J591:EC591,"=1"))</f>
        <v>7</v>
      </c>
      <c r="I591" s="15" t="n">
        <f aca="false">IFERROR(ROUND(10-AVERAGE(J591:EC591)*10,0),0)</f>
        <v>6</v>
      </c>
      <c r="J591" s="11" t="n">
        <v>1</v>
      </c>
      <c r="K591" s="11" t="n">
        <v>0</v>
      </c>
      <c r="L591" s="11" t="n">
        <v>0</v>
      </c>
      <c r="M591" s="5"/>
      <c r="N591" s="5"/>
      <c r="O591" s="11" t="n">
        <v>0</v>
      </c>
      <c r="P591" s="11" t="n">
        <v>1</v>
      </c>
      <c r="Q591" s="5"/>
      <c r="R591" s="5"/>
      <c r="S591" s="11"/>
      <c r="T591" s="11" t="n">
        <v>0</v>
      </c>
      <c r="U591" s="11" t="n">
        <v>1</v>
      </c>
      <c r="V591" s="5"/>
      <c r="W591" s="5"/>
      <c r="X591" s="5"/>
      <c r="Y591" s="5"/>
      <c r="Z591" s="5"/>
      <c r="AA591" s="5"/>
      <c r="AB591" s="5"/>
    </row>
    <row r="592" customFormat="false" ht="15.75" hidden="false" customHeight="false" outlineLevel="0" collapsed="false">
      <c r="A592" s="5" t="s">
        <v>1329</v>
      </c>
      <c r="B592" s="5" t="s">
        <v>1354</v>
      </c>
      <c r="C592" s="5" t="s">
        <v>1367</v>
      </c>
      <c r="D592" s="5"/>
      <c r="E592" s="5"/>
      <c r="G592" s="5"/>
      <c r="H592" s="5" t="n">
        <f aca="false">(COUNTIF(J592:EC592,"=0")+COUNTIF(J592:EC592,"=1"))</f>
        <v>8</v>
      </c>
      <c r="I592" s="21" t="n">
        <f aca="false">IFERROR(ROUND(10-AVERAGE(J592:EC592)*10,0),0)</f>
        <v>3</v>
      </c>
      <c r="J592" s="11" t="n">
        <v>1</v>
      </c>
      <c r="K592" s="11" t="n">
        <v>0</v>
      </c>
      <c r="L592" s="11" t="n">
        <v>1</v>
      </c>
      <c r="M592" s="11" t="n">
        <v>1</v>
      </c>
      <c r="N592" s="5"/>
      <c r="O592" s="11" t="n">
        <v>0</v>
      </c>
      <c r="P592" s="11" t="n">
        <v>1</v>
      </c>
      <c r="Q592" s="5"/>
      <c r="R592" s="5"/>
      <c r="S592" s="11"/>
      <c r="T592" s="11" t="n">
        <v>1</v>
      </c>
      <c r="U592" s="11" t="n">
        <v>1</v>
      </c>
      <c r="V592" s="5"/>
      <c r="W592" s="5"/>
      <c r="X592" s="5"/>
      <c r="Y592" s="5"/>
      <c r="Z592" s="5"/>
      <c r="AA592" s="5"/>
      <c r="AB592" s="5"/>
    </row>
    <row r="593" customFormat="false" ht="15.75" hidden="false" customHeight="false" outlineLevel="0" collapsed="false">
      <c r="A593" s="5" t="s">
        <v>1329</v>
      </c>
      <c r="B593" s="5" t="s">
        <v>1354</v>
      </c>
      <c r="C593" s="5" t="s">
        <v>72</v>
      </c>
      <c r="D593" s="5"/>
      <c r="E593" s="5"/>
      <c r="F593" s="5"/>
      <c r="G593" s="5"/>
      <c r="H593" s="5" t="n">
        <f aca="false">(COUNTIF(J593:EC593,"=0")+COUNTIF(J593:EC593,"=1"))</f>
        <v>7</v>
      </c>
      <c r="I593" s="19" t="n">
        <f aca="false">IFERROR(ROUND(10-AVERAGE(J593:EC593)*10,0),0)</f>
        <v>4</v>
      </c>
      <c r="J593" s="11" t="n">
        <v>1</v>
      </c>
      <c r="K593" s="11" t="n">
        <v>0</v>
      </c>
      <c r="L593" s="11" t="n">
        <v>0</v>
      </c>
      <c r="M593" s="5"/>
      <c r="N593" s="5"/>
      <c r="O593" s="11" t="n">
        <v>0</v>
      </c>
      <c r="P593" s="11" t="n">
        <v>1</v>
      </c>
      <c r="Q593" s="5"/>
      <c r="R593" s="5"/>
      <c r="S593" s="11"/>
      <c r="T593" s="11" t="n">
        <v>1</v>
      </c>
      <c r="U593" s="11" t="n">
        <v>1</v>
      </c>
      <c r="V593" s="5"/>
      <c r="W593" s="5"/>
      <c r="X593" s="5"/>
      <c r="Y593" s="5"/>
      <c r="Z593" s="5"/>
      <c r="AA593" s="5"/>
      <c r="AB593" s="5"/>
    </row>
    <row r="594" customFormat="false" ht="15.75" hidden="false" customHeight="false" outlineLevel="0" collapsed="false">
      <c r="A594" s="5" t="s">
        <v>1329</v>
      </c>
      <c r="B594" s="5" t="s">
        <v>1354</v>
      </c>
      <c r="C594" s="5" t="s">
        <v>1368</v>
      </c>
      <c r="D594" s="5"/>
      <c r="E594" s="5"/>
      <c r="F594" s="5"/>
      <c r="G594" s="5"/>
      <c r="H594" s="5" t="n">
        <f aca="false">(COUNTIF(J594:EC594,"=0")+COUNTIF(J594:EC594,"=1"))</f>
        <v>7</v>
      </c>
      <c r="I594" s="15" t="n">
        <f aca="false">IFERROR(ROUND(10-AVERAGE(J594:EC594)*10,0),0)</f>
        <v>6</v>
      </c>
      <c r="J594" s="11" t="n">
        <v>1</v>
      </c>
      <c r="K594" s="11" t="n">
        <v>0</v>
      </c>
      <c r="L594" s="11" t="n">
        <v>0</v>
      </c>
      <c r="M594" s="5"/>
      <c r="N594" s="5"/>
      <c r="O594" s="11" t="n">
        <v>0</v>
      </c>
      <c r="P594" s="11" t="n">
        <v>1</v>
      </c>
      <c r="Q594" s="5"/>
      <c r="R594" s="5"/>
      <c r="S594" s="11"/>
      <c r="T594" s="11" t="n">
        <v>0</v>
      </c>
      <c r="U594" s="11" t="n">
        <v>1</v>
      </c>
      <c r="V594" s="5"/>
      <c r="W594" s="5"/>
      <c r="X594" s="5"/>
      <c r="Y594" s="5"/>
      <c r="Z594" s="5"/>
      <c r="AA594" s="5"/>
      <c r="AB594" s="5"/>
    </row>
    <row r="595" customFormat="false" ht="15.75" hidden="false" customHeight="false" outlineLevel="0" collapsed="false">
      <c r="A595" s="5" t="s">
        <v>1329</v>
      </c>
      <c r="B595" s="5" t="s">
        <v>1354</v>
      </c>
      <c r="C595" s="5" t="s">
        <v>1369</v>
      </c>
      <c r="D595" s="5"/>
      <c r="E595" s="5"/>
      <c r="F595" s="5"/>
      <c r="G595" s="5"/>
      <c r="H595" s="5" t="n">
        <f aca="false">(COUNTIF(J595:EC595,"=0")+COUNTIF(J595:EC595,"=1"))</f>
        <v>7</v>
      </c>
      <c r="I595" s="15" t="n">
        <f aca="false">IFERROR(ROUND(10-AVERAGE(J595:EC595)*10,0),0)</f>
        <v>6</v>
      </c>
      <c r="J595" s="11" t="n">
        <v>1</v>
      </c>
      <c r="K595" s="11" t="n">
        <v>0</v>
      </c>
      <c r="L595" s="11" t="n">
        <v>0</v>
      </c>
      <c r="M595" s="5"/>
      <c r="N595" s="5"/>
      <c r="O595" s="11" t="n">
        <v>0</v>
      </c>
      <c r="P595" s="11" t="n">
        <v>1</v>
      </c>
      <c r="Q595" s="5"/>
      <c r="R595" s="5"/>
      <c r="S595" s="11"/>
      <c r="T595" s="11" t="n">
        <v>0</v>
      </c>
      <c r="U595" s="11" t="n">
        <v>1</v>
      </c>
      <c r="V595" s="5"/>
      <c r="W595" s="5"/>
      <c r="X595" s="5"/>
      <c r="Y595" s="5"/>
      <c r="Z595" s="5"/>
      <c r="AA595" s="5"/>
      <c r="AB595" s="5"/>
    </row>
    <row r="596" customFormat="false" ht="15.75" hidden="false" customHeight="false" outlineLevel="0" collapsed="false">
      <c r="A596" s="5" t="s">
        <v>1329</v>
      </c>
      <c r="B596" s="5" t="s">
        <v>1354</v>
      </c>
      <c r="C596" s="5" t="s">
        <v>1370</v>
      </c>
      <c r="D596" s="5"/>
      <c r="E596" s="5"/>
      <c r="F596" s="5"/>
      <c r="G596" s="5"/>
      <c r="H596" s="5" t="n">
        <f aca="false">(COUNTIF(J596:EC596,"=0")+COUNTIF(J596:EC596,"=1"))</f>
        <v>4</v>
      </c>
      <c r="I596" s="19" t="n">
        <f aca="false">IFERROR(ROUND(10-AVERAGE(J596:EC596)*10,0),0)</f>
        <v>5</v>
      </c>
      <c r="J596" s="11" t="n">
        <v>1</v>
      </c>
      <c r="K596" s="11" t="n">
        <v>0</v>
      </c>
      <c r="L596" s="5"/>
      <c r="M596" s="5"/>
      <c r="N596" s="5"/>
      <c r="O596" s="5"/>
      <c r="P596" s="11" t="n">
        <v>1</v>
      </c>
      <c r="Q596" s="5"/>
      <c r="R596" s="5"/>
      <c r="S596" s="5"/>
      <c r="T596" s="5"/>
      <c r="U596" s="5"/>
      <c r="V596" s="5"/>
      <c r="W596" s="5"/>
      <c r="X596" s="5"/>
      <c r="Y596" s="5"/>
      <c r="Z596" s="11" t="n">
        <v>0</v>
      </c>
      <c r="AA596" s="5"/>
      <c r="AB596" s="5"/>
    </row>
    <row r="597" customFormat="false" ht="15.75" hidden="false" customHeight="false" outlineLevel="0" collapsed="false">
      <c r="A597" s="5" t="s">
        <v>1371</v>
      </c>
      <c r="D597" s="5"/>
      <c r="E597" s="5"/>
      <c r="F597" s="5"/>
      <c r="G597" s="5"/>
      <c r="H597" s="5" t="n">
        <f aca="false">(COUNTIF(J597:EC597,"=0")+COUNTIF(J597:EC597,"=1"))</f>
        <v>1</v>
      </c>
      <c r="I597" s="18" t="n">
        <f aca="false">IFERROR(ROUND(10-AVERAGE(J597:EC597)*10,0),0)</f>
        <v>0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11" t="n">
        <v>1</v>
      </c>
      <c r="V597" s="5"/>
      <c r="W597" s="5"/>
      <c r="X597" s="5"/>
      <c r="Y597" s="5"/>
      <c r="Z597" s="5"/>
      <c r="AA597" s="5"/>
      <c r="AB597" s="5"/>
    </row>
    <row r="598" customFormat="false" ht="15.75" hidden="false" customHeight="false" outlineLevel="0" collapsed="false">
      <c r="A598" s="5" t="s">
        <v>1372</v>
      </c>
      <c r="D598" s="5"/>
      <c r="E598" s="5"/>
      <c r="F598" s="5"/>
      <c r="G598" s="5"/>
      <c r="H598" s="5" t="n">
        <f aca="false">(COUNTIF(J598:EC598,"=0")+COUNTIF(J598:EC598,"=1"))</f>
        <v>1</v>
      </c>
      <c r="I598" s="18" t="n">
        <f aca="false">IFERROR(ROUND(10-AVERAGE(J598:EC598)*10,0),0)</f>
        <v>0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11" t="n">
        <v>1</v>
      </c>
      <c r="V598" s="5"/>
      <c r="W598" s="5"/>
      <c r="X598" s="5"/>
      <c r="Y598" s="5"/>
      <c r="Z598" s="5"/>
      <c r="AA598" s="5"/>
      <c r="AB598" s="5"/>
    </row>
    <row r="599" customFormat="false" ht="15.75" hidden="false" customHeight="false" outlineLevel="0" collapsed="false">
      <c r="A599" s="5" t="s">
        <v>1373</v>
      </c>
      <c r="B599" s="5" t="s">
        <v>1374</v>
      </c>
      <c r="C599" s="5" t="s">
        <v>1375</v>
      </c>
      <c r="D599" s="5"/>
      <c r="E599" s="5"/>
      <c r="F599" s="5"/>
      <c r="G599" s="9" t="s">
        <v>1376</v>
      </c>
      <c r="H599" s="5" t="n">
        <f aca="false">(COUNTIF(J599:EC599,"=0")+COUNTIF(J599:EC599,"=1"))</f>
        <v>7</v>
      </c>
      <c r="I599" s="12" t="n">
        <f aca="false">IFERROR(ROUND(10-AVERAGE(J599:EC599)*10,0),0)</f>
        <v>9</v>
      </c>
      <c r="J599" s="11" t="n">
        <v>0</v>
      </c>
      <c r="K599" s="11" t="n">
        <v>0</v>
      </c>
      <c r="L599" s="5"/>
      <c r="M599" s="5"/>
      <c r="N599" s="5"/>
      <c r="O599" s="5"/>
      <c r="P599" s="11" t="n">
        <v>1</v>
      </c>
      <c r="Q599" s="5" t="n">
        <v>0</v>
      </c>
      <c r="R599" s="5"/>
      <c r="S599" s="5"/>
      <c r="T599" s="11" t="n">
        <v>0</v>
      </c>
      <c r="U599" s="5"/>
      <c r="V599" s="5"/>
      <c r="W599" s="5"/>
      <c r="X599" s="5"/>
      <c r="Y599" s="5"/>
      <c r="Z599" s="11" t="n">
        <v>0</v>
      </c>
      <c r="AA599" s="5"/>
      <c r="AB599" s="5"/>
      <c r="AF599" s="5" t="n">
        <v>0</v>
      </c>
    </row>
    <row r="600" customFormat="false" ht="15.75" hidden="false" customHeight="false" outlineLevel="0" collapsed="false">
      <c r="A600" s="5" t="s">
        <v>1377</v>
      </c>
      <c r="B600" s="5" t="s">
        <v>1378</v>
      </c>
      <c r="C600" s="5" t="s">
        <v>1379</v>
      </c>
      <c r="D600" s="5"/>
      <c r="E600" s="5"/>
      <c r="F600" s="5"/>
      <c r="G600" s="9" t="s">
        <v>1380</v>
      </c>
      <c r="H600" s="5" t="n">
        <f aca="false">(COUNTIF(J600:EC600,"=0")+COUNTIF(J600:EC600,"=1"))</f>
        <v>6</v>
      </c>
      <c r="I600" s="16" t="n">
        <f aca="false">IFERROR(ROUND(10-AVERAGE(J600:EC600)*10,0),0)</f>
        <v>8</v>
      </c>
      <c r="J600" s="5" t="n">
        <v>0</v>
      </c>
      <c r="K600" s="11" t="n">
        <v>0</v>
      </c>
      <c r="L600" s="5"/>
      <c r="M600" s="5"/>
      <c r="N600" s="5"/>
      <c r="O600" s="5"/>
      <c r="P600" s="11" t="n">
        <v>1</v>
      </c>
      <c r="Q600" s="5"/>
      <c r="R600" s="5"/>
      <c r="S600" s="5"/>
      <c r="T600" s="5"/>
      <c r="U600" s="5"/>
      <c r="V600" s="5"/>
      <c r="W600" s="5" t="n">
        <v>0</v>
      </c>
      <c r="X600" s="5"/>
      <c r="Y600" s="5"/>
      <c r="Z600" s="11" t="n">
        <v>0</v>
      </c>
      <c r="AA600" s="5"/>
      <c r="AB600" s="5"/>
      <c r="AD600" s="5" t="n">
        <v>0</v>
      </c>
    </row>
    <row r="601" customFormat="false" ht="15.75" hidden="false" customHeight="false" outlineLevel="0" collapsed="false">
      <c r="A601" s="5" t="s">
        <v>1381</v>
      </c>
      <c r="B601" s="5" t="s">
        <v>1382</v>
      </c>
      <c r="C601" s="5" t="s">
        <v>1383</v>
      </c>
      <c r="D601" s="5"/>
      <c r="E601" s="5"/>
      <c r="F601" s="5"/>
      <c r="G601" s="9" t="s">
        <v>1384</v>
      </c>
      <c r="H601" s="5" t="n">
        <f aca="false">(COUNTIF(J601:EC601,"=0")+COUNTIF(J601:EC601,"=1"))</f>
        <v>7</v>
      </c>
      <c r="I601" s="12" t="n">
        <f aca="false">IFERROR(ROUND(10-AVERAGE(J601:EC601)*10,0),0)</f>
        <v>9</v>
      </c>
      <c r="J601" s="11" t="n">
        <v>0</v>
      </c>
      <c r="K601" s="11" t="n">
        <v>0</v>
      </c>
      <c r="L601" s="5"/>
      <c r="M601" s="5"/>
      <c r="N601" s="5"/>
      <c r="O601" s="5"/>
      <c r="P601" s="11" t="n">
        <v>1</v>
      </c>
      <c r="Q601" s="5" t="n">
        <v>0</v>
      </c>
      <c r="R601" s="5"/>
      <c r="S601" s="5"/>
      <c r="T601" s="5"/>
      <c r="U601" s="11" t="n">
        <v>0</v>
      </c>
      <c r="V601" s="5"/>
      <c r="W601" s="5" t="n">
        <v>0</v>
      </c>
      <c r="X601" s="5"/>
      <c r="Y601" s="5"/>
      <c r="Z601" s="11" t="n">
        <v>0</v>
      </c>
      <c r="AA601" s="5"/>
      <c r="AB601" s="5"/>
    </row>
    <row r="602" customFormat="false" ht="15.75" hidden="false" customHeight="false" outlineLevel="0" collapsed="false">
      <c r="A602" s="5" t="s">
        <v>1385</v>
      </c>
      <c r="B602" s="31" t="s">
        <v>1386</v>
      </c>
      <c r="C602" s="5" t="s">
        <v>1387</v>
      </c>
      <c r="D602" s="5"/>
      <c r="E602" s="5"/>
      <c r="F602" s="5"/>
      <c r="G602" s="9" t="s">
        <v>1388</v>
      </c>
      <c r="H602" s="5" t="n">
        <f aca="false">(COUNTIF(J602:EC602,"=0")+COUNTIF(J602:EC602,"=1"))</f>
        <v>9</v>
      </c>
      <c r="I602" s="15" t="n">
        <f aca="false">IFERROR(ROUND(10-AVERAGE(J602:EC602)*10,0),0)</f>
        <v>6</v>
      </c>
      <c r="J602" s="11" t="n">
        <v>1</v>
      </c>
      <c r="K602" s="11" t="n">
        <v>0</v>
      </c>
      <c r="L602" s="5"/>
      <c r="M602" s="5"/>
      <c r="N602" s="5"/>
      <c r="O602" s="11" t="n">
        <v>0</v>
      </c>
      <c r="P602" s="11" t="n">
        <v>1</v>
      </c>
      <c r="Q602" s="11" t="n">
        <v>1</v>
      </c>
      <c r="R602" s="5"/>
      <c r="S602" s="11" t="n">
        <v>0</v>
      </c>
      <c r="T602" s="11" t="n">
        <v>0</v>
      </c>
      <c r="U602" s="11" t="n">
        <v>1</v>
      </c>
      <c r="V602" s="5"/>
      <c r="W602" s="5"/>
      <c r="X602" s="5"/>
      <c r="Y602" s="5"/>
      <c r="Z602" s="5"/>
      <c r="AA602" s="11" t="n">
        <v>0</v>
      </c>
      <c r="AB602" s="5"/>
    </row>
    <row r="603" customFormat="false" ht="15.75" hidden="false" customHeight="false" outlineLevel="0" collapsed="false">
      <c r="A603" s="5" t="s">
        <v>1385</v>
      </c>
      <c r="B603" s="31" t="s">
        <v>1386</v>
      </c>
      <c r="C603" s="5" t="s">
        <v>1389</v>
      </c>
      <c r="D603" s="5"/>
      <c r="E603" s="5"/>
      <c r="F603" s="5"/>
      <c r="G603" s="5"/>
      <c r="H603" s="5" t="n">
        <f aca="false">(COUNTIF(J603:EC603,"=0")+COUNTIF(J603:EC603,"=1"))</f>
        <v>4</v>
      </c>
      <c r="I603" s="10" t="n">
        <f aca="false">IFERROR(ROUND(10-AVERAGE(J603:EC603)*10,0),0)</f>
        <v>10</v>
      </c>
      <c r="J603" s="5" t="n">
        <v>0</v>
      </c>
      <c r="K603" s="11" t="n">
        <v>0</v>
      </c>
      <c r="L603" s="5"/>
      <c r="M603" s="5"/>
      <c r="N603" s="5"/>
      <c r="O603" s="5"/>
      <c r="P603" s="11" t="n">
        <v>0</v>
      </c>
      <c r="Q603" s="5"/>
      <c r="R603" s="5"/>
      <c r="S603" s="5"/>
      <c r="T603" s="5"/>
      <c r="U603" s="5"/>
      <c r="V603" s="5"/>
      <c r="W603" s="5"/>
      <c r="X603" s="5"/>
      <c r="Y603" s="5"/>
      <c r="Z603" s="11" t="n">
        <v>0</v>
      </c>
      <c r="AA603" s="5"/>
      <c r="AB603" s="5"/>
    </row>
    <row r="604" customFormat="false" ht="15.75" hidden="false" customHeight="false" outlineLevel="0" collapsed="false">
      <c r="A604" s="5" t="s">
        <v>1385</v>
      </c>
      <c r="B604" s="5" t="s">
        <v>1390</v>
      </c>
      <c r="C604" s="5" t="s">
        <v>1391</v>
      </c>
      <c r="D604" s="5"/>
      <c r="E604" s="5"/>
      <c r="F604" s="5"/>
      <c r="G604" s="9" t="s">
        <v>1392</v>
      </c>
      <c r="H604" s="5" t="n">
        <f aca="false">(COUNTIF(J604:EC604,"=0")+COUNTIF(J604:EC604,"=1"))</f>
        <v>10</v>
      </c>
      <c r="I604" s="23" t="n">
        <f aca="false">IFERROR(ROUND(10-AVERAGE(J604:EC604)*10,0),0)</f>
        <v>4</v>
      </c>
      <c r="J604" s="11" t="n">
        <v>1</v>
      </c>
      <c r="K604" s="11" t="n">
        <v>0</v>
      </c>
      <c r="L604" s="5"/>
      <c r="M604" s="5"/>
      <c r="N604" s="5"/>
      <c r="O604" s="11" t="n">
        <v>1</v>
      </c>
      <c r="P604" s="11" t="n">
        <v>1</v>
      </c>
      <c r="Q604" s="11" t="n">
        <v>1</v>
      </c>
      <c r="R604" s="5"/>
      <c r="S604" s="11" t="n">
        <v>0</v>
      </c>
      <c r="T604" s="11" t="n">
        <v>0</v>
      </c>
      <c r="U604" s="11" t="n">
        <v>1</v>
      </c>
      <c r="V604" s="5"/>
      <c r="W604" s="5"/>
      <c r="X604" s="5"/>
      <c r="Y604" s="5"/>
      <c r="Z604" s="5"/>
      <c r="AA604" s="5"/>
      <c r="AB604" s="5"/>
      <c r="AD604" s="5" t="n">
        <v>1</v>
      </c>
      <c r="AF604" s="5" t="n">
        <v>0</v>
      </c>
    </row>
    <row r="605" customFormat="false" ht="15.75" hidden="false" customHeight="false" outlineLevel="0" collapsed="false">
      <c r="A605" s="5" t="s">
        <v>1393</v>
      </c>
      <c r="B605" s="5" t="s">
        <v>1394</v>
      </c>
      <c r="C605" s="5" t="s">
        <v>1395</v>
      </c>
      <c r="D605" s="5"/>
      <c r="E605" s="5"/>
      <c r="F605" s="5"/>
      <c r="G605" s="9" t="s">
        <v>1396</v>
      </c>
      <c r="H605" s="5" t="n">
        <f aca="false">(COUNTIF(J605:EC605,"=0")+COUNTIF(J605:EC605,"=1"))</f>
        <v>10</v>
      </c>
      <c r="I605" s="16" t="n">
        <f aca="false">IFERROR(ROUND(10-AVERAGE(J605:EC605)*10,0),0)</f>
        <v>7</v>
      </c>
      <c r="J605" s="11" t="n">
        <v>1</v>
      </c>
      <c r="K605" s="11" t="n">
        <v>0</v>
      </c>
      <c r="L605" s="11" t="n">
        <v>0</v>
      </c>
      <c r="M605" s="11" t="n">
        <v>0</v>
      </c>
      <c r="N605" s="5"/>
      <c r="O605" s="11" t="n">
        <v>0</v>
      </c>
      <c r="P605" s="11" t="n">
        <v>1</v>
      </c>
      <c r="Q605" s="11" t="n">
        <v>0</v>
      </c>
      <c r="R605" s="11" t="n">
        <v>1</v>
      </c>
      <c r="S605" s="5"/>
      <c r="T605" s="11" t="n">
        <v>0</v>
      </c>
      <c r="U605" s="5"/>
      <c r="V605" s="5"/>
      <c r="W605" s="5"/>
      <c r="X605" s="5"/>
      <c r="Y605" s="5"/>
      <c r="Z605" s="5"/>
      <c r="AA605" s="5"/>
      <c r="AB605" s="5"/>
      <c r="AF605" s="5" t="n">
        <v>0</v>
      </c>
    </row>
    <row r="606" customFormat="false" ht="15.75" hidden="false" customHeight="false" outlineLevel="0" collapsed="false">
      <c r="A606" s="5" t="s">
        <v>1393</v>
      </c>
      <c r="B606" s="5" t="s">
        <v>1394</v>
      </c>
      <c r="C606" s="5" t="s">
        <v>1397</v>
      </c>
      <c r="D606" s="5"/>
      <c r="E606" s="5"/>
      <c r="F606" s="5"/>
      <c r="G606" s="9" t="s">
        <v>1398</v>
      </c>
      <c r="H606" s="5" t="n">
        <f aca="false">(COUNTIF(J606:EC606,"=0")+COUNTIF(J606:EC606,"=1"))</f>
        <v>5</v>
      </c>
      <c r="I606" s="15" t="n">
        <f aca="false">IFERROR(ROUND(10-AVERAGE(J606:EC606)*10,0),0)</f>
        <v>6</v>
      </c>
      <c r="J606" s="11" t="n">
        <v>0</v>
      </c>
      <c r="K606" s="11" t="n">
        <v>0</v>
      </c>
      <c r="L606" s="5"/>
      <c r="M606" s="5"/>
      <c r="N606" s="5"/>
      <c r="O606" s="5"/>
      <c r="P606" s="11" t="n">
        <v>1</v>
      </c>
      <c r="Q606" s="5"/>
      <c r="R606" s="5"/>
      <c r="S606" s="5"/>
      <c r="T606" s="5"/>
      <c r="U606" s="5"/>
      <c r="V606" s="5"/>
      <c r="W606" s="11" t="n">
        <v>1</v>
      </c>
      <c r="X606" s="5"/>
      <c r="Y606" s="5"/>
      <c r="Z606" s="11" t="n">
        <v>0</v>
      </c>
      <c r="AA606" s="5"/>
      <c r="AB606" s="5"/>
    </row>
    <row r="607" customFormat="false" ht="15.75" hidden="false" customHeight="false" outlineLevel="0" collapsed="false">
      <c r="A607" s="5" t="s">
        <v>1393</v>
      </c>
      <c r="B607" s="5" t="s">
        <v>1394</v>
      </c>
      <c r="C607" s="5" t="s">
        <v>1399</v>
      </c>
      <c r="D607" s="5"/>
      <c r="E607" s="5"/>
      <c r="F607" s="5"/>
      <c r="G607" s="9" t="s">
        <v>1400</v>
      </c>
      <c r="H607" s="5" t="n">
        <f aca="false">(COUNTIF(J607:EC607,"=0")+COUNTIF(J607:EC607,"=1"))</f>
        <v>5</v>
      </c>
      <c r="I607" s="15" t="n">
        <f aca="false">IFERROR(ROUND(10-AVERAGE(J607:EC607)*10,0),0)</f>
        <v>6</v>
      </c>
      <c r="J607" s="11" t="n">
        <v>1</v>
      </c>
      <c r="K607" s="11" t="n">
        <v>0</v>
      </c>
      <c r="L607" s="5"/>
      <c r="M607" s="11" t="n">
        <v>0</v>
      </c>
      <c r="N607" s="5"/>
      <c r="O607" s="5"/>
      <c r="P607" s="11" t="n">
        <v>1</v>
      </c>
      <c r="Q607" s="5"/>
      <c r="R607" s="5"/>
      <c r="S607" s="5"/>
      <c r="T607" s="11" t="n">
        <v>0</v>
      </c>
      <c r="U607" s="5"/>
      <c r="V607" s="5"/>
      <c r="W607" s="5"/>
      <c r="X607" s="5"/>
      <c r="Y607" s="5"/>
      <c r="Z607" s="5"/>
      <c r="AA607" s="5"/>
      <c r="AB607" s="5"/>
    </row>
    <row r="608" customFormat="false" ht="15.75" hidden="false" customHeight="false" outlineLevel="0" collapsed="false">
      <c r="A608" s="5" t="s">
        <v>1393</v>
      </c>
      <c r="B608" s="5" t="s">
        <v>1394</v>
      </c>
      <c r="C608" s="5" t="s">
        <v>1401</v>
      </c>
      <c r="D608" s="5"/>
      <c r="E608" s="5"/>
      <c r="F608" s="5"/>
      <c r="G608" s="5"/>
      <c r="H608" s="5" t="n">
        <f aca="false">(COUNTIF(J608:EC608,"=0")+COUNTIF(J608:EC608,"=1"))</f>
        <v>1</v>
      </c>
      <c r="I608" s="15" t="n">
        <f aca="false">IFERROR(ROUND(10-AVERAGE(J608:EC608)*10,0),0)</f>
        <v>0</v>
      </c>
      <c r="J608" s="11"/>
      <c r="K608" s="11"/>
      <c r="L608" s="5"/>
      <c r="M608" s="11"/>
      <c r="N608" s="5"/>
      <c r="O608" s="5"/>
      <c r="P608" s="11" t="n">
        <v>1</v>
      </c>
      <c r="Q608" s="5"/>
      <c r="R608" s="5"/>
      <c r="S608" s="5"/>
      <c r="T608" s="11"/>
      <c r="U608" s="5"/>
      <c r="V608" s="5"/>
      <c r="W608" s="5"/>
      <c r="X608" s="5"/>
      <c r="Y608" s="5"/>
      <c r="Z608" s="5"/>
      <c r="AA608" s="5"/>
      <c r="AB608" s="5"/>
    </row>
    <row r="609" customFormat="false" ht="15.75" hidden="false" customHeight="false" outlineLevel="0" collapsed="false">
      <c r="A609" s="5" t="s">
        <v>1402</v>
      </c>
      <c r="B609" s="5" t="s">
        <v>1403</v>
      </c>
      <c r="C609" s="5" t="s">
        <v>1404</v>
      </c>
      <c r="D609" s="5"/>
      <c r="E609" s="5"/>
      <c r="F609" s="5"/>
      <c r="G609" s="5"/>
      <c r="H609" s="5" t="n">
        <f aca="false">(COUNTIF(J609:EC609,"=0")+COUNTIF(J609:EC609,"=1"))</f>
        <v>2</v>
      </c>
      <c r="I609" s="15" t="n">
        <f aca="false">IFERROR(ROUND(10-AVERAGE(J609:EC609)*10,0),0)</f>
        <v>5</v>
      </c>
      <c r="J609" s="5"/>
      <c r="K609" s="5"/>
      <c r="L609" s="5"/>
      <c r="M609" s="5"/>
      <c r="N609" s="5"/>
      <c r="O609" s="5"/>
      <c r="P609" s="5" t="n">
        <v>0</v>
      </c>
      <c r="Q609" s="5"/>
      <c r="R609" s="5" t="n">
        <v>1</v>
      </c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customFormat="false" ht="15.75" hidden="false" customHeight="false" outlineLevel="0" collapsed="false">
      <c r="A610" s="5" t="s">
        <v>1402</v>
      </c>
      <c r="B610" s="5" t="s">
        <v>1403</v>
      </c>
      <c r="C610" s="5" t="s">
        <v>1405</v>
      </c>
      <c r="D610" s="5"/>
      <c r="E610" s="5"/>
      <c r="F610" s="5"/>
      <c r="G610" s="5"/>
      <c r="H610" s="5" t="n">
        <f aca="false">(COUNTIF(J610:EC610,"=0")+COUNTIF(J610:EC610,"=1"))</f>
        <v>2</v>
      </c>
      <c r="I610" s="15" t="n">
        <f aca="false">IFERROR(ROUND(10-AVERAGE(J610:EC610)*10,0),0)</f>
        <v>5</v>
      </c>
      <c r="J610" s="5"/>
      <c r="K610" s="5"/>
      <c r="L610" s="5"/>
      <c r="M610" s="5"/>
      <c r="N610" s="5"/>
      <c r="O610" s="5"/>
      <c r="P610" s="5" t="n">
        <v>0</v>
      </c>
      <c r="Q610" s="5"/>
      <c r="R610" s="5" t="n">
        <v>1</v>
      </c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customFormat="false" ht="15.75" hidden="false" customHeight="false" outlineLevel="0" collapsed="false">
      <c r="A611" s="5" t="s">
        <v>1402</v>
      </c>
      <c r="B611" s="5" t="s">
        <v>1403</v>
      </c>
      <c r="C611" s="5" t="s">
        <v>1406</v>
      </c>
      <c r="D611" s="5" t="s">
        <v>1407</v>
      </c>
      <c r="E611" s="5"/>
      <c r="F611" s="5"/>
      <c r="G611" s="5"/>
      <c r="H611" s="5" t="n">
        <f aca="false">(COUNTIF(J611:EC611,"=0")+COUNTIF(J611:EC611,"=1"))</f>
        <v>2</v>
      </c>
      <c r="I611" s="15" t="n">
        <f aca="false">IFERROR(ROUND(10-AVERAGE(J611:EC611)*10,0),0)</f>
        <v>0</v>
      </c>
      <c r="J611" s="5"/>
      <c r="K611" s="5"/>
      <c r="L611" s="5"/>
      <c r="M611" s="5"/>
      <c r="N611" s="5"/>
      <c r="O611" s="5"/>
      <c r="P611" s="5" t="n">
        <v>1</v>
      </c>
      <c r="Q611" s="5"/>
      <c r="R611" s="5" t="n">
        <v>1</v>
      </c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customFormat="false" ht="15.75" hidden="false" customHeight="false" outlineLevel="0" collapsed="false">
      <c r="A612" s="5" t="s">
        <v>1402</v>
      </c>
      <c r="B612" s="5" t="s">
        <v>1403</v>
      </c>
      <c r="C612" s="5" t="s">
        <v>1408</v>
      </c>
      <c r="D612" s="5"/>
      <c r="E612" s="5"/>
      <c r="F612" s="5"/>
      <c r="G612" s="9" t="s">
        <v>1409</v>
      </c>
      <c r="H612" s="5" t="n">
        <f aca="false">(COUNTIF(J612:EC612,"=0")+COUNTIF(J612:EC612,"=1"))</f>
        <v>5</v>
      </c>
      <c r="I612" s="12" t="n">
        <f aca="false">IFERROR(ROUND(10-AVERAGE(J612:EC612)*10,0),0)</f>
        <v>6</v>
      </c>
      <c r="J612" s="11" t="n">
        <v>0</v>
      </c>
      <c r="K612" s="11" t="n">
        <v>0</v>
      </c>
      <c r="L612" s="5"/>
      <c r="M612" s="5"/>
      <c r="N612" s="5"/>
      <c r="O612" s="5"/>
      <c r="P612" s="11" t="n">
        <v>1</v>
      </c>
      <c r="Q612" s="5" t="n">
        <v>1</v>
      </c>
      <c r="R612" s="5"/>
      <c r="S612" s="5"/>
      <c r="T612" s="5"/>
      <c r="U612" s="5"/>
      <c r="V612" s="5"/>
      <c r="W612" s="5"/>
      <c r="X612" s="5"/>
      <c r="Y612" s="5"/>
      <c r="Z612" s="11" t="n">
        <v>0</v>
      </c>
      <c r="AA612" s="5"/>
      <c r="AB612" s="5"/>
    </row>
    <row r="613" customFormat="false" ht="15.75" hidden="false" customHeight="false" outlineLevel="0" collapsed="false">
      <c r="A613" s="5" t="s">
        <v>1402</v>
      </c>
      <c r="B613" s="5" t="s">
        <v>1410</v>
      </c>
      <c r="C613" s="5" t="s">
        <v>1411</v>
      </c>
      <c r="D613" s="5"/>
      <c r="E613" s="5"/>
      <c r="F613" s="5"/>
      <c r="G613" s="5"/>
      <c r="H613" s="5" t="n">
        <f aca="false">(COUNTIF(J613:EC613,"=0")+COUNTIF(J613:EC613,"=1"))</f>
        <v>2</v>
      </c>
      <c r="I613" s="15" t="n">
        <f aca="false">IFERROR(ROUND(10-AVERAGE(J613:EC613)*10,0),0)</f>
        <v>5</v>
      </c>
      <c r="J613" s="5"/>
      <c r="K613" s="5"/>
      <c r="L613" s="5"/>
      <c r="M613" s="5"/>
      <c r="N613" s="5"/>
      <c r="O613" s="5"/>
      <c r="P613" s="5" t="n">
        <v>0</v>
      </c>
      <c r="Q613" s="5"/>
      <c r="R613" s="5" t="n">
        <v>1</v>
      </c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customFormat="false" ht="15.75" hidden="false" customHeight="false" outlineLevel="0" collapsed="false">
      <c r="A614" s="5" t="s">
        <v>1402</v>
      </c>
      <c r="B614" s="5" t="s">
        <v>1412</v>
      </c>
      <c r="C614" s="5" t="s">
        <v>1413</v>
      </c>
      <c r="D614" s="5"/>
      <c r="E614" s="5"/>
      <c r="F614" s="5"/>
      <c r="G614" s="5"/>
      <c r="H614" s="5" t="n">
        <f aca="false">(COUNTIF(J614:EC614,"=0")+COUNTIF(J614:EC614,"=1"))</f>
        <v>2</v>
      </c>
      <c r="I614" s="15" t="n">
        <f aca="false">IFERROR(ROUND(10-AVERAGE(J614:EC614)*10,0),0)</f>
        <v>0</v>
      </c>
      <c r="J614" s="5"/>
      <c r="K614" s="5"/>
      <c r="L614" s="5"/>
      <c r="M614" s="5"/>
      <c r="N614" s="5"/>
      <c r="O614" s="5"/>
      <c r="P614" s="5" t="n">
        <v>1</v>
      </c>
      <c r="Q614" s="5"/>
      <c r="R614" s="5" t="n">
        <v>1</v>
      </c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customFormat="false" ht="15.75" hidden="false" customHeight="false" outlineLevel="0" collapsed="false">
      <c r="A615" s="5" t="s">
        <v>1402</v>
      </c>
      <c r="B615" s="5" t="s">
        <v>1412</v>
      </c>
      <c r="C615" s="5" t="s">
        <v>1414</v>
      </c>
      <c r="D615" s="5"/>
      <c r="E615" s="5"/>
      <c r="F615" s="5"/>
      <c r="G615" s="5"/>
      <c r="H615" s="5" t="n">
        <f aca="false">(COUNTIF(J615:EC615,"=0")+COUNTIF(J615:EC615,"=1"))</f>
        <v>2</v>
      </c>
      <c r="I615" s="15" t="n">
        <f aca="false">IFERROR(ROUND(10-AVERAGE(J615:EC615)*10,0),0)</f>
        <v>5</v>
      </c>
      <c r="J615" s="5"/>
      <c r="K615" s="5"/>
      <c r="L615" s="5"/>
      <c r="M615" s="5"/>
      <c r="N615" s="5"/>
      <c r="O615" s="5"/>
      <c r="P615" s="5" t="n">
        <v>0</v>
      </c>
      <c r="Q615" s="5"/>
      <c r="R615" s="5" t="n">
        <v>1</v>
      </c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customFormat="false" ht="15.75" hidden="false" customHeight="false" outlineLevel="0" collapsed="false">
      <c r="A616" s="5" t="s">
        <v>1402</v>
      </c>
      <c r="B616" s="5" t="s">
        <v>1412</v>
      </c>
      <c r="C616" s="5" t="s">
        <v>1415</v>
      </c>
      <c r="D616" s="5"/>
      <c r="E616" s="5"/>
      <c r="F616" s="5"/>
      <c r="G616" s="5"/>
      <c r="H616" s="5" t="n">
        <f aca="false">(COUNTIF(J616:EC616,"=0")+COUNTIF(J616:EC616,"=1"))</f>
        <v>2</v>
      </c>
      <c r="I616" s="15" t="n">
        <f aca="false">IFERROR(ROUND(10-AVERAGE(J616:EC616)*10,0),0)</f>
        <v>5</v>
      </c>
      <c r="J616" s="5"/>
      <c r="K616" s="5"/>
      <c r="L616" s="5"/>
      <c r="M616" s="5"/>
      <c r="N616" s="5"/>
      <c r="O616" s="5"/>
      <c r="P616" s="5" t="n">
        <v>0</v>
      </c>
      <c r="Q616" s="5"/>
      <c r="R616" s="5" t="n">
        <v>1</v>
      </c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customFormat="false" ht="15.75" hidden="false" customHeight="false" outlineLevel="0" collapsed="false">
      <c r="A617" s="5" t="s">
        <v>1402</v>
      </c>
      <c r="B617" s="5" t="s">
        <v>1416</v>
      </c>
      <c r="C617" s="5" t="s">
        <v>1417</v>
      </c>
      <c r="D617" s="5"/>
      <c r="E617" s="5"/>
      <c r="F617" s="5"/>
      <c r="G617" s="5"/>
      <c r="H617" s="5" t="n">
        <f aca="false">(COUNTIF(J617:EC617,"=0")+COUNTIF(J617:EC617,"=1"))</f>
        <v>2</v>
      </c>
      <c r="I617" s="15" t="n">
        <f aca="false">IFERROR(ROUND(10-AVERAGE(J617:EC617)*10,0),0)</f>
        <v>5</v>
      </c>
      <c r="J617" s="5"/>
      <c r="K617" s="5"/>
      <c r="L617" s="5"/>
      <c r="M617" s="5"/>
      <c r="N617" s="5"/>
      <c r="O617" s="5"/>
      <c r="P617" s="5" t="n">
        <v>0</v>
      </c>
      <c r="Q617" s="5"/>
      <c r="R617" s="5" t="n">
        <v>1</v>
      </c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customFormat="false" ht="15.75" hidden="false" customHeight="false" outlineLevel="0" collapsed="false">
      <c r="A618" s="5" t="s">
        <v>1402</v>
      </c>
      <c r="B618" s="5" t="s">
        <v>1416</v>
      </c>
      <c r="C618" s="5" t="s">
        <v>1418</v>
      </c>
      <c r="D618" s="5"/>
      <c r="E618" s="5"/>
      <c r="F618" s="5"/>
      <c r="G618" s="5"/>
      <c r="H618" s="5" t="n">
        <f aca="false">(COUNTIF(J618:EC618,"=0")+COUNTIF(J618:EC618,"=1"))</f>
        <v>2</v>
      </c>
      <c r="I618" s="15" t="n">
        <f aca="false">IFERROR(ROUND(10-AVERAGE(J618:EC618)*10,0),0)</f>
        <v>5</v>
      </c>
      <c r="J618" s="5"/>
      <c r="K618" s="5"/>
      <c r="L618" s="5"/>
      <c r="M618" s="5"/>
      <c r="N618" s="5"/>
      <c r="O618" s="5"/>
      <c r="P618" s="5" t="n">
        <v>0</v>
      </c>
      <c r="Q618" s="5"/>
      <c r="R618" s="5" t="n">
        <v>1</v>
      </c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customFormat="false" ht="15.75" hidden="false" customHeight="false" outlineLevel="0" collapsed="false">
      <c r="A619" s="5" t="s">
        <v>1402</v>
      </c>
      <c r="B619" s="5" t="s">
        <v>1416</v>
      </c>
      <c r="C619" s="5" t="s">
        <v>1419</v>
      </c>
      <c r="D619" s="5"/>
      <c r="E619" s="5"/>
      <c r="F619" s="5"/>
      <c r="G619" s="5"/>
      <c r="H619" s="5" t="n">
        <f aca="false">(COUNTIF(J619:EC619,"=0")+COUNTIF(J619:EC619,"=1"))</f>
        <v>2</v>
      </c>
      <c r="I619" s="15" t="n">
        <f aca="false">IFERROR(ROUND(10-AVERAGE(J619:EC619)*10,0),0)</f>
        <v>5</v>
      </c>
      <c r="J619" s="5"/>
      <c r="K619" s="5"/>
      <c r="L619" s="5"/>
      <c r="M619" s="5"/>
      <c r="N619" s="5"/>
      <c r="O619" s="5"/>
      <c r="P619" s="5" t="n">
        <v>0</v>
      </c>
      <c r="Q619" s="5"/>
      <c r="R619" s="5" t="n">
        <v>1</v>
      </c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customFormat="false" ht="15.75" hidden="false" customHeight="false" outlineLevel="0" collapsed="false">
      <c r="A620" s="5" t="s">
        <v>1402</v>
      </c>
      <c r="B620" s="5" t="s">
        <v>1420</v>
      </c>
      <c r="C620" s="5" t="s">
        <v>1421</v>
      </c>
      <c r="D620" s="5"/>
      <c r="E620" s="5"/>
      <c r="F620" s="5"/>
      <c r="G620" s="5"/>
      <c r="H620" s="5" t="n">
        <f aca="false">(COUNTIF(J620:EC620,"=0")+COUNTIF(J620:EC620,"=1"))</f>
        <v>2</v>
      </c>
      <c r="I620" s="15" t="n">
        <f aca="false">IFERROR(ROUND(10-AVERAGE(J620:EC620)*10,0),0)</f>
        <v>5</v>
      </c>
      <c r="J620" s="5"/>
      <c r="K620" s="5"/>
      <c r="L620" s="5"/>
      <c r="M620" s="5"/>
      <c r="N620" s="5"/>
      <c r="O620" s="5"/>
      <c r="P620" s="5" t="n">
        <v>0</v>
      </c>
      <c r="Q620" s="5"/>
      <c r="R620" s="5" t="n">
        <v>1</v>
      </c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customFormat="false" ht="15.75" hidden="false" customHeight="false" outlineLevel="0" collapsed="false">
      <c r="A621" s="5" t="s">
        <v>1402</v>
      </c>
      <c r="B621" s="5" t="s">
        <v>1422</v>
      </c>
      <c r="C621" s="5" t="s">
        <v>1423</v>
      </c>
      <c r="D621" s="5"/>
      <c r="E621" s="5"/>
      <c r="F621" s="5"/>
      <c r="G621" s="5"/>
      <c r="H621" s="5" t="n">
        <f aca="false">(COUNTIF(J621:EC621,"=0")+COUNTIF(J621:EC621,"=1"))</f>
        <v>2</v>
      </c>
      <c r="I621" s="15" t="n">
        <f aca="false">IFERROR(ROUND(10-AVERAGE(J621:EC621)*10,0),0)</f>
        <v>0</v>
      </c>
      <c r="J621" s="5"/>
      <c r="K621" s="5"/>
      <c r="L621" s="5"/>
      <c r="M621" s="5"/>
      <c r="N621" s="5"/>
      <c r="O621" s="5"/>
      <c r="P621" s="5" t="n">
        <v>1</v>
      </c>
      <c r="Q621" s="5"/>
      <c r="R621" s="5" t="n">
        <v>1</v>
      </c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customFormat="false" ht="15.75" hidden="false" customHeight="false" outlineLevel="0" collapsed="false">
      <c r="A622" s="5" t="s">
        <v>1402</v>
      </c>
      <c r="B622" s="5" t="s">
        <v>1422</v>
      </c>
      <c r="C622" s="5" t="s">
        <v>1424</v>
      </c>
      <c r="D622" s="5"/>
      <c r="E622" s="5"/>
      <c r="F622" s="5"/>
      <c r="G622" s="5"/>
      <c r="H622" s="5" t="n">
        <f aca="false">(COUNTIF(J622:EC622,"=0")+COUNTIF(J622:EC622,"=1"))</f>
        <v>1</v>
      </c>
      <c r="I622" s="15" t="n">
        <f aca="false">IFERROR(ROUND(10-AVERAGE(J622:EC622)*10,0),0)</f>
        <v>0</v>
      </c>
      <c r="J622" s="5"/>
      <c r="K622" s="5"/>
      <c r="L622" s="5"/>
      <c r="M622" s="5"/>
      <c r="N622" s="5"/>
      <c r="O622" s="5"/>
      <c r="P622" s="5" t="n">
        <v>1</v>
      </c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customFormat="false" ht="15.75" hidden="false" customHeight="false" outlineLevel="0" collapsed="false">
      <c r="A623" s="5" t="s">
        <v>1402</v>
      </c>
      <c r="B623" s="5" t="s">
        <v>1425</v>
      </c>
      <c r="C623" s="5" t="s">
        <v>1426</v>
      </c>
      <c r="D623" s="5" t="s">
        <v>1427</v>
      </c>
      <c r="E623" s="5"/>
      <c r="F623" s="5"/>
      <c r="G623" s="5"/>
      <c r="H623" s="5" t="n">
        <f aca="false">(COUNTIF(J623:EC623,"=0")+COUNTIF(J623:EC623,"=1"))</f>
        <v>2</v>
      </c>
      <c r="I623" s="15" t="n">
        <f aca="false">IFERROR(ROUND(10-AVERAGE(J623:EC623)*10,0),0)</f>
        <v>5</v>
      </c>
      <c r="J623" s="5"/>
      <c r="K623" s="5"/>
      <c r="L623" s="5"/>
      <c r="M623" s="5"/>
      <c r="N623" s="5"/>
      <c r="O623" s="5"/>
      <c r="P623" s="5" t="n">
        <v>0</v>
      </c>
      <c r="Q623" s="5"/>
      <c r="R623" s="5" t="n">
        <v>1</v>
      </c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customFormat="false" ht="15.75" hidden="false" customHeight="false" outlineLevel="0" collapsed="false">
      <c r="A624" s="5" t="s">
        <v>1402</v>
      </c>
      <c r="B624" s="5" t="s">
        <v>1425</v>
      </c>
      <c r="C624" s="5" t="s">
        <v>1428</v>
      </c>
      <c r="D624" s="5" t="s">
        <v>1407</v>
      </c>
      <c r="E624" s="5"/>
      <c r="F624" s="5"/>
      <c r="G624" s="5"/>
      <c r="H624" s="5" t="n">
        <f aca="false">(COUNTIF(J624:EC624,"=0")+COUNTIF(J624:EC624,"=1"))</f>
        <v>2</v>
      </c>
      <c r="I624" s="15" t="n">
        <f aca="false">IFERROR(ROUND(10-AVERAGE(J624:EC624)*10,0),0)</f>
        <v>0</v>
      </c>
      <c r="J624" s="5"/>
      <c r="K624" s="5"/>
      <c r="L624" s="5"/>
      <c r="M624" s="5"/>
      <c r="N624" s="5"/>
      <c r="O624" s="5"/>
      <c r="P624" s="5" t="n">
        <v>1</v>
      </c>
      <c r="Q624" s="5"/>
      <c r="R624" s="5" t="n">
        <v>1</v>
      </c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customFormat="false" ht="15.75" hidden="false" customHeight="false" outlineLevel="0" collapsed="false">
      <c r="A625" s="5" t="s">
        <v>1429</v>
      </c>
      <c r="B625" s="5" t="s">
        <v>1430</v>
      </c>
      <c r="C625" s="5" t="s">
        <v>1431</v>
      </c>
      <c r="D625" s="5"/>
      <c r="E625" s="5"/>
      <c r="F625" s="5"/>
      <c r="G625" s="9" t="s">
        <v>1432</v>
      </c>
      <c r="H625" s="5" t="n">
        <f aca="false">(COUNTIF(J625:EC625,"=0")+COUNTIF(J625:EC625,"=1"))</f>
        <v>5</v>
      </c>
      <c r="I625" s="12" t="n">
        <f aca="false">IFERROR(ROUND(10-AVERAGE(J625:EC625)*10,0),0)</f>
        <v>8</v>
      </c>
      <c r="J625" s="11" t="n">
        <v>0</v>
      </c>
      <c r="K625" s="11" t="n">
        <v>0</v>
      </c>
      <c r="L625" s="11" t="n">
        <v>0</v>
      </c>
      <c r="M625" s="5"/>
      <c r="N625" s="5"/>
      <c r="O625" s="5"/>
      <c r="P625" s="11" t="n">
        <v>1</v>
      </c>
      <c r="Q625" s="5"/>
      <c r="R625" s="5"/>
      <c r="S625" s="5"/>
      <c r="T625" s="11" t="n">
        <v>0</v>
      </c>
      <c r="U625" s="5"/>
      <c r="V625" s="5"/>
      <c r="W625" s="5"/>
      <c r="X625" s="5"/>
      <c r="Y625" s="5"/>
      <c r="Z625" s="5"/>
      <c r="AA625" s="5"/>
      <c r="AB625" s="5"/>
    </row>
    <row r="626" customFormat="false" ht="15.75" hidden="false" customHeight="false" outlineLevel="0" collapsed="false">
      <c r="A626" s="5" t="s">
        <v>1429</v>
      </c>
      <c r="B626" s="5" t="s">
        <v>1430</v>
      </c>
      <c r="C626" s="5" t="s">
        <v>87</v>
      </c>
      <c r="D626" s="5"/>
      <c r="E626" s="5"/>
      <c r="F626" s="5"/>
      <c r="G626" s="9" t="s">
        <v>1433</v>
      </c>
      <c r="H626" s="5" t="n">
        <f aca="false">(COUNTIF(J626:EC626,"=0")+COUNTIF(J626:EC626,"=1"))</f>
        <v>5</v>
      </c>
      <c r="I626" s="12" t="n">
        <f aca="false">IFERROR(ROUND(10-AVERAGE(J626:EC626)*10,0),0)</f>
        <v>8</v>
      </c>
      <c r="J626" s="11" t="n">
        <v>0</v>
      </c>
      <c r="K626" s="11" t="n">
        <v>0</v>
      </c>
      <c r="L626" s="11" t="n">
        <v>0</v>
      </c>
      <c r="M626" s="5"/>
      <c r="N626" s="5"/>
      <c r="O626" s="5"/>
      <c r="P626" s="11" t="n">
        <v>1</v>
      </c>
      <c r="Q626" s="5"/>
      <c r="R626" s="5"/>
      <c r="S626" s="5"/>
      <c r="T626" s="11" t="n">
        <v>0</v>
      </c>
      <c r="U626" s="5"/>
      <c r="V626" s="5"/>
      <c r="W626" s="5"/>
      <c r="X626" s="5"/>
      <c r="Y626" s="5"/>
      <c r="Z626" s="5"/>
      <c r="AA626" s="5"/>
      <c r="AB626" s="5"/>
    </row>
    <row r="627" customFormat="false" ht="15.75" hidden="false" customHeight="false" outlineLevel="0" collapsed="false">
      <c r="A627" s="5" t="s">
        <v>1429</v>
      </c>
      <c r="B627" s="5" t="s">
        <v>1434</v>
      </c>
      <c r="C627" s="5" t="s">
        <v>1435</v>
      </c>
      <c r="D627" s="5"/>
      <c r="E627" s="5"/>
      <c r="F627" s="5"/>
      <c r="G627" s="9" t="s">
        <v>1436</v>
      </c>
      <c r="H627" s="5" t="n">
        <f aca="false">(COUNTIF(J627:EC627,"=0")+COUNTIF(J627:EC627,"=1"))</f>
        <v>8</v>
      </c>
      <c r="I627" s="12" t="n">
        <f aca="false">IFERROR(ROUND(10-AVERAGE(J627:EC627)*10,0),0)</f>
        <v>8</v>
      </c>
      <c r="J627" s="11" t="n">
        <v>0</v>
      </c>
      <c r="K627" s="11" t="n">
        <v>0</v>
      </c>
      <c r="L627" s="11" t="n">
        <v>0</v>
      </c>
      <c r="M627" s="5"/>
      <c r="N627" s="5"/>
      <c r="O627" s="11" t="n">
        <v>0</v>
      </c>
      <c r="P627" s="11" t="n">
        <v>1</v>
      </c>
      <c r="Q627" s="11" t="n">
        <v>0</v>
      </c>
      <c r="R627" s="5"/>
      <c r="S627" s="11" t="n">
        <v>1</v>
      </c>
      <c r="T627" s="11" t="n">
        <v>0</v>
      </c>
      <c r="U627" s="5"/>
      <c r="V627" s="5"/>
      <c r="W627" s="5"/>
      <c r="X627" s="5"/>
      <c r="Y627" s="5"/>
      <c r="Z627" s="5"/>
      <c r="AA627" s="5"/>
      <c r="AB627" s="5"/>
    </row>
    <row r="628" customFormat="false" ht="15.75" hidden="false" customHeight="false" outlineLevel="0" collapsed="false">
      <c r="A628" s="5" t="s">
        <v>1429</v>
      </c>
      <c r="B628" s="5" t="s">
        <v>1434</v>
      </c>
      <c r="C628" s="5" t="s">
        <v>1437</v>
      </c>
      <c r="D628" s="5"/>
      <c r="E628" s="5"/>
      <c r="F628" s="5"/>
      <c r="G628" s="9" t="s">
        <v>1438</v>
      </c>
      <c r="H628" s="5" t="n">
        <f aca="false">(COUNTIF(J628:EC628,"=0")+COUNTIF(J628:EC628,"=1"))</f>
        <v>10</v>
      </c>
      <c r="I628" s="15" t="n">
        <f aca="false">IFERROR(ROUND(10-AVERAGE(J628:EC628)*10,0),0)</f>
        <v>7</v>
      </c>
      <c r="J628" s="11" t="n">
        <v>0</v>
      </c>
      <c r="K628" s="11" t="n">
        <v>0</v>
      </c>
      <c r="L628" s="11" t="n">
        <v>0</v>
      </c>
      <c r="M628" s="5"/>
      <c r="N628" s="5"/>
      <c r="O628" s="11" t="n">
        <v>0</v>
      </c>
      <c r="P628" s="11" t="n">
        <v>1</v>
      </c>
      <c r="Q628" s="11" t="n">
        <v>1</v>
      </c>
      <c r="R628" s="5"/>
      <c r="S628" s="11" t="n">
        <v>1</v>
      </c>
      <c r="T628" s="11" t="n">
        <v>0</v>
      </c>
      <c r="U628" s="5"/>
      <c r="V628" s="5"/>
      <c r="W628" s="5" t="n">
        <v>0</v>
      </c>
      <c r="X628" s="5"/>
      <c r="Y628" s="5"/>
      <c r="Z628" s="5"/>
      <c r="AA628" s="5"/>
      <c r="AB628" s="5"/>
      <c r="AF628" s="5" t="n">
        <v>0</v>
      </c>
    </row>
    <row r="629" customFormat="false" ht="15.75" hidden="false" customHeight="false" outlineLevel="0" collapsed="false">
      <c r="A629" s="5" t="s">
        <v>1439</v>
      </c>
      <c r="B629" s="5" t="s">
        <v>1439</v>
      </c>
      <c r="C629" s="5"/>
      <c r="D629" s="25"/>
      <c r="E629" s="5"/>
      <c r="F629" s="5"/>
      <c r="G629" s="5"/>
      <c r="H629" s="5"/>
      <c r="I629" s="15" t="n">
        <f aca="false">IFERROR(ROUND(10-AVERAGE(J629:EC629)*10,0),0)</f>
        <v>0</v>
      </c>
      <c r="J629" s="11"/>
      <c r="K629" s="11"/>
      <c r="L629" s="11"/>
      <c r="M629" s="5"/>
      <c r="N629" s="5"/>
      <c r="O629" s="11"/>
      <c r="P629" s="11"/>
      <c r="Q629" s="11"/>
      <c r="R629" s="5"/>
      <c r="S629" s="11"/>
      <c r="T629" s="11"/>
      <c r="U629" s="11"/>
      <c r="V629" s="5"/>
      <c r="W629" s="5"/>
      <c r="X629" s="11"/>
      <c r="Y629" s="5"/>
      <c r="Z629" s="5"/>
      <c r="AA629" s="5"/>
      <c r="AB629" s="5"/>
    </row>
    <row r="630" customFormat="false" ht="15.75" hidden="false" customHeight="false" outlineLevel="0" collapsed="false">
      <c r="A630" s="5" t="s">
        <v>1440</v>
      </c>
      <c r="B630" s="5" t="s">
        <v>1440</v>
      </c>
      <c r="C630" s="32" t="n">
        <v>13</v>
      </c>
      <c r="D630" s="5"/>
      <c r="E630" s="5"/>
      <c r="F630" s="5"/>
      <c r="G630" s="14" t="s">
        <v>1441</v>
      </c>
      <c r="H630" s="5" t="n">
        <f aca="false">(COUNTIF(J630:EC630,"=0")+COUNTIF(J630:EC630,"=1"))</f>
        <v>7</v>
      </c>
      <c r="I630" s="23" t="n">
        <f aca="false">IFERROR(ROUND(10-AVERAGE(J630:EC630)*10,0),0)</f>
        <v>4</v>
      </c>
      <c r="J630" s="11" t="n">
        <v>1</v>
      </c>
      <c r="K630" s="11" t="n">
        <v>0</v>
      </c>
      <c r="L630" s="11" t="n">
        <v>1</v>
      </c>
      <c r="M630" s="5"/>
      <c r="N630" s="5"/>
      <c r="O630" s="11" t="n">
        <v>1</v>
      </c>
      <c r="P630" s="11" t="n">
        <v>0</v>
      </c>
      <c r="Q630" s="11" t="n">
        <v>1</v>
      </c>
      <c r="R630" s="5"/>
      <c r="S630" s="5"/>
      <c r="T630" s="11" t="n">
        <v>0</v>
      </c>
      <c r="U630" s="5"/>
      <c r="V630" s="5"/>
      <c r="W630" s="5"/>
      <c r="X630" s="5"/>
      <c r="Y630" s="5"/>
      <c r="Z630" s="5"/>
      <c r="AA630" s="5"/>
      <c r="AB630" s="5"/>
    </row>
    <row r="631" customFormat="false" ht="15.75" hidden="false" customHeight="false" outlineLevel="0" collapsed="false">
      <c r="A631" s="5" t="s">
        <v>1440</v>
      </c>
      <c r="B631" s="5" t="s">
        <v>1440</v>
      </c>
      <c r="C631" s="5" t="s">
        <v>1442</v>
      </c>
      <c r="D631" s="5"/>
      <c r="E631" s="5"/>
      <c r="F631" s="5"/>
      <c r="G631" s="9" t="s">
        <v>1443</v>
      </c>
      <c r="H631" s="5" t="n">
        <f aca="false">(COUNTIF(J631:EC631,"=0")+COUNTIF(J631:EC631,"=1"))</f>
        <v>11</v>
      </c>
      <c r="I631" s="18" t="n">
        <f aca="false">IFERROR(ROUND(10-AVERAGE(J631:EC631)*10,0),0)</f>
        <v>0</v>
      </c>
      <c r="J631" s="11" t="n">
        <v>1</v>
      </c>
      <c r="K631" s="11" t="n">
        <v>1</v>
      </c>
      <c r="L631" s="11" t="n">
        <v>1</v>
      </c>
      <c r="M631" s="11" t="n">
        <v>1</v>
      </c>
      <c r="N631" s="11" t="n">
        <v>1</v>
      </c>
      <c r="O631" s="11" t="n">
        <v>1</v>
      </c>
      <c r="P631" s="11" t="n">
        <v>1</v>
      </c>
      <c r="Q631" s="11" t="n">
        <v>1</v>
      </c>
      <c r="R631" s="11" t="n">
        <v>1</v>
      </c>
      <c r="S631" s="5"/>
      <c r="T631" s="11" t="n">
        <v>1</v>
      </c>
      <c r="U631" s="5"/>
      <c r="V631" s="5"/>
      <c r="W631" s="5" t="n">
        <v>1</v>
      </c>
      <c r="X631" s="5"/>
      <c r="Y631" s="5"/>
      <c r="Z631" s="5"/>
      <c r="AA631" s="5"/>
      <c r="AB631" s="5"/>
      <c r="AC631" s="5"/>
    </row>
    <row r="632" customFormat="false" ht="15.75" hidden="false" customHeight="false" outlineLevel="0" collapsed="false">
      <c r="A632" s="5" t="s">
        <v>1440</v>
      </c>
      <c r="B632" s="5" t="s">
        <v>1440</v>
      </c>
      <c r="C632" s="5" t="s">
        <v>1444</v>
      </c>
      <c r="D632" s="5"/>
      <c r="E632" s="5"/>
      <c r="F632" s="5"/>
      <c r="G632" s="14" t="s">
        <v>1445</v>
      </c>
      <c r="H632" s="5" t="n">
        <f aca="false">(COUNTIF(J632:EC632,"=0")+COUNTIF(J632:EC632,"=1"))</f>
        <v>10</v>
      </c>
      <c r="I632" s="13" t="n">
        <f aca="false">IFERROR(ROUND(10-AVERAGE(J632:EC632)*10,0),0)</f>
        <v>2</v>
      </c>
      <c r="J632" s="11" t="n">
        <v>1</v>
      </c>
      <c r="K632" s="11" t="n">
        <v>0</v>
      </c>
      <c r="L632" s="11" t="n">
        <v>1</v>
      </c>
      <c r="M632" s="11" t="n">
        <v>1</v>
      </c>
      <c r="N632" s="11" t="n">
        <v>1</v>
      </c>
      <c r="O632" s="11" t="n">
        <v>1</v>
      </c>
      <c r="P632" s="11" t="n">
        <v>0</v>
      </c>
      <c r="Q632" s="11" t="n">
        <v>1</v>
      </c>
      <c r="R632" s="11" t="n">
        <v>1</v>
      </c>
      <c r="S632" s="5"/>
      <c r="T632" s="11" t="n">
        <v>1</v>
      </c>
      <c r="U632" s="5"/>
      <c r="V632" s="5"/>
      <c r="W632" s="5"/>
      <c r="X632" s="5"/>
      <c r="Y632" s="5"/>
      <c r="Z632" s="5"/>
      <c r="AA632" s="5"/>
      <c r="AB632" s="5"/>
    </row>
    <row r="633" customFormat="false" ht="15.75" hidden="false" customHeight="false" outlineLevel="0" collapsed="false">
      <c r="A633" s="5" t="s">
        <v>1440</v>
      </c>
      <c r="B633" s="5" t="s">
        <v>1440</v>
      </c>
      <c r="C633" s="5" t="s">
        <v>1446</v>
      </c>
      <c r="D633" s="5"/>
      <c r="E633" s="5"/>
      <c r="F633" s="5"/>
      <c r="G633" s="14" t="s">
        <v>1447</v>
      </c>
      <c r="H633" s="5" t="n">
        <f aca="false">(COUNTIF(J633:EC633,"=0")+COUNTIF(J633:EC633,"=1"))</f>
        <v>5</v>
      </c>
      <c r="I633" s="23" t="n">
        <f aca="false">IFERROR(ROUND(10-AVERAGE(J633:EC633)*10,0),0)</f>
        <v>4</v>
      </c>
      <c r="J633" s="11" t="n">
        <v>1</v>
      </c>
      <c r="K633" s="11" t="n">
        <v>0</v>
      </c>
      <c r="L633" s="11" t="n">
        <v>1</v>
      </c>
      <c r="M633" s="11"/>
      <c r="N633" s="5"/>
      <c r="O633" s="11"/>
      <c r="P633" s="11" t="n">
        <v>0</v>
      </c>
      <c r="Q633" s="11" t="n">
        <v>1</v>
      </c>
      <c r="R633" s="5"/>
      <c r="S633" s="5"/>
      <c r="T633" s="11"/>
      <c r="U633" s="5"/>
      <c r="V633" s="5"/>
      <c r="W633" s="5"/>
      <c r="X633" s="5"/>
      <c r="Y633" s="5"/>
      <c r="Z633" s="5"/>
      <c r="AA633" s="5"/>
      <c r="AB633" s="5"/>
    </row>
    <row r="634" customFormat="false" ht="15.75" hidden="false" customHeight="false" outlineLevel="0" collapsed="false">
      <c r="A634" s="5" t="s">
        <v>1440</v>
      </c>
      <c r="B634" s="5" t="s">
        <v>1440</v>
      </c>
      <c r="C634" s="5" t="s">
        <v>1448</v>
      </c>
      <c r="D634" s="5"/>
      <c r="E634" s="5"/>
      <c r="F634" s="5"/>
      <c r="G634" s="5"/>
      <c r="H634" s="5" t="n">
        <f aca="false">(COUNTIF(J634:EC634,"=0")+COUNTIF(J634:EC634,"=1"))</f>
        <v>9</v>
      </c>
      <c r="I634" s="23" t="n">
        <f aca="false">IFERROR(ROUND(10-AVERAGE(J634:EC634)*10,0),0)</f>
        <v>4</v>
      </c>
      <c r="J634" s="11" t="n">
        <v>1</v>
      </c>
      <c r="K634" s="11" t="n">
        <v>0</v>
      </c>
      <c r="L634" s="11" t="n">
        <v>1</v>
      </c>
      <c r="M634" s="11" t="n">
        <v>0</v>
      </c>
      <c r="N634" s="5"/>
      <c r="O634" s="11" t="n">
        <v>1</v>
      </c>
      <c r="P634" s="11" t="n">
        <v>1</v>
      </c>
      <c r="Q634" s="11" t="n">
        <v>1</v>
      </c>
      <c r="R634" s="5"/>
      <c r="S634" s="5"/>
      <c r="T634" s="11" t="n">
        <v>0</v>
      </c>
      <c r="U634" s="5"/>
      <c r="V634" s="5"/>
      <c r="W634" s="5"/>
      <c r="X634" s="5"/>
      <c r="Y634" s="5"/>
      <c r="Z634" s="5"/>
      <c r="AA634" s="5"/>
      <c r="AB634" s="5"/>
      <c r="AF634" s="5" t="n">
        <v>0</v>
      </c>
    </row>
    <row r="635" customFormat="false" ht="15.75" hidden="false" customHeight="false" outlineLevel="0" collapsed="false">
      <c r="A635" s="5" t="s">
        <v>1440</v>
      </c>
      <c r="B635" s="5" t="s">
        <v>1440</v>
      </c>
      <c r="C635" s="5" t="s">
        <v>1449</v>
      </c>
      <c r="D635" s="5"/>
      <c r="E635" s="5"/>
      <c r="F635" s="5"/>
      <c r="G635" s="14" t="s">
        <v>1450</v>
      </c>
      <c r="H635" s="5" t="n">
        <f aca="false">(COUNTIF(J635:EC635,"=0")+COUNTIF(J635:EC635,"=1"))</f>
        <v>6</v>
      </c>
      <c r="I635" s="15" t="n">
        <f aca="false">IFERROR(ROUND(10-AVERAGE(J635:EC635)*10,0),0)</f>
        <v>5</v>
      </c>
      <c r="J635" s="11" t="n">
        <v>0</v>
      </c>
      <c r="K635" s="11" t="n">
        <v>0</v>
      </c>
      <c r="L635" s="11" t="n">
        <v>1</v>
      </c>
      <c r="M635" s="5"/>
      <c r="N635" s="5"/>
      <c r="O635" s="5"/>
      <c r="P635" s="11" t="n">
        <v>1</v>
      </c>
      <c r="Q635" s="5" t="n">
        <v>1</v>
      </c>
      <c r="R635" s="5"/>
      <c r="S635" s="5"/>
      <c r="T635" s="11" t="n">
        <v>0</v>
      </c>
      <c r="U635" s="5"/>
      <c r="V635" s="5"/>
      <c r="W635" s="5"/>
      <c r="X635" s="5"/>
      <c r="Y635" s="5"/>
      <c r="Z635" s="5"/>
      <c r="AA635" s="5"/>
      <c r="AB635" s="5"/>
    </row>
    <row r="636" customFormat="false" ht="15.75" hidden="false" customHeight="false" outlineLevel="0" collapsed="false">
      <c r="A636" s="5" t="s">
        <v>1440</v>
      </c>
      <c r="B636" s="5" t="s">
        <v>1440</v>
      </c>
      <c r="C636" s="5" t="s">
        <v>1451</v>
      </c>
      <c r="D636" s="5"/>
      <c r="E636" s="5"/>
      <c r="F636" s="5"/>
      <c r="G636" s="14" t="s">
        <v>1452</v>
      </c>
      <c r="H636" s="5" t="n">
        <f aca="false">(COUNTIF(J636:EC636,"=0")+COUNTIF(J636:EC636,"=1"))</f>
        <v>5</v>
      </c>
      <c r="I636" s="23" t="n">
        <f aca="false">IFERROR(ROUND(10-AVERAGE(J636:EC636)*10,0),0)</f>
        <v>2</v>
      </c>
      <c r="J636" s="11" t="n">
        <v>1</v>
      </c>
      <c r="K636" s="11" t="n">
        <v>0</v>
      </c>
      <c r="L636" s="11" t="n">
        <v>1</v>
      </c>
      <c r="M636" s="11"/>
      <c r="N636" s="5"/>
      <c r="O636" s="11"/>
      <c r="P636" s="11" t="n">
        <v>1</v>
      </c>
      <c r="Q636" s="11" t="n">
        <v>1</v>
      </c>
      <c r="R636" s="5"/>
      <c r="S636" s="5"/>
      <c r="T636" s="11"/>
      <c r="U636" s="5"/>
      <c r="V636" s="5"/>
      <c r="W636" s="5"/>
      <c r="X636" s="5"/>
      <c r="Y636" s="5"/>
      <c r="Z636" s="5"/>
      <c r="AA636" s="5"/>
      <c r="AB636" s="5"/>
    </row>
    <row r="637" customFormat="false" ht="15.75" hidden="false" customHeight="false" outlineLevel="0" collapsed="false">
      <c r="A637" s="5" t="s">
        <v>1440</v>
      </c>
      <c r="B637" s="5" t="s">
        <v>1440</v>
      </c>
      <c r="C637" s="5" t="s">
        <v>1453</v>
      </c>
      <c r="D637" s="5"/>
      <c r="E637" s="5"/>
      <c r="F637" s="5"/>
      <c r="G637" s="14" t="s">
        <v>1454</v>
      </c>
      <c r="H637" s="5" t="n">
        <f aca="false">(COUNTIF(J637:EC637,"=0")+COUNTIF(J637:EC637,"=1"))</f>
        <v>10</v>
      </c>
      <c r="I637" s="13" t="n">
        <f aca="false">IFERROR(ROUND(10-AVERAGE(J637:EC637)*10,0),0)</f>
        <v>2</v>
      </c>
      <c r="J637" s="11" t="n">
        <v>1</v>
      </c>
      <c r="K637" s="11" t="n">
        <v>0</v>
      </c>
      <c r="L637" s="11" t="n">
        <v>1</v>
      </c>
      <c r="M637" s="11" t="n">
        <v>1</v>
      </c>
      <c r="N637" s="11" t="n">
        <v>1</v>
      </c>
      <c r="O637" s="11" t="n">
        <v>1</v>
      </c>
      <c r="P637" s="11" t="n">
        <v>1</v>
      </c>
      <c r="Q637" s="11" t="n">
        <v>1</v>
      </c>
      <c r="R637" s="11" t="n">
        <v>1</v>
      </c>
      <c r="S637" s="5"/>
      <c r="T637" s="11" t="n">
        <v>0</v>
      </c>
      <c r="U637" s="5"/>
      <c r="V637" s="5"/>
      <c r="W637" s="5"/>
      <c r="X637" s="5"/>
      <c r="Y637" s="5"/>
      <c r="Z637" s="5"/>
      <c r="AA637" s="5"/>
      <c r="AB637" s="5"/>
    </row>
    <row r="638" customFormat="false" ht="15.75" hidden="false" customHeight="false" outlineLevel="0" collapsed="false">
      <c r="A638" s="5" t="s">
        <v>1440</v>
      </c>
      <c r="B638" s="5" t="s">
        <v>1440</v>
      </c>
      <c r="C638" s="5" t="s">
        <v>1455</v>
      </c>
      <c r="D638" s="5"/>
      <c r="E638" s="5"/>
      <c r="F638" s="5"/>
      <c r="G638" s="14" t="s">
        <v>1456</v>
      </c>
      <c r="H638" s="5" t="n">
        <f aca="false">(COUNTIF(J638:EC638,"=0")+COUNTIF(J638:EC638,"=1"))</f>
        <v>3</v>
      </c>
      <c r="I638" s="13" t="n">
        <f aca="false">IFERROR(ROUND(10-AVERAGE(J638:EC638)*10,0),0)</f>
        <v>0</v>
      </c>
      <c r="J638" s="11"/>
      <c r="K638" s="11"/>
      <c r="L638" s="11" t="n">
        <v>1</v>
      </c>
      <c r="M638" s="11"/>
      <c r="N638" s="11"/>
      <c r="O638" s="11"/>
      <c r="P638" s="11" t="n">
        <v>1</v>
      </c>
      <c r="Q638" s="11"/>
      <c r="R638" s="11"/>
      <c r="S638" s="5" t="n">
        <v>1</v>
      </c>
      <c r="T638" s="11"/>
      <c r="U638" s="5"/>
      <c r="V638" s="5"/>
      <c r="W638" s="5"/>
      <c r="X638" s="5"/>
      <c r="Y638" s="5"/>
      <c r="Z638" s="5"/>
      <c r="AA638" s="5"/>
      <c r="AB638" s="11"/>
    </row>
    <row r="639" customFormat="false" ht="15.75" hidden="false" customHeight="false" outlineLevel="0" collapsed="false">
      <c r="A639" s="5" t="s">
        <v>1440</v>
      </c>
      <c r="B639" s="5" t="s">
        <v>1440</v>
      </c>
      <c r="C639" s="5" t="s">
        <v>1457</v>
      </c>
      <c r="D639" s="5"/>
      <c r="E639" s="5"/>
      <c r="F639" s="5"/>
      <c r="G639" s="14" t="s">
        <v>1458</v>
      </c>
      <c r="H639" s="5" t="n">
        <f aca="false">(COUNTIF(J639:EC639,"=0")+COUNTIF(J639:EC639,"=1"))</f>
        <v>12</v>
      </c>
      <c r="I639" s="13" t="n">
        <f aca="false">IFERROR(ROUND(10-AVERAGE(J639:EC639)*10,0),0)</f>
        <v>2</v>
      </c>
      <c r="J639" s="11" t="n">
        <v>1</v>
      </c>
      <c r="K639" s="11" t="n">
        <v>1</v>
      </c>
      <c r="L639" s="11" t="n">
        <v>1</v>
      </c>
      <c r="M639" s="11" t="n">
        <v>1</v>
      </c>
      <c r="N639" s="11" t="n">
        <v>1</v>
      </c>
      <c r="O639" s="11" t="n">
        <v>1</v>
      </c>
      <c r="P639" s="11" t="n">
        <v>0</v>
      </c>
      <c r="Q639" s="11" t="n">
        <v>1</v>
      </c>
      <c r="R639" s="11" t="n">
        <v>1</v>
      </c>
      <c r="S639" s="5"/>
      <c r="T639" s="11" t="n">
        <v>1</v>
      </c>
      <c r="U639" s="5"/>
      <c r="V639" s="5"/>
      <c r="W639" s="5" t="n">
        <v>1</v>
      </c>
      <c r="X639" s="5"/>
      <c r="Y639" s="5"/>
      <c r="Z639" s="5"/>
      <c r="AA639" s="5"/>
      <c r="AB639" s="11" t="n">
        <v>0</v>
      </c>
    </row>
    <row r="640" customFormat="false" ht="15.75" hidden="false" customHeight="false" outlineLevel="0" collapsed="false">
      <c r="A640" s="5" t="s">
        <v>1459</v>
      </c>
      <c r="B640" s="5" t="s">
        <v>1459</v>
      </c>
      <c r="C640" s="5" t="s">
        <v>1460</v>
      </c>
      <c r="D640" s="5"/>
      <c r="E640" s="5"/>
      <c r="G640" s="5"/>
      <c r="H640" s="5" t="n">
        <f aca="false">(COUNTIF(J640:EC640,"=0")+COUNTIF(J640:EC640,"=1"))</f>
        <v>7</v>
      </c>
      <c r="I640" s="12" t="n">
        <f aca="false">IFERROR(ROUND(10-AVERAGE(J640:EC640)*10,0),0)</f>
        <v>9</v>
      </c>
      <c r="J640" s="11" t="n">
        <v>0</v>
      </c>
      <c r="K640" s="11" t="n">
        <v>0</v>
      </c>
      <c r="L640" s="5" t="n">
        <v>0</v>
      </c>
      <c r="M640" s="5"/>
      <c r="N640" s="5"/>
      <c r="O640" s="11" t="n">
        <v>1</v>
      </c>
      <c r="P640" s="11" t="n">
        <v>0</v>
      </c>
      <c r="Q640" s="11" t="n">
        <v>0</v>
      </c>
      <c r="R640" s="5"/>
      <c r="S640" s="5"/>
      <c r="T640" s="11" t="n">
        <v>0</v>
      </c>
      <c r="U640" s="5"/>
      <c r="V640" s="5"/>
      <c r="W640" s="5"/>
      <c r="X640" s="5"/>
      <c r="Y640" s="5"/>
      <c r="Z640" s="5"/>
      <c r="AA640" s="5"/>
      <c r="AB640" s="5"/>
    </row>
    <row r="641" customFormat="false" ht="15.75" hidden="false" customHeight="false" outlineLevel="0" collapsed="false">
      <c r="A641" s="5" t="s">
        <v>1461</v>
      </c>
      <c r="B641" s="5" t="s">
        <v>1461</v>
      </c>
      <c r="D641" s="5"/>
      <c r="E641" s="5"/>
      <c r="F641" s="5"/>
      <c r="G641" s="5"/>
      <c r="H641" s="5" t="n">
        <f aca="false">(COUNTIF(J641:EC641,"=0")+COUNTIF(J641:EC641,"=1"))</f>
        <v>0</v>
      </c>
      <c r="I641" s="12" t="n">
        <f aca="false">IFERROR(ROUND(10-AVERAGE(J641:EC641)*10,0),0)</f>
        <v>0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customFormat="false" ht="15.75" hidden="false" customHeight="false" outlineLevel="0" collapsed="false">
      <c r="A642" s="5" t="s">
        <v>1462</v>
      </c>
      <c r="B642" s="5" t="s">
        <v>1463</v>
      </c>
      <c r="C642" s="5" t="s">
        <v>1464</v>
      </c>
      <c r="D642" s="5"/>
      <c r="E642" s="5"/>
      <c r="F642" s="5"/>
      <c r="G642" s="9" t="s">
        <v>1465</v>
      </c>
      <c r="H642" s="5" t="n">
        <f aca="false">(COUNTIF(J642:EC642,"=0")+COUNTIF(J642:EC642,"=1"))</f>
        <v>5</v>
      </c>
      <c r="I642" s="16" t="n">
        <f aca="false">IFERROR(ROUND(10-AVERAGE(J642:EC642)*10,0),0)</f>
        <v>8</v>
      </c>
      <c r="J642" s="5" t="n">
        <v>0</v>
      </c>
      <c r="K642" s="11" t="n">
        <v>0</v>
      </c>
      <c r="L642" s="5"/>
      <c r="M642" s="5"/>
      <c r="N642" s="5"/>
      <c r="O642" s="5"/>
      <c r="P642" s="11" t="n">
        <v>1</v>
      </c>
      <c r="Q642" s="5" t="n">
        <v>0</v>
      </c>
      <c r="R642" s="5"/>
      <c r="S642" s="5"/>
      <c r="T642" s="5"/>
      <c r="U642" s="5"/>
      <c r="V642" s="5"/>
      <c r="W642" s="5"/>
      <c r="X642" s="5"/>
      <c r="Y642" s="5"/>
      <c r="Z642" s="11" t="n">
        <v>0</v>
      </c>
      <c r="AA642" s="5"/>
      <c r="AB642" s="5"/>
    </row>
    <row r="643" customFormat="false" ht="15.75" hidden="false" customHeight="false" outlineLevel="0" collapsed="false">
      <c r="A643" s="5" t="s">
        <v>1466</v>
      </c>
      <c r="B643" s="5" t="s">
        <v>1467</v>
      </c>
      <c r="C643" s="5" t="s">
        <v>79</v>
      </c>
      <c r="D643" s="5" t="s">
        <v>1468</v>
      </c>
      <c r="E643" s="5"/>
      <c r="F643" s="5"/>
      <c r="G643" s="9" t="s">
        <v>1469</v>
      </c>
      <c r="H643" s="5" t="n">
        <f aca="false">(COUNTIF(J643:EC643,"=0")+COUNTIF(J643:EC643,"=1"))</f>
        <v>11</v>
      </c>
      <c r="I643" s="12" t="n">
        <f aca="false">IFERROR(ROUND(10-AVERAGE(J643:EC643)*10,0),0)</f>
        <v>8</v>
      </c>
      <c r="J643" s="11" t="n">
        <v>1</v>
      </c>
      <c r="K643" s="11" t="n">
        <v>0</v>
      </c>
      <c r="L643" s="11" t="n">
        <v>0</v>
      </c>
      <c r="M643" s="11" t="n">
        <v>0</v>
      </c>
      <c r="N643" s="5"/>
      <c r="O643" s="11" t="n">
        <v>0</v>
      </c>
      <c r="P643" s="11" t="n">
        <v>0</v>
      </c>
      <c r="Q643" s="11" t="n">
        <v>0</v>
      </c>
      <c r="R643" s="11" t="n">
        <v>1</v>
      </c>
      <c r="S643" s="11" t="n">
        <v>0</v>
      </c>
      <c r="T643" s="11" t="n">
        <v>0</v>
      </c>
      <c r="U643" s="5"/>
      <c r="V643" s="5"/>
      <c r="W643" s="5"/>
      <c r="X643" s="5"/>
      <c r="Y643" s="5"/>
      <c r="Z643" s="5"/>
      <c r="AA643" s="11" t="n">
        <v>0</v>
      </c>
      <c r="AB643" s="5"/>
    </row>
    <row r="644" customFormat="false" ht="15.75" hidden="false" customHeight="false" outlineLevel="0" collapsed="false">
      <c r="A644" s="5" t="s">
        <v>1466</v>
      </c>
      <c r="B644" s="5" t="s">
        <v>1467</v>
      </c>
      <c r="C644" s="5" t="s">
        <v>1470</v>
      </c>
      <c r="D644" s="5"/>
      <c r="E644" s="5"/>
      <c r="F644" s="5"/>
      <c r="G644" s="9" t="s">
        <v>1471</v>
      </c>
      <c r="H644" s="5" t="n">
        <f aca="false">(COUNTIF(J644:EC644,"=0")+COUNTIF(J644:EC644,"=1"))</f>
        <v>11</v>
      </c>
      <c r="I644" s="16" t="n">
        <f aca="false">IFERROR(ROUND(10-AVERAGE(J644:EC644)*10,0),0)</f>
        <v>7</v>
      </c>
      <c r="J644" s="11" t="n">
        <v>1</v>
      </c>
      <c r="K644" s="11" t="n">
        <v>0</v>
      </c>
      <c r="L644" s="11" t="n">
        <v>0</v>
      </c>
      <c r="M644" s="11" t="n">
        <v>0</v>
      </c>
      <c r="N644" s="5"/>
      <c r="O644" s="11" t="n">
        <v>0</v>
      </c>
      <c r="P644" s="11" t="n">
        <v>1</v>
      </c>
      <c r="Q644" s="11" t="n">
        <v>0</v>
      </c>
      <c r="R644" s="11" t="n">
        <v>1</v>
      </c>
      <c r="S644" s="11" t="n">
        <v>0</v>
      </c>
      <c r="T644" s="11" t="n">
        <v>0</v>
      </c>
      <c r="U644" s="5"/>
      <c r="V644" s="5"/>
      <c r="W644" s="5"/>
      <c r="X644" s="5"/>
      <c r="Y644" s="5"/>
      <c r="Z644" s="5"/>
      <c r="AA644" s="5"/>
      <c r="AB644" s="5"/>
      <c r="AF644" s="5" t="n">
        <v>0</v>
      </c>
    </row>
    <row r="645" customFormat="false" ht="15.75" hidden="false" customHeight="false" outlineLevel="0" collapsed="false">
      <c r="A645" s="5" t="s">
        <v>1466</v>
      </c>
      <c r="B645" s="5" t="s">
        <v>1467</v>
      </c>
      <c r="C645" s="5" t="s">
        <v>1472</v>
      </c>
      <c r="D645" s="5" t="s">
        <v>1473</v>
      </c>
      <c r="E645" s="5"/>
      <c r="F645" s="5"/>
      <c r="G645" s="9" t="s">
        <v>1474</v>
      </c>
      <c r="H645" s="5" t="n">
        <f aca="false">(COUNTIF(J645:EC645,"=0")+COUNTIF(J645:EC645,"=1"))</f>
        <v>10</v>
      </c>
      <c r="I645" s="12" t="n">
        <f aca="false">IFERROR(ROUND(10-AVERAGE(J645:EC645)*10,0),0)</f>
        <v>8</v>
      </c>
      <c r="J645" s="11" t="n">
        <v>1</v>
      </c>
      <c r="K645" s="11" t="n">
        <v>0</v>
      </c>
      <c r="L645" s="11" t="n">
        <v>0</v>
      </c>
      <c r="M645" s="11" t="n">
        <v>0</v>
      </c>
      <c r="N645" s="5"/>
      <c r="O645" s="11" t="n">
        <v>0</v>
      </c>
      <c r="P645" s="11" t="n">
        <v>0</v>
      </c>
      <c r="Q645" s="11" t="n">
        <v>0</v>
      </c>
      <c r="R645" s="11" t="n">
        <v>1</v>
      </c>
      <c r="S645" s="11" t="n">
        <v>0</v>
      </c>
      <c r="T645" s="11" t="n">
        <v>0</v>
      </c>
      <c r="U645" s="5"/>
      <c r="V645" s="5"/>
      <c r="W645" s="5"/>
      <c r="X645" s="5"/>
      <c r="Y645" s="5"/>
      <c r="Z645" s="5"/>
      <c r="AA645" s="5"/>
      <c r="AB645" s="5"/>
    </row>
    <row r="646" customFormat="false" ht="15.75" hidden="false" customHeight="false" outlineLevel="0" collapsed="false">
      <c r="A646" s="5" t="s">
        <v>1466</v>
      </c>
      <c r="B646" s="5" t="s">
        <v>1467</v>
      </c>
      <c r="C646" s="5" t="s">
        <v>1475</v>
      </c>
      <c r="D646" s="5"/>
      <c r="E646" s="5"/>
      <c r="F646" s="5"/>
      <c r="G646" s="9" t="s">
        <v>1476</v>
      </c>
      <c r="H646" s="5" t="n">
        <f aca="false">(COUNTIF(J646:EC646,"=0")+COUNTIF(J646:EC646,"=1"))</f>
        <v>9</v>
      </c>
      <c r="I646" s="17" t="n">
        <f aca="false">IFERROR(ROUND(10-AVERAGE(J646:EC646)*10,0),0)</f>
        <v>9</v>
      </c>
      <c r="J646" s="11" t="n">
        <v>1</v>
      </c>
      <c r="K646" s="11" t="n">
        <v>0</v>
      </c>
      <c r="L646" s="11" t="n">
        <v>0</v>
      </c>
      <c r="M646" s="11" t="n">
        <v>0</v>
      </c>
      <c r="N646" s="5"/>
      <c r="O646" s="11" t="n">
        <v>0</v>
      </c>
      <c r="P646" s="11" t="n">
        <v>0</v>
      </c>
      <c r="Q646" s="11" t="n">
        <v>0</v>
      </c>
      <c r="R646" s="5"/>
      <c r="S646" s="11" t="n">
        <v>0</v>
      </c>
      <c r="T646" s="11" t="n">
        <v>0</v>
      </c>
      <c r="U646" s="5"/>
      <c r="V646" s="5"/>
      <c r="W646" s="5"/>
      <c r="X646" s="5"/>
      <c r="Y646" s="5"/>
      <c r="Z646" s="5"/>
      <c r="AA646" s="5"/>
      <c r="AB646" s="5"/>
    </row>
    <row r="647" customFormat="false" ht="15.75" hidden="false" customHeight="false" outlineLevel="0" collapsed="false">
      <c r="A647" s="5" t="s">
        <v>1466</v>
      </c>
      <c r="B647" s="5" t="s">
        <v>1477</v>
      </c>
      <c r="C647" s="5" t="s">
        <v>1478</v>
      </c>
      <c r="D647" s="5"/>
      <c r="E647" s="5"/>
      <c r="F647" s="5"/>
      <c r="G647" s="9" t="s">
        <v>1479</v>
      </c>
      <c r="H647" s="5" t="n">
        <f aca="false">(COUNTIF(J647:EJ647,"=0")+COUNTIF(J647:EJ647,"=1"))</f>
        <v>9</v>
      </c>
      <c r="I647" s="17" t="n">
        <f aca="false">ROUND(10-AVERAGE(J647:EJ647)*10,0)</f>
        <v>9</v>
      </c>
      <c r="J647" s="11" t="n">
        <v>1</v>
      </c>
      <c r="K647" s="11" t="n">
        <v>0</v>
      </c>
      <c r="L647" s="11" t="n">
        <v>0</v>
      </c>
      <c r="M647" s="11" t="n">
        <v>0</v>
      </c>
      <c r="N647" s="5"/>
      <c r="O647" s="11" t="n">
        <v>0</v>
      </c>
      <c r="P647" s="11" t="n">
        <v>0</v>
      </c>
      <c r="Q647" s="11" t="n">
        <v>0</v>
      </c>
      <c r="R647" s="5"/>
      <c r="S647" s="11" t="n">
        <v>0</v>
      </c>
      <c r="T647" s="11" t="n">
        <v>0</v>
      </c>
      <c r="U647" s="5"/>
      <c r="V647" s="5"/>
      <c r="W647" s="5"/>
      <c r="X647" s="5"/>
      <c r="Y647" s="5"/>
      <c r="Z647" s="5"/>
      <c r="AA647" s="5"/>
      <c r="AB647" s="5"/>
    </row>
    <row r="648" customFormat="false" ht="15.75" hidden="false" customHeight="false" outlineLevel="0" collapsed="false">
      <c r="A648" s="5" t="s">
        <v>1466</v>
      </c>
      <c r="B648" s="5" t="s">
        <v>1477</v>
      </c>
      <c r="C648" s="5" t="s">
        <v>1480</v>
      </c>
      <c r="D648" s="5"/>
      <c r="E648" s="5"/>
      <c r="F648" s="5"/>
      <c r="G648" s="9" t="s">
        <v>1481</v>
      </c>
      <c r="H648" s="5" t="n">
        <f aca="false">(COUNTIF(J648:EJ648,"=0")+COUNTIF(J648:EJ648,"=1"))</f>
        <v>9</v>
      </c>
      <c r="I648" s="17" t="n">
        <f aca="false">ROUND(10-AVERAGE(J648:EJ648)*10,0)</f>
        <v>9</v>
      </c>
      <c r="J648" s="11" t="n">
        <v>1</v>
      </c>
      <c r="K648" s="11" t="n">
        <v>0</v>
      </c>
      <c r="L648" s="11" t="n">
        <v>0</v>
      </c>
      <c r="M648" s="11" t="n">
        <v>0</v>
      </c>
      <c r="N648" s="5"/>
      <c r="O648" s="11" t="n">
        <v>0</v>
      </c>
      <c r="P648" s="11" t="n">
        <v>0</v>
      </c>
      <c r="Q648" s="11" t="n">
        <v>0</v>
      </c>
      <c r="R648" s="5"/>
      <c r="S648" s="11" t="n">
        <v>0</v>
      </c>
      <c r="T648" s="11" t="n">
        <v>0</v>
      </c>
      <c r="U648" s="5"/>
      <c r="V648" s="5"/>
      <c r="W648" s="5"/>
      <c r="X648" s="5"/>
      <c r="Y648" s="5"/>
      <c r="Z648" s="5"/>
      <c r="AA648" s="5"/>
      <c r="AB648" s="5"/>
    </row>
    <row r="649" customFormat="false" ht="15.75" hidden="false" customHeight="false" outlineLevel="0" collapsed="false">
      <c r="A649" s="5" t="s">
        <v>1466</v>
      </c>
      <c r="B649" s="5" t="s">
        <v>1477</v>
      </c>
      <c r="C649" s="5" t="s">
        <v>1482</v>
      </c>
      <c r="D649" s="5"/>
      <c r="E649" s="5"/>
      <c r="F649" s="5"/>
      <c r="G649" s="9" t="s">
        <v>1479</v>
      </c>
      <c r="H649" s="5" t="n">
        <f aca="false">(COUNTIF(J649:EC649,"=0")+COUNTIF(J649:EC649,"=1"))</f>
        <v>9</v>
      </c>
      <c r="I649" s="17" t="n">
        <f aca="false">IFERROR(ROUND(10-AVERAGE(J649:EC649)*10,0),0)</f>
        <v>9</v>
      </c>
      <c r="J649" s="11" t="n">
        <v>1</v>
      </c>
      <c r="K649" s="11" t="n">
        <v>0</v>
      </c>
      <c r="L649" s="11" t="n">
        <v>0</v>
      </c>
      <c r="M649" s="11" t="n">
        <v>0</v>
      </c>
      <c r="N649" s="5"/>
      <c r="O649" s="11" t="n">
        <v>0</v>
      </c>
      <c r="P649" s="11" t="n">
        <v>0</v>
      </c>
      <c r="Q649" s="11" t="n">
        <v>0</v>
      </c>
      <c r="R649" s="5"/>
      <c r="S649" s="11" t="n">
        <v>0</v>
      </c>
      <c r="T649" s="11" t="n">
        <v>0</v>
      </c>
      <c r="U649" s="5"/>
      <c r="V649" s="5"/>
      <c r="W649" s="5"/>
      <c r="X649" s="5"/>
      <c r="Y649" s="5"/>
      <c r="Z649" s="5"/>
      <c r="AA649" s="5"/>
      <c r="AB649" s="5"/>
    </row>
    <row r="650" customFormat="false" ht="15.75" hidden="false" customHeight="false" outlineLevel="0" collapsed="false">
      <c r="A650" s="5" t="s">
        <v>1466</v>
      </c>
      <c r="B650" s="5" t="s">
        <v>1483</v>
      </c>
      <c r="C650" s="5" t="s">
        <v>1484</v>
      </c>
      <c r="D650" s="5"/>
      <c r="E650" s="5"/>
      <c r="F650" s="5"/>
      <c r="G650" s="9" t="s">
        <v>1485</v>
      </c>
      <c r="H650" s="5" t="n">
        <f aca="false">(COUNTIF(J650:EC650,"=0")+COUNTIF(J650:EC650,"=1"))</f>
        <v>11</v>
      </c>
      <c r="I650" s="16" t="n">
        <f aca="false">IFERROR(ROUND(10-AVERAGE(J650:EC650)*10,0),0)</f>
        <v>7</v>
      </c>
      <c r="J650" s="11" t="n">
        <v>1</v>
      </c>
      <c r="K650" s="11" t="n">
        <v>0</v>
      </c>
      <c r="L650" s="11" t="n">
        <v>0</v>
      </c>
      <c r="M650" s="11" t="n">
        <v>0</v>
      </c>
      <c r="N650" s="5"/>
      <c r="O650" s="11" t="n">
        <v>0</v>
      </c>
      <c r="P650" s="11" t="n">
        <v>1</v>
      </c>
      <c r="Q650" s="11" t="n">
        <v>0</v>
      </c>
      <c r="R650" s="11" t="n">
        <v>1</v>
      </c>
      <c r="S650" s="11" t="n">
        <v>0</v>
      </c>
      <c r="T650" s="11" t="n">
        <v>0</v>
      </c>
      <c r="U650" s="5"/>
      <c r="V650" s="5"/>
      <c r="W650" s="5"/>
      <c r="X650" s="5"/>
      <c r="Y650" s="5"/>
      <c r="Z650" s="5"/>
      <c r="AA650" s="5"/>
      <c r="AB650" s="5"/>
      <c r="AC650" s="5" t="n">
        <v>0</v>
      </c>
    </row>
    <row r="651" customFormat="false" ht="15.75" hidden="false" customHeight="false" outlineLevel="0" collapsed="false">
      <c r="A651" s="5" t="s">
        <v>1466</v>
      </c>
      <c r="B651" s="5" t="s">
        <v>1486</v>
      </c>
      <c r="C651" s="5" t="s">
        <v>1487</v>
      </c>
      <c r="D651" s="5"/>
      <c r="E651" s="5"/>
      <c r="F651" s="5"/>
      <c r="G651" s="9" t="s">
        <v>1488</v>
      </c>
      <c r="H651" s="5" t="n">
        <f aca="false">(COUNTIF(J651:EC651,"=0")+COUNTIF(J651:EC651,"=1"))</f>
        <v>10</v>
      </c>
      <c r="I651" s="12" t="n">
        <f aca="false">IFERROR(ROUND(10-AVERAGE(J651:EC651)*10,0),0)</f>
        <v>8</v>
      </c>
      <c r="J651" s="11" t="n">
        <v>1</v>
      </c>
      <c r="K651" s="11" t="n">
        <v>0</v>
      </c>
      <c r="L651" s="11" t="n">
        <v>0</v>
      </c>
      <c r="M651" s="11" t="n">
        <v>0</v>
      </c>
      <c r="N651" s="5"/>
      <c r="O651" s="11" t="n">
        <v>0</v>
      </c>
      <c r="P651" s="11" t="n">
        <v>0</v>
      </c>
      <c r="Q651" s="11" t="n">
        <v>0</v>
      </c>
      <c r="R651" s="11" t="n">
        <v>1</v>
      </c>
      <c r="S651" s="11" t="n">
        <v>0</v>
      </c>
      <c r="T651" s="11" t="n">
        <v>0</v>
      </c>
      <c r="U651" s="5"/>
      <c r="V651" s="5"/>
      <c r="W651" s="5"/>
      <c r="X651" s="5"/>
      <c r="Y651" s="5"/>
      <c r="Z651" s="5"/>
      <c r="AA651" s="5"/>
      <c r="AB651" s="5"/>
    </row>
    <row r="652" customFormat="false" ht="15.75" hidden="false" customHeight="false" outlineLevel="0" collapsed="false">
      <c r="A652" s="5" t="s">
        <v>1466</v>
      </c>
      <c r="B652" s="5" t="s">
        <v>1486</v>
      </c>
      <c r="C652" s="5" t="s">
        <v>79</v>
      </c>
      <c r="D652" s="5"/>
      <c r="E652" s="5"/>
      <c r="F652" s="5"/>
      <c r="G652" s="9" t="s">
        <v>1489</v>
      </c>
      <c r="H652" s="5" t="n">
        <f aca="false">(COUNTIF(J652:EC652,"=0")+COUNTIF(J652:EC652,"=1"))</f>
        <v>10</v>
      </c>
      <c r="I652" s="16" t="n">
        <f aca="false">IFERROR(ROUND(10-AVERAGE(J652:EC652)*10,0),0)</f>
        <v>7</v>
      </c>
      <c r="J652" s="11" t="n">
        <v>1</v>
      </c>
      <c r="K652" s="11" t="n">
        <v>0</v>
      </c>
      <c r="L652" s="11" t="n">
        <v>0</v>
      </c>
      <c r="M652" s="11" t="n">
        <v>0</v>
      </c>
      <c r="N652" s="5"/>
      <c r="O652" s="11" t="n">
        <v>0</v>
      </c>
      <c r="P652" s="11" t="n">
        <v>1</v>
      </c>
      <c r="Q652" s="11" t="n">
        <v>0</v>
      </c>
      <c r="R652" s="11" t="n">
        <v>1</v>
      </c>
      <c r="S652" s="11" t="n">
        <v>0</v>
      </c>
      <c r="T652" s="11" t="n">
        <v>0</v>
      </c>
      <c r="U652" s="5"/>
      <c r="V652" s="5"/>
      <c r="W652" s="5"/>
      <c r="X652" s="5"/>
      <c r="Y652" s="5"/>
      <c r="Z652" s="5"/>
      <c r="AA652" s="5"/>
      <c r="AB652" s="5"/>
    </row>
    <row r="653" customFormat="false" ht="15.75" hidden="false" customHeight="false" outlineLevel="0" collapsed="false">
      <c r="A653" s="5" t="s">
        <v>1466</v>
      </c>
      <c r="B653" s="5" t="s">
        <v>1486</v>
      </c>
      <c r="C653" s="5" t="s">
        <v>1490</v>
      </c>
      <c r="D653" s="5"/>
      <c r="E653" s="5"/>
      <c r="F653" s="5"/>
      <c r="G653" s="9" t="s">
        <v>1491</v>
      </c>
      <c r="H653" s="5" t="n">
        <f aca="false">(COUNTIF(J653:EC653,"=0")+COUNTIF(J653:EC653,"=1"))</f>
        <v>9</v>
      </c>
      <c r="I653" s="17" t="n">
        <f aca="false">IFERROR(ROUND(10-AVERAGE(J653:EC653)*10,0),0)</f>
        <v>9</v>
      </c>
      <c r="J653" s="11" t="n">
        <v>1</v>
      </c>
      <c r="K653" s="11" t="n">
        <v>0</v>
      </c>
      <c r="L653" s="11" t="n">
        <v>0</v>
      </c>
      <c r="M653" s="11" t="n">
        <v>0</v>
      </c>
      <c r="N653" s="5"/>
      <c r="O653" s="11" t="n">
        <v>0</v>
      </c>
      <c r="P653" s="11" t="n">
        <v>0</v>
      </c>
      <c r="Q653" s="11" t="n">
        <v>0</v>
      </c>
      <c r="R653" s="5"/>
      <c r="S653" s="11" t="n">
        <v>0</v>
      </c>
      <c r="T653" s="11" t="n">
        <v>0</v>
      </c>
      <c r="U653" s="5"/>
      <c r="V653" s="5"/>
      <c r="W653" s="5"/>
      <c r="X653" s="5"/>
      <c r="Y653" s="5"/>
      <c r="Z653" s="5"/>
      <c r="AA653" s="5"/>
      <c r="AB653" s="5"/>
    </row>
    <row r="654" customFormat="false" ht="15.75" hidden="false" customHeight="false" outlineLevel="0" collapsed="false">
      <c r="A654" s="5" t="s">
        <v>1466</v>
      </c>
      <c r="B654" s="5" t="s">
        <v>1486</v>
      </c>
      <c r="C654" s="5" t="s">
        <v>1492</v>
      </c>
      <c r="D654" s="5"/>
      <c r="E654" s="5"/>
      <c r="F654" s="5"/>
      <c r="G654" s="9" t="s">
        <v>1493</v>
      </c>
      <c r="H654" s="5" t="n">
        <f aca="false">(COUNTIF(J654:EC654,"=0")+COUNTIF(J654:EC654,"=1"))</f>
        <v>10</v>
      </c>
      <c r="I654" s="12" t="n">
        <f aca="false">IFERROR(ROUND(10-AVERAGE(J654:EC654)*10,0),0)</f>
        <v>8</v>
      </c>
      <c r="J654" s="11" t="n">
        <v>1</v>
      </c>
      <c r="K654" s="11" t="n">
        <v>0</v>
      </c>
      <c r="L654" s="11" t="n">
        <v>0</v>
      </c>
      <c r="M654" s="11" t="n">
        <v>0</v>
      </c>
      <c r="N654" s="5"/>
      <c r="O654" s="11" t="n">
        <v>0</v>
      </c>
      <c r="P654" s="11" t="n">
        <v>1</v>
      </c>
      <c r="Q654" s="11" t="n">
        <v>0</v>
      </c>
      <c r="R654" s="5"/>
      <c r="S654" s="11" t="n">
        <v>0</v>
      </c>
      <c r="T654" s="11" t="n">
        <v>0</v>
      </c>
      <c r="U654" s="5"/>
      <c r="V654" s="5"/>
      <c r="W654" s="5"/>
      <c r="X654" s="5"/>
      <c r="Y654" s="5"/>
      <c r="Z654" s="5"/>
      <c r="AA654" s="11" t="n">
        <v>0</v>
      </c>
      <c r="AB654" s="5"/>
    </row>
    <row r="655" customFormat="false" ht="15.75" hidden="false" customHeight="false" outlineLevel="0" collapsed="false">
      <c r="A655" s="5" t="s">
        <v>1466</v>
      </c>
      <c r="B655" s="5" t="s">
        <v>1486</v>
      </c>
      <c r="C655" s="5" t="s">
        <v>1494</v>
      </c>
      <c r="D655" s="5"/>
      <c r="E655" s="5"/>
      <c r="F655" s="5"/>
      <c r="G655" s="5"/>
      <c r="H655" s="5" t="n">
        <f aca="false">(COUNTIF(J655:EC655,"=0")+COUNTIF(J655:EC655,"=1"))</f>
        <v>10</v>
      </c>
      <c r="I655" s="17" t="n">
        <f aca="false">IFERROR(ROUND(10-AVERAGE(J655:EC655)*10,0),0)</f>
        <v>9</v>
      </c>
      <c r="J655" s="11" t="n">
        <v>1</v>
      </c>
      <c r="K655" s="11" t="n">
        <v>0</v>
      </c>
      <c r="L655" s="11" t="n">
        <v>0</v>
      </c>
      <c r="M655" s="11" t="n">
        <v>0</v>
      </c>
      <c r="N655" s="5"/>
      <c r="O655" s="11" t="n">
        <v>0</v>
      </c>
      <c r="P655" s="11" t="n">
        <v>0</v>
      </c>
      <c r="Q655" s="11" t="n">
        <v>0</v>
      </c>
      <c r="R655" s="5"/>
      <c r="S655" s="11" t="n">
        <v>0</v>
      </c>
      <c r="T655" s="11" t="n">
        <v>0</v>
      </c>
      <c r="U655" s="5"/>
      <c r="V655" s="5"/>
      <c r="W655" s="5" t="n">
        <v>0</v>
      </c>
      <c r="X655" s="5"/>
      <c r="Y655" s="5"/>
      <c r="Z655" s="5"/>
      <c r="AA655" s="5"/>
      <c r="AB655" s="5"/>
    </row>
    <row r="656" customFormat="false" ht="15.75" hidden="false" customHeight="false" outlineLevel="0" collapsed="false">
      <c r="A656" s="5" t="s">
        <v>1466</v>
      </c>
      <c r="B656" s="5" t="s">
        <v>1495</v>
      </c>
      <c r="C656" s="5" t="s">
        <v>1496</v>
      </c>
      <c r="D656" s="5"/>
      <c r="E656" s="5"/>
      <c r="F656" s="5"/>
      <c r="G656" s="9" t="s">
        <v>1497</v>
      </c>
      <c r="H656" s="5" t="n">
        <f aca="false">(COUNTIF(J656:EC656,"=0")+COUNTIF(J656:EC656,"=1"))</f>
        <v>10</v>
      </c>
      <c r="I656" s="17" t="n">
        <f aca="false">IFERROR(ROUND(10-AVERAGE(J656:EC656)*10,0),0)</f>
        <v>9</v>
      </c>
      <c r="J656" s="11" t="n">
        <v>1</v>
      </c>
      <c r="K656" s="11" t="n">
        <v>0</v>
      </c>
      <c r="L656" s="11" t="n">
        <v>0</v>
      </c>
      <c r="M656" s="11" t="n">
        <v>0</v>
      </c>
      <c r="N656" s="5"/>
      <c r="O656" s="11" t="n">
        <v>0</v>
      </c>
      <c r="P656" s="11" t="n">
        <v>0</v>
      </c>
      <c r="Q656" s="11" t="n">
        <v>0</v>
      </c>
      <c r="R656" s="5"/>
      <c r="S656" s="11" t="n">
        <v>0</v>
      </c>
      <c r="T656" s="11" t="n">
        <v>0</v>
      </c>
      <c r="U656" s="5"/>
      <c r="V656" s="5"/>
      <c r="W656" s="11" t="n">
        <v>0</v>
      </c>
      <c r="X656" s="5"/>
      <c r="Y656" s="5"/>
      <c r="Z656" s="5"/>
      <c r="AA656" s="5"/>
      <c r="AB656" s="5"/>
    </row>
    <row r="657" customFormat="false" ht="15.75" hidden="false" customHeight="false" outlineLevel="0" collapsed="false">
      <c r="A657" s="5" t="s">
        <v>1466</v>
      </c>
      <c r="B657" s="5" t="s">
        <v>1495</v>
      </c>
      <c r="C657" s="5" t="s">
        <v>1498</v>
      </c>
      <c r="D657" s="5"/>
      <c r="E657" s="5"/>
      <c r="F657" s="5"/>
      <c r="G657" s="9" t="s">
        <v>1499</v>
      </c>
      <c r="H657" s="5" t="n">
        <f aca="false">(COUNTIF(J657:EC657,"=0")+COUNTIF(J657:EC657,"=1"))</f>
        <v>10</v>
      </c>
      <c r="I657" s="12" t="n">
        <f aca="false">IFERROR(ROUND(10-AVERAGE(J657:EC657)*10,0),0)</f>
        <v>8</v>
      </c>
      <c r="J657" s="11" t="n">
        <v>1</v>
      </c>
      <c r="K657" s="11" t="n">
        <v>0</v>
      </c>
      <c r="L657" s="11" t="n">
        <v>0</v>
      </c>
      <c r="M657" s="11" t="n">
        <v>0</v>
      </c>
      <c r="N657" s="5"/>
      <c r="O657" s="11" t="n">
        <v>0</v>
      </c>
      <c r="P657" s="11" t="n">
        <v>0</v>
      </c>
      <c r="Q657" s="11" t="n">
        <v>0</v>
      </c>
      <c r="R657" s="5"/>
      <c r="S657" s="11" t="n">
        <v>0</v>
      </c>
      <c r="T657" s="11" t="n">
        <v>0</v>
      </c>
      <c r="U657" s="5"/>
      <c r="V657" s="5"/>
      <c r="W657" s="11" t="n">
        <v>1</v>
      </c>
      <c r="X657" s="5"/>
      <c r="Y657" s="5"/>
      <c r="Z657" s="5"/>
      <c r="AA657" s="5"/>
      <c r="AB657" s="5"/>
    </row>
    <row r="658" customFormat="false" ht="15.75" hidden="false" customHeight="false" outlineLevel="0" collapsed="false">
      <c r="A658" s="5" t="s">
        <v>1466</v>
      </c>
      <c r="B658" s="5" t="s">
        <v>1495</v>
      </c>
      <c r="C658" s="5" t="s">
        <v>1500</v>
      </c>
      <c r="D658" s="5"/>
      <c r="E658" s="5"/>
      <c r="F658" s="5"/>
      <c r="G658" s="5"/>
      <c r="H658" s="5" t="n">
        <f aca="false">(COUNTIF(J658:EC658,"=0")+COUNTIF(J658:EC658,"=1"))</f>
        <v>3</v>
      </c>
      <c r="I658" s="12" t="n">
        <f aca="false">IFERROR(ROUND(10-AVERAGE(J658:EC658)*10,0),0)</f>
        <v>7</v>
      </c>
      <c r="J658" s="11" t="n">
        <v>1</v>
      </c>
      <c r="K658" s="11" t="n">
        <v>0</v>
      </c>
      <c r="L658" s="5"/>
      <c r="M658" s="5"/>
      <c r="N658" s="5"/>
      <c r="O658" s="5"/>
      <c r="P658" s="11" t="n">
        <v>0</v>
      </c>
      <c r="Q658" s="5"/>
      <c r="R658" s="5"/>
      <c r="S658" s="5"/>
      <c r="T658" s="11"/>
      <c r="U658" s="5"/>
      <c r="V658" s="5"/>
      <c r="W658" s="5"/>
      <c r="X658" s="5"/>
      <c r="Y658" s="5"/>
      <c r="Z658" s="11"/>
      <c r="AA658" s="5"/>
      <c r="AB658" s="5"/>
    </row>
    <row r="659" customFormat="false" ht="15.75" hidden="false" customHeight="false" outlineLevel="0" collapsed="false">
      <c r="A659" s="5" t="s">
        <v>1466</v>
      </c>
      <c r="B659" s="5" t="s">
        <v>1495</v>
      </c>
      <c r="C659" s="5" t="s">
        <v>992</v>
      </c>
      <c r="D659" s="5"/>
      <c r="E659" s="5"/>
      <c r="F659" s="5"/>
      <c r="G659" s="9" t="s">
        <v>1501</v>
      </c>
      <c r="H659" s="5" t="n">
        <f aca="false">(COUNTIF(J659:EC659,"=0")+COUNTIF(J659:EC659,"=1"))</f>
        <v>11</v>
      </c>
      <c r="I659" s="12" t="n">
        <f aca="false">IFERROR(ROUND(10-AVERAGE(J659:EC659)*10,0),0)</f>
        <v>8</v>
      </c>
      <c r="J659" s="11" t="n">
        <v>1</v>
      </c>
      <c r="K659" s="11" t="n">
        <v>0</v>
      </c>
      <c r="L659" s="11" t="n">
        <v>0</v>
      </c>
      <c r="M659" s="11" t="n">
        <v>0</v>
      </c>
      <c r="N659" s="5"/>
      <c r="O659" s="11" t="n">
        <v>0</v>
      </c>
      <c r="P659" s="11" t="n">
        <v>0</v>
      </c>
      <c r="Q659" s="11" t="n">
        <v>0</v>
      </c>
      <c r="R659" s="11" t="n">
        <v>1</v>
      </c>
      <c r="S659" s="11" t="n">
        <v>0</v>
      </c>
      <c r="T659" s="11" t="n">
        <v>0</v>
      </c>
      <c r="U659" s="5"/>
      <c r="V659" s="5"/>
      <c r="W659" s="11" t="n">
        <v>0</v>
      </c>
      <c r="X659" s="5"/>
      <c r="Y659" s="5"/>
      <c r="Z659" s="5"/>
      <c r="AA659" s="5"/>
      <c r="AB659" s="5"/>
    </row>
    <row r="660" customFormat="false" ht="15.75" hidden="false" customHeight="false" outlineLevel="0" collapsed="false">
      <c r="A660" s="5" t="s">
        <v>1466</v>
      </c>
      <c r="B660" s="5" t="s">
        <v>1495</v>
      </c>
      <c r="C660" s="5" t="s">
        <v>79</v>
      </c>
      <c r="D660" s="5"/>
      <c r="E660" s="5"/>
      <c r="F660" s="5"/>
      <c r="G660" s="9" t="s">
        <v>1502</v>
      </c>
      <c r="H660" s="5" t="n">
        <f aca="false">(COUNTIF(J660:EC660,"=0")+COUNTIF(J660:EC660,"=1"))</f>
        <v>11</v>
      </c>
      <c r="I660" s="12" t="n">
        <f aca="false">IFERROR(ROUND(10-AVERAGE(J660:EC660)*10,0),0)</f>
        <v>8</v>
      </c>
      <c r="J660" s="11" t="n">
        <v>1</v>
      </c>
      <c r="K660" s="11" t="n">
        <v>0</v>
      </c>
      <c r="L660" s="11" t="n">
        <v>0</v>
      </c>
      <c r="M660" s="11" t="n">
        <v>0</v>
      </c>
      <c r="N660" s="5"/>
      <c r="O660" s="11" t="n">
        <v>0</v>
      </c>
      <c r="P660" s="11" t="n">
        <v>0</v>
      </c>
      <c r="Q660" s="11" t="n">
        <v>0</v>
      </c>
      <c r="R660" s="11" t="n">
        <v>1</v>
      </c>
      <c r="S660" s="11" t="n">
        <v>0</v>
      </c>
      <c r="T660" s="11" t="n">
        <v>0</v>
      </c>
      <c r="U660" s="5"/>
      <c r="V660" s="5"/>
      <c r="W660" s="11" t="n">
        <v>0</v>
      </c>
      <c r="X660" s="5"/>
      <c r="Y660" s="5"/>
      <c r="Z660" s="5"/>
      <c r="AA660" s="5"/>
      <c r="AB660" s="5"/>
    </row>
    <row r="661" customFormat="false" ht="15.75" hidden="false" customHeight="false" outlineLevel="0" collapsed="false">
      <c r="A661" s="5" t="s">
        <v>1466</v>
      </c>
      <c r="B661" s="5" t="s">
        <v>1495</v>
      </c>
      <c r="C661" s="5" t="s">
        <v>1503</v>
      </c>
      <c r="D661" s="5"/>
      <c r="E661" s="5"/>
      <c r="F661" s="5"/>
      <c r="G661" s="9" t="s">
        <v>1504</v>
      </c>
      <c r="H661" s="5" t="n">
        <f aca="false">(COUNTIF(J661:EC661,"=0")+COUNTIF(J661:EC661,"=1"))</f>
        <v>10</v>
      </c>
      <c r="I661" s="17" t="n">
        <f aca="false">IFERROR(ROUND(10-AVERAGE(J661:EC661)*10,0),0)</f>
        <v>9</v>
      </c>
      <c r="J661" s="11" t="n">
        <v>1</v>
      </c>
      <c r="K661" s="11" t="n">
        <v>0</v>
      </c>
      <c r="L661" s="11" t="n">
        <v>0</v>
      </c>
      <c r="M661" s="11" t="n">
        <v>0</v>
      </c>
      <c r="N661" s="5"/>
      <c r="O661" s="11" t="n">
        <v>0</v>
      </c>
      <c r="P661" s="11" t="n">
        <v>0</v>
      </c>
      <c r="Q661" s="11" t="n">
        <v>0</v>
      </c>
      <c r="R661" s="5"/>
      <c r="S661" s="11" t="n">
        <v>0</v>
      </c>
      <c r="T661" s="11" t="n">
        <v>0</v>
      </c>
      <c r="U661" s="5"/>
      <c r="V661" s="5"/>
      <c r="W661" s="11" t="n">
        <v>0</v>
      </c>
      <c r="X661" s="5"/>
      <c r="Y661" s="5"/>
      <c r="Z661" s="5"/>
      <c r="AA661" s="5"/>
      <c r="AB661" s="5"/>
    </row>
    <row r="662" customFormat="false" ht="15.75" hidden="false" customHeight="false" outlineLevel="0" collapsed="false">
      <c r="A662" s="5" t="s">
        <v>1466</v>
      </c>
      <c r="B662" s="5" t="s">
        <v>1495</v>
      </c>
      <c r="C662" s="5" t="s">
        <v>1505</v>
      </c>
      <c r="D662" s="5"/>
      <c r="E662" s="5"/>
      <c r="F662" s="5"/>
      <c r="G662" s="9" t="s">
        <v>1506</v>
      </c>
      <c r="H662" s="5" t="n">
        <f aca="false">(COUNTIF(J662:EC662,"=0")+COUNTIF(J662:EC662,"=1"))</f>
        <v>10</v>
      </c>
      <c r="I662" s="17" t="n">
        <f aca="false">IFERROR(ROUND(10-AVERAGE(J662:EC662)*10,0),0)</f>
        <v>9</v>
      </c>
      <c r="J662" s="11" t="n">
        <v>1</v>
      </c>
      <c r="K662" s="11" t="n">
        <v>0</v>
      </c>
      <c r="L662" s="11" t="n">
        <v>0</v>
      </c>
      <c r="M662" s="11" t="n">
        <v>0</v>
      </c>
      <c r="N662" s="5"/>
      <c r="O662" s="11" t="n">
        <v>0</v>
      </c>
      <c r="P662" s="11" t="n">
        <v>0</v>
      </c>
      <c r="Q662" s="11" t="n">
        <v>0</v>
      </c>
      <c r="R662" s="5"/>
      <c r="S662" s="11" t="n">
        <v>0</v>
      </c>
      <c r="T662" s="11" t="n">
        <v>0</v>
      </c>
      <c r="U662" s="5"/>
      <c r="V662" s="5"/>
      <c r="W662" s="11" t="n">
        <v>0</v>
      </c>
      <c r="X662" s="5"/>
      <c r="Y662" s="5"/>
      <c r="Z662" s="5"/>
      <c r="AA662" s="5"/>
      <c r="AB662" s="5"/>
    </row>
    <row r="663" customFormat="false" ht="15.75" hidden="false" customHeight="false" outlineLevel="0" collapsed="false">
      <c r="A663" s="5" t="s">
        <v>1466</v>
      </c>
      <c r="B663" s="5" t="s">
        <v>1495</v>
      </c>
      <c r="C663" s="5" t="s">
        <v>1492</v>
      </c>
      <c r="D663" s="5"/>
      <c r="E663" s="5"/>
      <c r="F663" s="5"/>
      <c r="G663" s="9" t="s">
        <v>1507</v>
      </c>
      <c r="H663" s="5" t="n">
        <f aca="false">(COUNTIF(J663:EC663,"=0")+COUNTIF(J663:EC663,"=1"))</f>
        <v>12</v>
      </c>
      <c r="I663" s="12" t="n">
        <f aca="false">IFERROR(ROUND(10-AVERAGE(J663:EC663)*10,0),0)</f>
        <v>8</v>
      </c>
      <c r="J663" s="11" t="n">
        <v>1</v>
      </c>
      <c r="K663" s="11" t="n">
        <v>0</v>
      </c>
      <c r="L663" s="11" t="n">
        <v>0</v>
      </c>
      <c r="M663" s="11" t="n">
        <v>0</v>
      </c>
      <c r="N663" s="5"/>
      <c r="O663" s="11" t="n">
        <v>0</v>
      </c>
      <c r="P663" s="11" t="n">
        <v>0</v>
      </c>
      <c r="Q663" s="11" t="n">
        <v>0</v>
      </c>
      <c r="R663" s="11" t="n">
        <v>1</v>
      </c>
      <c r="S663" s="11" t="n">
        <v>0</v>
      </c>
      <c r="T663" s="11" t="n">
        <v>0</v>
      </c>
      <c r="U663" s="5"/>
      <c r="V663" s="5"/>
      <c r="W663" s="11" t="n">
        <v>0</v>
      </c>
      <c r="X663" s="5"/>
      <c r="Y663" s="5"/>
      <c r="Z663" s="5"/>
      <c r="AA663" s="11" t="n">
        <v>0</v>
      </c>
      <c r="AB663" s="5"/>
    </row>
    <row r="664" customFormat="false" ht="15.75" hidden="false" customHeight="false" outlineLevel="0" collapsed="false">
      <c r="A664" s="5" t="s">
        <v>1466</v>
      </c>
      <c r="B664" s="5" t="s">
        <v>1495</v>
      </c>
      <c r="C664" s="5" t="s">
        <v>1508</v>
      </c>
      <c r="D664" s="5"/>
      <c r="E664" s="5"/>
      <c r="F664" s="5"/>
      <c r="G664" s="9" t="s">
        <v>1509</v>
      </c>
      <c r="H664" s="5" t="n">
        <f aca="false">(COUNTIF(J664:EC664,"=0")+COUNTIF(J664:EC664,"=1"))</f>
        <v>10</v>
      </c>
      <c r="I664" s="17" t="n">
        <f aca="false">IFERROR(ROUND(10-AVERAGE(J664:EC664)*10,0),0)</f>
        <v>9</v>
      </c>
      <c r="J664" s="11" t="n">
        <v>1</v>
      </c>
      <c r="K664" s="11" t="n">
        <v>0</v>
      </c>
      <c r="L664" s="11" t="n">
        <v>0</v>
      </c>
      <c r="M664" s="11" t="n">
        <v>0</v>
      </c>
      <c r="N664" s="5"/>
      <c r="O664" s="11" t="n">
        <v>0</v>
      </c>
      <c r="P664" s="11" t="n">
        <v>0</v>
      </c>
      <c r="Q664" s="11" t="n">
        <v>0</v>
      </c>
      <c r="R664" s="5"/>
      <c r="S664" s="11" t="n">
        <v>0</v>
      </c>
      <c r="T664" s="11" t="n">
        <v>0</v>
      </c>
      <c r="U664" s="5"/>
      <c r="V664" s="5"/>
      <c r="W664" s="11" t="n">
        <v>0</v>
      </c>
      <c r="X664" s="5"/>
      <c r="Y664" s="5"/>
      <c r="Z664" s="5"/>
      <c r="AA664" s="5"/>
      <c r="AB664" s="5"/>
    </row>
    <row r="665" customFormat="false" ht="15.75" hidden="false" customHeight="false" outlineLevel="0" collapsed="false">
      <c r="A665" s="5" t="s">
        <v>1466</v>
      </c>
      <c r="B665" s="5" t="s">
        <v>1495</v>
      </c>
      <c r="C665" s="5" t="s">
        <v>1510</v>
      </c>
      <c r="D665" s="5"/>
      <c r="E665" s="5"/>
      <c r="F665" s="5"/>
      <c r="G665" s="9" t="s">
        <v>1511</v>
      </c>
      <c r="H665" s="5" t="n">
        <f aca="false">(COUNTIF(J665:EC665,"=0")+COUNTIF(J665:EC665,"=1"))</f>
        <v>6</v>
      </c>
      <c r="I665" s="12" t="n">
        <f aca="false">IFERROR(ROUND(10-AVERAGE(J665:EC665)*10,0),0)</f>
        <v>8</v>
      </c>
      <c r="J665" s="11" t="n">
        <v>1</v>
      </c>
      <c r="K665" s="11" t="n">
        <v>0</v>
      </c>
      <c r="L665" s="5"/>
      <c r="M665" s="5"/>
      <c r="N665" s="5"/>
      <c r="O665" s="5"/>
      <c r="P665" s="11" t="n">
        <v>0</v>
      </c>
      <c r="Q665" s="5" t="n">
        <v>0</v>
      </c>
      <c r="R665" s="5"/>
      <c r="S665" s="5"/>
      <c r="T665" s="11" t="n">
        <v>0</v>
      </c>
      <c r="U665" s="5"/>
      <c r="V665" s="5"/>
      <c r="W665" s="5"/>
      <c r="X665" s="5"/>
      <c r="Y665" s="5"/>
      <c r="Z665" s="11" t="n">
        <v>0</v>
      </c>
      <c r="AA665" s="5"/>
      <c r="AB665" s="5"/>
    </row>
    <row r="666" customFormat="false" ht="15.75" hidden="false" customHeight="false" outlineLevel="0" collapsed="false">
      <c r="A666" s="5" t="s">
        <v>1512</v>
      </c>
      <c r="B666" s="5" t="s">
        <v>1513</v>
      </c>
      <c r="C666" s="5" t="s">
        <v>1514</v>
      </c>
      <c r="D666" s="5"/>
      <c r="E666" s="5"/>
      <c r="F666" s="5"/>
      <c r="G666" s="5"/>
      <c r="H666" s="5" t="n">
        <f aca="false">(COUNTIF(J666:EC666,"=0")+COUNTIF(J666:EC666,"=1"))</f>
        <v>4</v>
      </c>
      <c r="I666" s="15" t="n">
        <f aca="false">IFERROR(ROUND(10-AVERAGE(J666:EC666)*10,0),0)</f>
        <v>10</v>
      </c>
      <c r="J666" s="11" t="n">
        <v>0</v>
      </c>
      <c r="K666" s="11" t="n">
        <v>0</v>
      </c>
      <c r="L666" s="5" t="n">
        <v>0</v>
      </c>
      <c r="M666" s="5"/>
      <c r="N666" s="5"/>
      <c r="O666" s="11"/>
      <c r="P666" s="11" t="n">
        <v>0</v>
      </c>
      <c r="Q666" s="11"/>
      <c r="R666" s="5"/>
      <c r="S666" s="5"/>
      <c r="T666" s="11"/>
      <c r="U666" s="5"/>
      <c r="V666" s="5"/>
      <c r="W666" s="5"/>
      <c r="X666" s="5"/>
      <c r="Y666" s="5"/>
      <c r="Z666" s="5"/>
      <c r="AA666" s="5"/>
      <c r="AB666" s="5"/>
    </row>
    <row r="667" customFormat="false" ht="15.75" hidden="false" customHeight="false" outlineLevel="0" collapsed="false">
      <c r="A667" s="5" t="s">
        <v>1512</v>
      </c>
      <c r="B667" s="5" t="s">
        <v>1513</v>
      </c>
      <c r="C667" s="5" t="s">
        <v>1515</v>
      </c>
      <c r="D667" s="5"/>
      <c r="E667" s="5"/>
      <c r="G667" s="5"/>
      <c r="H667" s="5" t="n">
        <f aca="false">(COUNTIF(J667:EC667,"=0")+COUNTIF(J667:EC667,"=1"))</f>
        <v>6</v>
      </c>
      <c r="I667" s="15" t="n">
        <f aca="false">IFERROR(ROUND(10-AVERAGE(J667:EC667)*10,0),0)</f>
        <v>10</v>
      </c>
      <c r="J667" s="5" t="n">
        <v>0</v>
      </c>
      <c r="K667" s="11" t="n">
        <v>0</v>
      </c>
      <c r="L667" s="5" t="n">
        <v>0</v>
      </c>
      <c r="M667" s="5"/>
      <c r="N667" s="5"/>
      <c r="O667" s="5"/>
      <c r="P667" s="11" t="n">
        <v>0</v>
      </c>
      <c r="Q667" s="5"/>
      <c r="R667" s="5"/>
      <c r="S667" s="5" t="n">
        <v>0</v>
      </c>
      <c r="T667" s="5"/>
      <c r="U667" s="5"/>
      <c r="V667" s="5"/>
      <c r="W667" s="5" t="n">
        <v>0</v>
      </c>
      <c r="X667" s="5"/>
      <c r="Y667" s="5"/>
      <c r="Z667" s="11"/>
      <c r="AA667" s="5"/>
      <c r="AB667" s="5"/>
    </row>
    <row r="668" customFormat="false" ht="15.75" hidden="false" customHeight="false" outlineLevel="0" collapsed="false">
      <c r="A668" s="5" t="s">
        <v>1516</v>
      </c>
      <c r="B668" s="5" t="s">
        <v>1517</v>
      </c>
      <c r="C668" s="5" t="s">
        <v>1518</v>
      </c>
      <c r="D668" s="5"/>
      <c r="E668" s="5"/>
      <c r="F668" s="5"/>
      <c r="G668" s="9" t="s">
        <v>1519</v>
      </c>
      <c r="H668" s="5" t="n">
        <f aca="false">(COUNTIF(J668:EC668,"=0")+COUNTIF(J668:EC668,"=1"))</f>
        <v>7</v>
      </c>
      <c r="I668" s="10" t="n">
        <f aca="false">IFERROR(ROUND(10-AVERAGE(J668:EC668)*10,0),0)</f>
        <v>10</v>
      </c>
      <c r="J668" s="11" t="n">
        <v>0</v>
      </c>
      <c r="K668" s="11" t="n">
        <v>0</v>
      </c>
      <c r="L668" s="5" t="n">
        <v>0</v>
      </c>
      <c r="M668" s="5"/>
      <c r="N668" s="5"/>
      <c r="O668" s="5"/>
      <c r="P668" s="11" t="n">
        <v>0</v>
      </c>
      <c r="Q668" s="5"/>
      <c r="R668" s="5"/>
      <c r="S668" s="5" t="n">
        <v>0</v>
      </c>
      <c r="T668" s="5"/>
      <c r="U668" s="5"/>
      <c r="V668" s="5"/>
      <c r="W668" s="5" t="n">
        <v>0</v>
      </c>
      <c r="X668" s="5"/>
      <c r="Y668" s="5"/>
      <c r="Z668" s="11" t="n">
        <v>0</v>
      </c>
      <c r="AA668" s="5"/>
      <c r="AB668" s="5"/>
    </row>
    <row r="669" customFormat="false" ht="15.75" hidden="false" customHeight="false" outlineLevel="0" collapsed="false">
      <c r="A669" s="5" t="s">
        <v>1520</v>
      </c>
      <c r="B669" s="5" t="s">
        <v>1520</v>
      </c>
      <c r="C669" s="5" t="s">
        <v>1521</v>
      </c>
      <c r="D669" s="5"/>
      <c r="E669" s="5"/>
      <c r="F669" s="5"/>
      <c r="G669" s="9" t="s">
        <v>1522</v>
      </c>
      <c r="H669" s="5" t="n">
        <f aca="false">(COUNTIF(J669:EC669,"=0")+COUNTIF(J669:EC669,"=1"))</f>
        <v>7</v>
      </c>
      <c r="I669" s="10" t="n">
        <f aca="false">IFERROR(ROUND(10-AVERAGE(J669:EC669)*10,0),0)</f>
        <v>10</v>
      </c>
      <c r="J669" s="5" t="n">
        <v>0</v>
      </c>
      <c r="K669" s="11" t="n">
        <v>0</v>
      </c>
      <c r="L669" s="5" t="n">
        <v>0</v>
      </c>
      <c r="M669" s="5"/>
      <c r="N669" s="5"/>
      <c r="O669" s="5"/>
      <c r="P669" s="11" t="n">
        <v>0</v>
      </c>
      <c r="Q669" s="5"/>
      <c r="R669" s="5"/>
      <c r="S669" s="5" t="n">
        <v>0</v>
      </c>
      <c r="T669" s="5"/>
      <c r="U669" s="5"/>
      <c r="V669" s="5"/>
      <c r="W669" s="5" t="n">
        <v>0</v>
      </c>
      <c r="X669" s="5"/>
      <c r="Y669" s="5"/>
      <c r="Z669" s="11" t="n">
        <v>0</v>
      </c>
      <c r="AA669" s="5"/>
      <c r="AB669" s="5"/>
    </row>
    <row r="670" customFormat="false" ht="15.75" hidden="false" customHeight="false" outlineLevel="0" collapsed="false">
      <c r="A670" s="5" t="s">
        <v>1523</v>
      </c>
      <c r="B670" s="5" t="s">
        <v>1524</v>
      </c>
      <c r="C670" s="5" t="s">
        <v>1525</v>
      </c>
      <c r="D670" s="5"/>
      <c r="E670" s="5"/>
      <c r="F670" s="5"/>
      <c r="G670" s="9" t="s">
        <v>1526</v>
      </c>
      <c r="H670" s="5" t="n">
        <f aca="false">(COUNTIF(J670:EC670,"=0")+COUNTIF(J670:EC670,"=1"))</f>
        <v>7</v>
      </c>
      <c r="I670" s="16" t="n">
        <f aca="false">IFERROR(ROUND(10-AVERAGE(J670:EC670)*10,0),0)</f>
        <v>7</v>
      </c>
      <c r="J670" s="11" t="n">
        <v>0</v>
      </c>
      <c r="K670" s="11" t="n">
        <v>0</v>
      </c>
      <c r="L670" s="5" t="n">
        <v>0</v>
      </c>
      <c r="M670" s="5"/>
      <c r="N670" s="5"/>
      <c r="O670" s="5"/>
      <c r="P670" s="11" t="n">
        <v>0</v>
      </c>
      <c r="Q670" s="5"/>
      <c r="R670" s="5"/>
      <c r="S670" s="5"/>
      <c r="T670" s="11" t="n">
        <v>0</v>
      </c>
      <c r="U670" s="5"/>
      <c r="V670" s="5"/>
      <c r="W670" s="11" t="n">
        <v>1</v>
      </c>
      <c r="X670" s="11" t="n">
        <v>1</v>
      </c>
      <c r="Y670" s="5"/>
      <c r="Z670" s="5"/>
      <c r="AA670" s="5"/>
      <c r="AB670" s="5"/>
    </row>
    <row r="671" customFormat="false" ht="15.75" hidden="false" customHeight="false" outlineLevel="0" collapsed="false">
      <c r="A671" s="5" t="s">
        <v>1523</v>
      </c>
      <c r="B671" s="5" t="s">
        <v>1524</v>
      </c>
      <c r="C671" s="5" t="s">
        <v>1527</v>
      </c>
      <c r="D671" s="5"/>
      <c r="E671" s="5"/>
      <c r="F671" s="5"/>
      <c r="G671" s="5"/>
      <c r="H671" s="5" t="n">
        <f aca="false">(COUNTIF(J671:EC671,"=0")+COUNTIF(J671:EC671,"=1"))</f>
        <v>2</v>
      </c>
      <c r="I671" s="12" t="n">
        <f aca="false">IFERROR(ROUND(10-AVERAGE(J671:EC671)*10,0),0)</f>
        <v>5</v>
      </c>
      <c r="J671" s="11"/>
      <c r="K671" s="11"/>
      <c r="L671" s="5" t="n">
        <v>0</v>
      </c>
      <c r="M671" s="5"/>
      <c r="N671" s="5"/>
      <c r="O671" s="5"/>
      <c r="P671" s="11" t="n">
        <v>1</v>
      </c>
      <c r="Q671" s="5"/>
      <c r="R671" s="5"/>
      <c r="S671" s="5"/>
      <c r="T671" s="5"/>
      <c r="U671" s="5"/>
      <c r="V671" s="5"/>
      <c r="W671" s="11"/>
      <c r="X671" s="5"/>
      <c r="Y671" s="5"/>
      <c r="Z671" s="11"/>
      <c r="AA671" s="5"/>
      <c r="AB671" s="5"/>
    </row>
    <row r="672" customFormat="false" ht="15.75" hidden="false" customHeight="false" outlineLevel="0" collapsed="false">
      <c r="A672" s="5" t="s">
        <v>1523</v>
      </c>
      <c r="B672" s="5" t="s">
        <v>1524</v>
      </c>
      <c r="C672" s="5" t="s">
        <v>1528</v>
      </c>
      <c r="D672" s="5"/>
      <c r="E672" s="5"/>
      <c r="F672" s="5"/>
      <c r="G672" s="9" t="s">
        <v>1529</v>
      </c>
      <c r="H672" s="5" t="n">
        <f aca="false">(COUNTIF(J672:EC672,"=0")+COUNTIF(J672:EC672,"=1"))</f>
        <v>8</v>
      </c>
      <c r="I672" s="16" t="n">
        <f aca="false">IFERROR(ROUND(10-AVERAGE(J672:EC672)*10,0),0)</f>
        <v>8</v>
      </c>
      <c r="J672" s="11" t="n">
        <v>0</v>
      </c>
      <c r="K672" s="11" t="n">
        <v>0</v>
      </c>
      <c r="L672" s="5" t="n">
        <v>0</v>
      </c>
      <c r="M672" s="5"/>
      <c r="N672" s="5"/>
      <c r="O672" s="5"/>
      <c r="P672" s="11" t="n">
        <v>0</v>
      </c>
      <c r="Q672" s="5"/>
      <c r="R672" s="5"/>
      <c r="S672" s="5"/>
      <c r="T672" s="11" t="n">
        <v>0</v>
      </c>
      <c r="U672" s="5"/>
      <c r="V672" s="5"/>
      <c r="W672" s="11" t="n">
        <v>1</v>
      </c>
      <c r="X672" s="11" t="n">
        <v>1</v>
      </c>
      <c r="Y672" s="5"/>
      <c r="Z672" s="5"/>
      <c r="AA672" s="5"/>
      <c r="AB672" s="5"/>
      <c r="AF672" s="5" t="n">
        <v>0</v>
      </c>
    </row>
    <row r="673" customFormat="false" ht="15.75" hidden="false" customHeight="false" outlineLevel="0" collapsed="false">
      <c r="A673" s="5" t="s">
        <v>1523</v>
      </c>
      <c r="B673" s="5" t="s">
        <v>1530</v>
      </c>
      <c r="C673" s="5" t="s">
        <v>1531</v>
      </c>
      <c r="D673" s="5"/>
      <c r="E673" s="5"/>
      <c r="F673" s="5"/>
      <c r="G673" s="9" t="s">
        <v>1532</v>
      </c>
      <c r="H673" s="5" t="n">
        <f aca="false">(COUNTIF(J673:EC673,"=0")+COUNTIF(J673:EC673,"=1"))</f>
        <v>7</v>
      </c>
      <c r="I673" s="15" t="n">
        <f aca="false">IFERROR(ROUND(10-AVERAGE(J673:EC673)*10,0),0)</f>
        <v>6</v>
      </c>
      <c r="J673" s="11" t="n">
        <v>0</v>
      </c>
      <c r="K673" s="11" t="n">
        <v>0</v>
      </c>
      <c r="L673" s="5" t="n">
        <v>0</v>
      </c>
      <c r="M673" s="5"/>
      <c r="N673" s="5"/>
      <c r="O673" s="5"/>
      <c r="P673" s="11" t="n">
        <v>1</v>
      </c>
      <c r="Q673" s="5"/>
      <c r="R673" s="5"/>
      <c r="S673" s="5"/>
      <c r="T673" s="5"/>
      <c r="U673" s="5"/>
      <c r="V673" s="5"/>
      <c r="W673" s="11" t="n">
        <v>1</v>
      </c>
      <c r="X673" s="5" t="n">
        <v>1</v>
      </c>
      <c r="Y673" s="5"/>
      <c r="Z673" s="11" t="n">
        <v>0</v>
      </c>
      <c r="AA673" s="5"/>
      <c r="AB673" s="5"/>
    </row>
    <row r="674" customFormat="false" ht="15.75" hidden="false" customHeight="false" outlineLevel="0" collapsed="false">
      <c r="A674" s="5" t="s">
        <v>1523</v>
      </c>
      <c r="B674" s="5" t="s">
        <v>1533</v>
      </c>
      <c r="C674" s="5" t="s">
        <v>1534</v>
      </c>
      <c r="D674" s="5"/>
      <c r="E674" s="5"/>
      <c r="F674" s="5"/>
      <c r="G674" s="9" t="s">
        <v>1535</v>
      </c>
      <c r="H674" s="5" t="n">
        <f aca="false">(COUNTIF(J674:EC674,"=0")+COUNTIF(J674:EC674,"=1"))</f>
        <v>7</v>
      </c>
      <c r="I674" s="12" t="n">
        <f aca="false">IFERROR(ROUND(10-AVERAGE(J674:EC674)*10,0),0)</f>
        <v>7</v>
      </c>
      <c r="J674" s="11" t="n">
        <v>0</v>
      </c>
      <c r="K674" s="11" t="n">
        <v>0</v>
      </c>
      <c r="L674" s="5" t="n">
        <v>0</v>
      </c>
      <c r="M674" s="5"/>
      <c r="N674" s="5"/>
      <c r="O674" s="5"/>
      <c r="P674" s="11" t="n">
        <v>0</v>
      </c>
      <c r="Q674" s="5"/>
      <c r="R674" s="5"/>
      <c r="S674" s="5"/>
      <c r="T674" s="5"/>
      <c r="U674" s="5"/>
      <c r="V674" s="5"/>
      <c r="W674" s="11" t="n">
        <v>1</v>
      </c>
      <c r="X674" s="5" t="n">
        <v>1</v>
      </c>
      <c r="Y674" s="5"/>
      <c r="Z674" s="11" t="n">
        <v>0</v>
      </c>
      <c r="AA674" s="5"/>
      <c r="AB674" s="5"/>
    </row>
    <row r="675" customFormat="false" ht="15.75" hidden="false" customHeight="false" outlineLevel="0" collapsed="false">
      <c r="A675" s="5" t="s">
        <v>1523</v>
      </c>
      <c r="B675" s="5" t="s">
        <v>1533</v>
      </c>
      <c r="C675" s="5" t="s">
        <v>1536</v>
      </c>
      <c r="D675" s="5"/>
      <c r="E675" s="5"/>
      <c r="F675" s="5"/>
      <c r="G675" s="9" t="s">
        <v>1537</v>
      </c>
      <c r="H675" s="5" t="n">
        <f aca="false">(COUNTIF(J675:EC675,"=0")+COUNTIF(J675:EC675,"=1"))</f>
        <v>7</v>
      </c>
      <c r="I675" s="12" t="n">
        <f aca="false">IFERROR(ROUND(10-AVERAGE(J675:EC675)*10,0),0)</f>
        <v>7</v>
      </c>
      <c r="J675" s="11" t="n">
        <v>0</v>
      </c>
      <c r="K675" s="11" t="n">
        <v>0</v>
      </c>
      <c r="L675" s="5" t="n">
        <v>0</v>
      </c>
      <c r="M675" s="5"/>
      <c r="N675" s="5"/>
      <c r="O675" s="5"/>
      <c r="P675" s="11" t="n">
        <v>0</v>
      </c>
      <c r="Q675" s="5"/>
      <c r="R675" s="5"/>
      <c r="S675" s="5"/>
      <c r="T675" s="11" t="n">
        <v>0</v>
      </c>
      <c r="U675" s="5"/>
      <c r="V675" s="5"/>
      <c r="W675" s="11" t="n">
        <v>1</v>
      </c>
      <c r="X675" s="5" t="n">
        <v>1</v>
      </c>
      <c r="Y675" s="5"/>
      <c r="Z675" s="5"/>
      <c r="AA675" s="5"/>
      <c r="AB675" s="5"/>
    </row>
    <row r="676" customFormat="false" ht="15.75" hidden="false" customHeight="false" outlineLevel="0" collapsed="false">
      <c r="A676" s="5" t="s">
        <v>1523</v>
      </c>
      <c r="B676" s="5" t="s">
        <v>1533</v>
      </c>
      <c r="C676" s="5" t="s">
        <v>1538</v>
      </c>
      <c r="D676" s="5"/>
      <c r="E676" s="5"/>
      <c r="F676" s="5"/>
      <c r="G676" s="9" t="s">
        <v>1539</v>
      </c>
      <c r="H676" s="5" t="n">
        <f aca="false">(COUNTIF(J676:EC676,"=0")+COUNTIF(J676:EC676,"=1"))</f>
        <v>7</v>
      </c>
      <c r="I676" s="12" t="n">
        <f aca="false">IFERROR(ROUND(10-AVERAGE(J676:EC676)*10,0),0)</f>
        <v>7</v>
      </c>
      <c r="J676" s="11" t="n">
        <v>0</v>
      </c>
      <c r="K676" s="11" t="n">
        <v>0</v>
      </c>
      <c r="L676" s="5" t="n">
        <v>0</v>
      </c>
      <c r="M676" s="5"/>
      <c r="N676" s="5"/>
      <c r="O676" s="5"/>
      <c r="P676" s="11" t="n">
        <v>0</v>
      </c>
      <c r="Q676" s="5"/>
      <c r="R676" s="5"/>
      <c r="S676" s="5"/>
      <c r="T676" s="5"/>
      <c r="U676" s="5"/>
      <c r="V676" s="5"/>
      <c r="W676" s="11" t="n">
        <v>1</v>
      </c>
      <c r="X676" s="5" t="n">
        <v>1</v>
      </c>
      <c r="Y676" s="5"/>
      <c r="Z676" s="11" t="n">
        <v>0</v>
      </c>
      <c r="AA676" s="5"/>
      <c r="AB676" s="5"/>
    </row>
    <row r="677" customFormat="false" ht="15.75" hidden="false" customHeight="false" outlineLevel="0" collapsed="false">
      <c r="A677" s="5" t="s">
        <v>1523</v>
      </c>
      <c r="B677" s="5" t="s">
        <v>1533</v>
      </c>
      <c r="C677" s="5" t="s">
        <v>1540</v>
      </c>
      <c r="D677" s="5"/>
      <c r="E677" s="5"/>
      <c r="F677" s="5"/>
      <c r="G677" s="14" t="s">
        <v>1541</v>
      </c>
      <c r="H677" s="5" t="n">
        <f aca="false">(COUNTIF(J677:EC677,"=0")+COUNTIF(J677:EC677,"=1"))</f>
        <v>3</v>
      </c>
      <c r="I677" s="15" t="n">
        <f aca="false">IFERROR(ROUND(10-AVERAGE(J677:EC677)*10,0),0)</f>
        <v>3</v>
      </c>
      <c r="J677" s="5"/>
      <c r="K677" s="5"/>
      <c r="L677" s="5" t="n">
        <v>0</v>
      </c>
      <c r="M677" s="5"/>
      <c r="N677" s="5"/>
      <c r="O677" s="5"/>
      <c r="P677" s="5" t="n">
        <v>1</v>
      </c>
      <c r="Q677" s="5"/>
      <c r="R677" s="5"/>
      <c r="S677" s="5"/>
      <c r="T677" s="5"/>
      <c r="U677" s="5"/>
      <c r="V677" s="5"/>
      <c r="W677" s="5" t="n">
        <v>1</v>
      </c>
      <c r="X677" s="5"/>
      <c r="Y677" s="5"/>
      <c r="Z677" s="5"/>
      <c r="AA677" s="5"/>
      <c r="AB677" s="5"/>
    </row>
    <row r="678" customFormat="false" ht="15.75" hidden="false" customHeight="false" outlineLevel="0" collapsed="false">
      <c r="A678" s="5" t="s">
        <v>1523</v>
      </c>
      <c r="B678" s="5" t="s">
        <v>1533</v>
      </c>
      <c r="C678" s="5" t="s">
        <v>1542</v>
      </c>
      <c r="D678" s="5"/>
      <c r="E678" s="5"/>
      <c r="F678" s="5"/>
      <c r="G678" s="9" t="s">
        <v>1543</v>
      </c>
      <c r="H678" s="5" t="n">
        <f aca="false">(COUNTIF(J678:EC678,"=0")+COUNTIF(J678:EC678,"=1"))</f>
        <v>7</v>
      </c>
      <c r="I678" s="12" t="n">
        <f aca="false">IFERROR(ROUND(10-AVERAGE(J678:EC678)*10,0),0)</f>
        <v>7</v>
      </c>
      <c r="J678" s="11" t="n">
        <v>0</v>
      </c>
      <c r="K678" s="11" t="n">
        <v>0</v>
      </c>
      <c r="L678" s="5" t="n">
        <v>0</v>
      </c>
      <c r="M678" s="5"/>
      <c r="N678" s="5"/>
      <c r="O678" s="5"/>
      <c r="P678" s="11" t="n">
        <v>0</v>
      </c>
      <c r="Q678" s="5"/>
      <c r="R678" s="5"/>
      <c r="S678" s="5"/>
      <c r="T678" s="5"/>
      <c r="U678" s="5"/>
      <c r="V678" s="5"/>
      <c r="W678" s="11" t="n">
        <v>1</v>
      </c>
      <c r="X678" s="5" t="n">
        <v>1</v>
      </c>
      <c r="Y678" s="5"/>
      <c r="Z678" s="11" t="n">
        <v>0</v>
      </c>
      <c r="AA678" s="5"/>
      <c r="AB678" s="5"/>
    </row>
    <row r="679" customFormat="false" ht="15.75" hidden="false" customHeight="false" outlineLevel="0" collapsed="false">
      <c r="A679" s="5" t="s">
        <v>1523</v>
      </c>
      <c r="B679" s="5" t="s">
        <v>1533</v>
      </c>
      <c r="C679" s="5" t="s">
        <v>1544</v>
      </c>
      <c r="D679" s="5" t="s">
        <v>1545</v>
      </c>
      <c r="E679" s="5"/>
      <c r="F679" s="5"/>
      <c r="G679" s="9" t="s">
        <v>1546</v>
      </c>
      <c r="H679" s="5" t="n">
        <f aca="false">(COUNTIF(J679:EC679,"=0")+COUNTIF(J679:EC679,"=1"))</f>
        <v>8</v>
      </c>
      <c r="I679" s="12" t="n">
        <f aca="false">IFERROR(ROUND(10-AVERAGE(J679:EC679)*10,0),0)</f>
        <v>8</v>
      </c>
      <c r="J679" s="11" t="n">
        <v>0</v>
      </c>
      <c r="K679" s="11" t="n">
        <v>0</v>
      </c>
      <c r="L679" s="5" t="n">
        <v>0</v>
      </c>
      <c r="M679" s="5"/>
      <c r="N679" s="5"/>
      <c r="O679" s="5"/>
      <c r="P679" s="11" t="n">
        <v>0</v>
      </c>
      <c r="Q679" s="5"/>
      <c r="R679" s="5"/>
      <c r="S679" s="5"/>
      <c r="T679" s="5"/>
      <c r="U679" s="5"/>
      <c r="V679" s="5"/>
      <c r="W679" s="11" t="n">
        <v>1</v>
      </c>
      <c r="X679" s="5" t="n">
        <v>1</v>
      </c>
      <c r="Y679" s="5"/>
      <c r="Z679" s="11" t="n">
        <v>0</v>
      </c>
      <c r="AA679" s="11" t="n">
        <v>0</v>
      </c>
      <c r="AB679" s="5"/>
    </row>
    <row r="680" customFormat="false" ht="15.75" hidden="false" customHeight="false" outlineLevel="0" collapsed="false">
      <c r="A680" s="5" t="s">
        <v>1523</v>
      </c>
      <c r="B680" s="5" t="s">
        <v>1547</v>
      </c>
      <c r="C680" s="5" t="s">
        <v>1548</v>
      </c>
      <c r="D680" s="5" t="s">
        <v>1549</v>
      </c>
      <c r="E680" s="5"/>
      <c r="F680" s="5"/>
      <c r="G680" s="14" t="s">
        <v>1550</v>
      </c>
      <c r="H680" s="5" t="n">
        <f aca="false">(COUNTIF(J680:EC680,"=0")+COUNTIF(J680:EC680,"=1"))</f>
        <v>3</v>
      </c>
      <c r="I680" s="15" t="n">
        <f aca="false">IFERROR(ROUND(10-AVERAGE(J680:EC680)*10,0),0)</f>
        <v>7</v>
      </c>
      <c r="J680" s="5"/>
      <c r="K680" s="5"/>
      <c r="L680" s="5" t="n">
        <v>0</v>
      </c>
      <c r="M680" s="5"/>
      <c r="N680" s="5"/>
      <c r="O680" s="5"/>
      <c r="P680" s="5" t="n">
        <v>0</v>
      </c>
      <c r="Q680" s="5"/>
      <c r="R680" s="5"/>
      <c r="S680" s="5"/>
      <c r="T680" s="5"/>
      <c r="U680" s="5"/>
      <c r="V680" s="5"/>
      <c r="W680" s="5" t="n">
        <v>1</v>
      </c>
      <c r="X680" s="5"/>
      <c r="Y680" s="5"/>
      <c r="Z680" s="5"/>
      <c r="AA680" s="5"/>
      <c r="AB680" s="5"/>
    </row>
    <row r="681" customFormat="false" ht="15.75" hidden="false" customHeight="false" outlineLevel="0" collapsed="false">
      <c r="A681" s="5" t="s">
        <v>1523</v>
      </c>
      <c r="B681" s="5" t="s">
        <v>1547</v>
      </c>
      <c r="C681" s="5" t="s">
        <v>1551</v>
      </c>
      <c r="D681" s="5" t="s">
        <v>1552</v>
      </c>
      <c r="E681" s="5"/>
      <c r="F681" s="5"/>
      <c r="G681" s="14" t="s">
        <v>1553</v>
      </c>
      <c r="H681" s="5" t="n">
        <f aca="false">(COUNTIF(J681:EC681,"=0")+COUNTIF(J681:EC681,"=1"))</f>
        <v>3</v>
      </c>
      <c r="I681" s="15" t="n">
        <f aca="false">IFERROR(ROUND(10-AVERAGE(J681:EC681)*10,0),0)</f>
        <v>7</v>
      </c>
      <c r="J681" s="5"/>
      <c r="K681" s="5"/>
      <c r="L681" s="5" t="n">
        <v>0</v>
      </c>
      <c r="M681" s="5"/>
      <c r="N681" s="5"/>
      <c r="O681" s="5"/>
      <c r="P681" s="5" t="n">
        <v>0</v>
      </c>
      <c r="Q681" s="5"/>
      <c r="R681" s="5"/>
      <c r="S681" s="5"/>
      <c r="T681" s="5"/>
      <c r="U681" s="5"/>
      <c r="V681" s="5"/>
      <c r="W681" s="5" t="n">
        <v>1</v>
      </c>
      <c r="X681" s="5"/>
      <c r="Y681" s="5"/>
      <c r="Z681" s="5"/>
      <c r="AA681" s="5"/>
      <c r="AB681" s="5"/>
    </row>
    <row r="682" customFormat="false" ht="15.75" hidden="false" customHeight="false" outlineLevel="0" collapsed="false">
      <c r="A682" s="5" t="s">
        <v>1554</v>
      </c>
      <c r="B682" s="5" t="s">
        <v>1554</v>
      </c>
      <c r="C682" s="5" t="s">
        <v>1437</v>
      </c>
      <c r="D682" s="5"/>
      <c r="E682" s="5"/>
      <c r="F682" s="5"/>
      <c r="G682" s="5"/>
      <c r="H682" s="5" t="n">
        <f aca="false">(COUNTIF(J682:EC682,"=0")+COUNTIF(J682:EC682,"=1"))</f>
        <v>1</v>
      </c>
      <c r="I682" s="15" t="n">
        <f aca="false">IFERROR(ROUND(10-AVERAGE(J682:EC682)*10,0),0)</f>
        <v>0</v>
      </c>
      <c r="J682" s="5"/>
      <c r="K682" s="5"/>
      <c r="L682" s="5"/>
      <c r="M682" s="5"/>
      <c r="N682" s="5"/>
      <c r="O682" s="5"/>
      <c r="P682" s="5" t="n">
        <v>1</v>
      </c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customFormat="false" ht="15.75" hidden="false" customHeight="false" outlineLevel="0" collapsed="false">
      <c r="A683" s="5" t="s">
        <v>1555</v>
      </c>
      <c r="D683" s="5"/>
      <c r="E683" s="5"/>
      <c r="F683" s="5"/>
      <c r="G683" s="5"/>
      <c r="H683" s="5" t="n">
        <f aca="false">(COUNTIF(J683:EC683,"=0")+COUNTIF(J683:EC683,"=1"))</f>
        <v>0</v>
      </c>
      <c r="I683" s="18" t="n">
        <f aca="false">IFERROR(ROUND(10-AVERAGE(J683:EC683)*10,0),0)</f>
        <v>0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customFormat="false" ht="15.75" hidden="false" customHeight="false" outlineLevel="0" collapsed="false">
      <c r="A684" s="5" t="s">
        <v>1556</v>
      </c>
      <c r="B684" s="5" t="s">
        <v>1556</v>
      </c>
      <c r="C684" s="5" t="s">
        <v>1557</v>
      </c>
      <c r="D684" s="5"/>
      <c r="E684" s="5"/>
      <c r="G684" s="5"/>
      <c r="H684" s="5" t="n">
        <f aca="false">(COUNTIF(J684:EC684,"=0")+COUNTIF(J684:EC684,"=1"))</f>
        <v>4</v>
      </c>
      <c r="I684" s="12" t="n">
        <f aca="false">IFERROR(ROUND(10-AVERAGE(J684:EC684)*10,0),0)</f>
        <v>8</v>
      </c>
      <c r="J684" s="11" t="n">
        <v>0</v>
      </c>
      <c r="K684" s="11" t="n">
        <v>0</v>
      </c>
      <c r="L684" s="5"/>
      <c r="M684" s="5"/>
      <c r="N684" s="5"/>
      <c r="O684" s="5"/>
      <c r="P684" s="11" t="n">
        <v>1</v>
      </c>
      <c r="Q684" s="5"/>
      <c r="R684" s="5"/>
      <c r="S684" s="5"/>
      <c r="T684" s="5"/>
      <c r="U684" s="5"/>
      <c r="V684" s="5"/>
      <c r="W684" s="5"/>
      <c r="X684" s="5"/>
      <c r="Y684" s="5"/>
      <c r="Z684" s="11" t="n">
        <v>0</v>
      </c>
      <c r="AA684" s="5"/>
      <c r="AB684" s="5"/>
    </row>
    <row r="685" customFormat="false" ht="15.75" hidden="false" customHeight="false" outlineLevel="0" collapsed="false">
      <c r="A685" s="5" t="s">
        <v>1556</v>
      </c>
      <c r="B685" s="5" t="s">
        <v>1556</v>
      </c>
      <c r="C685" s="5" t="s">
        <v>87</v>
      </c>
      <c r="D685" s="5"/>
      <c r="E685" s="5"/>
      <c r="F685" s="5"/>
      <c r="G685" s="9" t="s">
        <v>1558</v>
      </c>
      <c r="H685" s="5" t="n">
        <f aca="false">(COUNTIF(J685:EC685,"=0")+COUNTIF(J685:EC685,"=1"))</f>
        <v>4</v>
      </c>
      <c r="I685" s="12" t="n">
        <f aca="false">IFERROR(ROUND(10-AVERAGE(J685:EC685)*10,0),0)</f>
        <v>8</v>
      </c>
      <c r="J685" s="11" t="n">
        <v>0</v>
      </c>
      <c r="K685" s="11" t="n">
        <v>0</v>
      </c>
      <c r="L685" s="5"/>
      <c r="M685" s="5"/>
      <c r="N685" s="5"/>
      <c r="O685" s="5"/>
      <c r="P685" s="11" t="n">
        <v>1</v>
      </c>
      <c r="Q685" s="5"/>
      <c r="R685" s="5"/>
      <c r="S685" s="5"/>
      <c r="T685" s="5"/>
      <c r="U685" s="5"/>
      <c r="V685" s="5"/>
      <c r="W685" s="5"/>
      <c r="X685" s="5"/>
      <c r="Y685" s="5"/>
      <c r="Z685" s="11" t="n">
        <v>0</v>
      </c>
      <c r="AA685" s="5"/>
      <c r="AB685" s="5"/>
    </row>
    <row r="686" customFormat="false" ht="15.75" hidden="false" customHeight="false" outlineLevel="0" collapsed="false">
      <c r="A686" s="5" t="s">
        <v>1559</v>
      </c>
      <c r="B686" s="5" t="s">
        <v>1559</v>
      </c>
      <c r="C686" s="5" t="s">
        <v>1560</v>
      </c>
      <c r="D686" s="5"/>
      <c r="E686" s="5"/>
      <c r="F686" s="5"/>
      <c r="G686" s="9" t="s">
        <v>1561</v>
      </c>
      <c r="H686" s="5" t="n">
        <f aca="false">(COUNTIF(J686:EC686,"=0")+COUNTIF(J686:EC686,"=1"))</f>
        <v>10</v>
      </c>
      <c r="I686" s="12" t="n">
        <f aca="false">IFERROR(ROUND(10-AVERAGE(J686:EC686)*10,0),0)</f>
        <v>8</v>
      </c>
      <c r="J686" s="11" t="n">
        <v>0</v>
      </c>
      <c r="K686" s="11" t="n">
        <v>1</v>
      </c>
      <c r="L686" s="11" t="n">
        <v>0</v>
      </c>
      <c r="M686" s="5"/>
      <c r="N686" s="5"/>
      <c r="O686" s="11" t="n">
        <v>0</v>
      </c>
      <c r="P686" s="11" t="n">
        <v>0</v>
      </c>
      <c r="Q686" s="11" t="n">
        <v>1</v>
      </c>
      <c r="R686" s="5"/>
      <c r="S686" s="11" t="n">
        <v>0</v>
      </c>
      <c r="T686" s="11" t="n">
        <v>0</v>
      </c>
      <c r="U686" s="5"/>
      <c r="V686" s="5"/>
      <c r="W686" s="5" t="n">
        <v>0</v>
      </c>
      <c r="X686" s="5"/>
      <c r="Y686" s="5"/>
      <c r="Z686" s="5"/>
      <c r="AA686" s="5"/>
      <c r="AB686" s="5"/>
      <c r="AF686" s="5" t="n">
        <v>0</v>
      </c>
    </row>
    <row r="687" customFormat="false" ht="15.75" hidden="false" customHeight="false" outlineLevel="0" collapsed="false">
      <c r="A687" s="5" t="s">
        <v>1559</v>
      </c>
      <c r="B687" s="5" t="s">
        <v>1559</v>
      </c>
      <c r="C687" s="5" t="s">
        <v>1562</v>
      </c>
      <c r="D687" s="5" t="s">
        <v>1563</v>
      </c>
      <c r="E687" s="5"/>
      <c r="F687" s="5"/>
      <c r="G687" s="9" t="s">
        <v>1564</v>
      </c>
      <c r="H687" s="5" t="n">
        <f aca="false">(COUNTIF(J687:EC687,"=0")+COUNTIF(J687:EC687,"=1"))</f>
        <v>2</v>
      </c>
      <c r="I687" s="12" t="n">
        <f aca="false">IFERROR(ROUND(10-AVERAGE(J687:EC687)*10,0),0)</f>
        <v>5</v>
      </c>
      <c r="J687" s="11"/>
      <c r="K687" s="11"/>
      <c r="L687" s="11" t="n">
        <v>1</v>
      </c>
      <c r="M687" s="5"/>
      <c r="N687" s="5"/>
      <c r="O687" s="11"/>
      <c r="P687" s="11" t="n">
        <v>0</v>
      </c>
      <c r="Q687" s="11"/>
      <c r="R687" s="5"/>
      <c r="S687" s="11"/>
      <c r="T687" s="11"/>
      <c r="U687" s="5"/>
      <c r="V687" s="5"/>
      <c r="W687" s="5"/>
      <c r="X687" s="5"/>
      <c r="Y687" s="5"/>
      <c r="Z687" s="5"/>
      <c r="AA687" s="5"/>
      <c r="AB687" s="5"/>
    </row>
    <row r="688" customFormat="false" ht="15.75" hidden="false" customHeight="false" outlineLevel="0" collapsed="false">
      <c r="A688" s="5" t="s">
        <v>1565</v>
      </c>
      <c r="B688" s="5" t="s">
        <v>1565</v>
      </c>
      <c r="C688" s="5" t="s">
        <v>1566</v>
      </c>
      <c r="D688" s="5"/>
      <c r="E688" s="5"/>
      <c r="F688" s="5"/>
      <c r="G688" s="5"/>
      <c r="H688" s="5" t="n">
        <f aca="false">(COUNTIF(J688:EC688,"=0")+COUNTIF(J688:EC688,"=1"))</f>
        <v>6</v>
      </c>
      <c r="I688" s="16" t="n">
        <f aca="false">IFERROR(ROUND(10-AVERAGE(J688:EC688)*10,0),0)</f>
        <v>7</v>
      </c>
      <c r="J688" s="11" t="n">
        <v>0</v>
      </c>
      <c r="K688" s="11" t="n">
        <v>0</v>
      </c>
      <c r="L688" s="5"/>
      <c r="M688" s="5"/>
      <c r="N688" s="5"/>
      <c r="O688" s="5"/>
      <c r="P688" s="11" t="n">
        <v>1</v>
      </c>
      <c r="Q688" s="5"/>
      <c r="R688" s="5"/>
      <c r="S688" s="5"/>
      <c r="T688" s="11" t="n">
        <v>0</v>
      </c>
      <c r="U688" s="5"/>
      <c r="V688" s="5"/>
      <c r="W688" s="5"/>
      <c r="X688" s="11" t="n">
        <v>1</v>
      </c>
      <c r="Y688" s="5"/>
      <c r="Z688" s="5"/>
      <c r="AA688" s="11" t="n">
        <v>0</v>
      </c>
      <c r="AB688" s="5"/>
    </row>
    <row r="689" customFormat="false" ht="15.75" hidden="false" customHeight="false" outlineLevel="0" collapsed="false">
      <c r="A689" s="5" t="s">
        <v>1567</v>
      </c>
      <c r="B689" s="5" t="s">
        <v>1567</v>
      </c>
      <c r="C689" s="5" t="s">
        <v>1568</v>
      </c>
      <c r="D689" s="5"/>
      <c r="E689" s="5"/>
      <c r="F689" s="5"/>
      <c r="G689" s="9" t="s">
        <v>1569</v>
      </c>
      <c r="H689" s="5" t="n">
        <f aca="false">(COUNTIF(J689:EC689,"=0")+COUNTIF(J689:EC689,"=1"))</f>
        <v>5</v>
      </c>
      <c r="I689" s="15" t="n">
        <f aca="false">IFERROR(ROUND(10-AVERAGE(J689:EC689)*10,0),0)</f>
        <v>6</v>
      </c>
      <c r="J689" s="11" t="n">
        <v>0</v>
      </c>
      <c r="K689" s="11" t="n">
        <v>1</v>
      </c>
      <c r="L689" s="5"/>
      <c r="M689" s="5"/>
      <c r="N689" s="5"/>
      <c r="O689" s="5"/>
      <c r="P689" s="11" t="n">
        <v>1</v>
      </c>
      <c r="Q689" s="11" t="n">
        <v>0</v>
      </c>
      <c r="R689" s="5"/>
      <c r="S689" s="5"/>
      <c r="T689" s="11" t="n">
        <v>0</v>
      </c>
      <c r="U689" s="5"/>
      <c r="V689" s="5"/>
      <c r="W689" s="5"/>
      <c r="X689" s="5"/>
      <c r="Y689" s="5"/>
      <c r="Z689" s="5"/>
      <c r="AA689" s="5"/>
      <c r="AB689" s="5"/>
    </row>
    <row r="690" customFormat="false" ht="15.75" hidden="false" customHeight="false" outlineLevel="0" collapsed="false">
      <c r="A690" s="5" t="s">
        <v>1567</v>
      </c>
      <c r="B690" s="5" t="s">
        <v>1567</v>
      </c>
      <c r="C690" s="5" t="s">
        <v>1570</v>
      </c>
      <c r="D690" s="5"/>
      <c r="E690" s="5"/>
      <c r="F690" s="5"/>
      <c r="G690" s="9" t="s">
        <v>1571</v>
      </c>
      <c r="H690" s="5" t="n">
        <f aca="false">(COUNTIF(J690:EC690,"=0")+COUNTIF(J690:EC690,"=1"))</f>
        <v>5</v>
      </c>
      <c r="I690" s="12" t="n">
        <f aca="false">IFERROR(ROUND(10-AVERAGE(J690:EC690)*10,0),0)</f>
        <v>8</v>
      </c>
      <c r="J690" s="11" t="n">
        <v>0</v>
      </c>
      <c r="K690" s="11" t="n">
        <v>0</v>
      </c>
      <c r="L690" s="5"/>
      <c r="M690" s="5"/>
      <c r="N690" s="5"/>
      <c r="O690" s="5"/>
      <c r="P690" s="11" t="n">
        <v>1</v>
      </c>
      <c r="Q690" s="5"/>
      <c r="R690" s="5"/>
      <c r="S690" s="5"/>
      <c r="T690" s="11" t="n">
        <v>0</v>
      </c>
      <c r="U690" s="5"/>
      <c r="V690" s="5"/>
      <c r="W690" s="5"/>
      <c r="X690" s="5"/>
      <c r="Y690" s="5"/>
      <c r="Z690" s="11" t="n">
        <v>0</v>
      </c>
      <c r="AA690" s="5"/>
      <c r="AB690" s="5"/>
    </row>
    <row r="691" customFormat="false" ht="15.75" hidden="false" customHeight="false" outlineLevel="0" collapsed="false">
      <c r="A691" s="5" t="s">
        <v>1567</v>
      </c>
      <c r="B691" s="5" t="s">
        <v>1567</v>
      </c>
      <c r="C691" s="5" t="s">
        <v>1572</v>
      </c>
      <c r="D691" s="5"/>
      <c r="E691" s="5"/>
      <c r="F691" s="5"/>
      <c r="G691" s="9" t="s">
        <v>1573</v>
      </c>
      <c r="H691" s="5" t="n">
        <f aca="false">(COUNTIF(J691:EC691,"=0")+COUNTIF(J691:EC691,"=1"))</f>
        <v>5</v>
      </c>
      <c r="I691" s="12" t="n">
        <f aca="false">IFERROR(ROUND(10-AVERAGE(J691:EC691)*10,0),0)</f>
        <v>8</v>
      </c>
      <c r="J691" s="11" t="n">
        <v>0</v>
      </c>
      <c r="K691" s="11" t="n">
        <v>0</v>
      </c>
      <c r="L691" s="5"/>
      <c r="M691" s="5"/>
      <c r="N691" s="5"/>
      <c r="O691" s="5"/>
      <c r="P691" s="11" t="n">
        <v>1</v>
      </c>
      <c r="Q691" s="5"/>
      <c r="R691" s="5"/>
      <c r="S691" s="5"/>
      <c r="T691" s="11" t="n">
        <v>0</v>
      </c>
      <c r="U691" s="5"/>
      <c r="V691" s="5"/>
      <c r="W691" s="5"/>
      <c r="X691" s="5"/>
      <c r="Y691" s="5"/>
      <c r="Z691" s="11" t="n">
        <v>0</v>
      </c>
      <c r="AA691" s="5"/>
      <c r="AB691" s="5"/>
    </row>
    <row r="692" customFormat="false" ht="15.75" hidden="false" customHeight="false" outlineLevel="0" collapsed="false">
      <c r="A692" s="5" t="s">
        <v>1567</v>
      </c>
      <c r="B692" s="5" t="s">
        <v>1567</v>
      </c>
      <c r="C692" s="5" t="s">
        <v>1574</v>
      </c>
      <c r="D692" s="5"/>
      <c r="E692" s="5"/>
      <c r="F692" s="5"/>
      <c r="G692" s="9" t="s">
        <v>1575</v>
      </c>
      <c r="H692" s="5" t="n">
        <f aca="false">(COUNTIF(J692:EC692,"=0")+COUNTIF(J692:EC692,"=1"))</f>
        <v>5</v>
      </c>
      <c r="I692" s="15" t="n">
        <f aca="false">IFERROR(ROUND(10-AVERAGE(J692:EC692)*10,0),0)</f>
        <v>6</v>
      </c>
      <c r="J692" s="11" t="n">
        <v>0</v>
      </c>
      <c r="K692" s="11" t="n">
        <v>1</v>
      </c>
      <c r="L692" s="5"/>
      <c r="M692" s="5"/>
      <c r="N692" s="5"/>
      <c r="O692" s="5"/>
      <c r="P692" s="11" t="n">
        <v>1</v>
      </c>
      <c r="Q692" s="11" t="n">
        <v>0</v>
      </c>
      <c r="R692" s="5"/>
      <c r="S692" s="5"/>
      <c r="T692" s="11" t="n">
        <v>0</v>
      </c>
      <c r="U692" s="5"/>
      <c r="V692" s="5"/>
      <c r="W692" s="5"/>
      <c r="X692" s="5"/>
      <c r="Y692" s="5"/>
      <c r="Z692" s="5"/>
      <c r="AA692" s="5"/>
      <c r="AB692" s="5"/>
    </row>
    <row r="693" customFormat="false" ht="15.75" hidden="false" customHeight="false" outlineLevel="0" collapsed="false">
      <c r="A693" s="5" t="s">
        <v>1567</v>
      </c>
      <c r="B693" s="5" t="s">
        <v>1567</v>
      </c>
      <c r="C693" s="5" t="s">
        <v>1576</v>
      </c>
      <c r="D693" s="5"/>
      <c r="E693" s="5"/>
      <c r="F693" s="5"/>
      <c r="G693" s="9" t="s">
        <v>1577</v>
      </c>
      <c r="H693" s="5" t="n">
        <f aca="false">(COUNTIF(J693:EC693,"=0")+COUNTIF(J693:EC693,"=1"))</f>
        <v>5</v>
      </c>
      <c r="I693" s="12" t="n">
        <f aca="false">IFERROR(ROUND(10-AVERAGE(J693:EC693)*10,0),0)</f>
        <v>8</v>
      </c>
      <c r="J693" s="11" t="n">
        <v>0</v>
      </c>
      <c r="K693" s="11" t="n">
        <v>0</v>
      </c>
      <c r="L693" s="5"/>
      <c r="M693" s="5"/>
      <c r="N693" s="5"/>
      <c r="O693" s="5"/>
      <c r="P693" s="11" t="n">
        <v>1</v>
      </c>
      <c r="Q693" s="11" t="n">
        <v>0</v>
      </c>
      <c r="R693" s="5"/>
      <c r="S693" s="5"/>
      <c r="T693" s="11" t="n">
        <v>0</v>
      </c>
      <c r="U693" s="5"/>
      <c r="V693" s="5"/>
      <c r="W693" s="5"/>
      <c r="X693" s="5"/>
      <c r="Y693" s="5"/>
      <c r="Z693" s="5"/>
      <c r="AA693" s="5"/>
      <c r="AB693" s="5"/>
    </row>
    <row r="694" customFormat="false" ht="15.75" hidden="false" customHeight="false" outlineLevel="0" collapsed="false">
      <c r="A694" s="5" t="s">
        <v>1567</v>
      </c>
      <c r="B694" s="5" t="s">
        <v>1567</v>
      </c>
      <c r="C694" s="5" t="s">
        <v>1578</v>
      </c>
      <c r="D694" s="5"/>
      <c r="E694" s="5"/>
      <c r="F694" s="5"/>
      <c r="G694" s="9" t="s">
        <v>1579</v>
      </c>
      <c r="H694" s="5" t="n">
        <f aca="false">(COUNTIF(J694:EC694,"=0")+COUNTIF(J694:EC694,"=1"))</f>
        <v>5</v>
      </c>
      <c r="I694" s="12" t="n">
        <f aca="false">IFERROR(ROUND(10-AVERAGE(J694:EC694)*10,0),0)</f>
        <v>8</v>
      </c>
      <c r="J694" s="11" t="n">
        <v>0</v>
      </c>
      <c r="K694" s="11" t="n">
        <v>0</v>
      </c>
      <c r="L694" s="5"/>
      <c r="M694" s="5"/>
      <c r="N694" s="5"/>
      <c r="O694" s="5"/>
      <c r="P694" s="11" t="n">
        <v>1</v>
      </c>
      <c r="Q694" s="11" t="n">
        <v>0</v>
      </c>
      <c r="R694" s="5"/>
      <c r="S694" s="5"/>
      <c r="T694" s="11" t="n">
        <v>0</v>
      </c>
      <c r="U694" s="5"/>
      <c r="V694" s="5"/>
      <c r="W694" s="5"/>
      <c r="X694" s="5"/>
      <c r="Y694" s="5"/>
      <c r="Z694" s="5"/>
      <c r="AA694" s="5"/>
      <c r="AB694" s="5"/>
    </row>
    <row r="695" customFormat="false" ht="15.75" hidden="false" customHeight="false" outlineLevel="0" collapsed="false">
      <c r="A695" s="5" t="s">
        <v>1567</v>
      </c>
      <c r="B695" s="5" t="s">
        <v>1567</v>
      </c>
      <c r="C695" s="5" t="s">
        <v>1580</v>
      </c>
      <c r="D695" s="5"/>
      <c r="E695" s="5"/>
      <c r="F695" s="5"/>
      <c r="G695" s="9" t="s">
        <v>1581</v>
      </c>
      <c r="H695" s="5" t="n">
        <f aca="false">(COUNTIF(J695:EC695,"=0")+COUNTIF(J695:EC695,"=1"))</f>
        <v>5</v>
      </c>
      <c r="I695" s="12" t="n">
        <f aca="false">IFERROR(ROUND(10-AVERAGE(J695:EC695)*10,0),0)</f>
        <v>8</v>
      </c>
      <c r="J695" s="11" t="n">
        <v>0</v>
      </c>
      <c r="K695" s="11" t="n">
        <v>0</v>
      </c>
      <c r="L695" s="5"/>
      <c r="M695" s="5"/>
      <c r="N695" s="5"/>
      <c r="O695" s="5"/>
      <c r="P695" s="11" t="n">
        <v>1</v>
      </c>
      <c r="Q695" s="11" t="n">
        <v>0</v>
      </c>
      <c r="R695" s="5"/>
      <c r="S695" s="5"/>
      <c r="T695" s="11" t="n">
        <v>0</v>
      </c>
      <c r="U695" s="5"/>
      <c r="V695" s="5"/>
      <c r="W695" s="5"/>
      <c r="X695" s="5"/>
      <c r="Y695" s="5"/>
      <c r="Z695" s="5"/>
      <c r="AA695" s="5"/>
      <c r="AB695" s="5"/>
    </row>
    <row r="696" customFormat="false" ht="15.75" hidden="false" customHeight="false" outlineLevel="0" collapsed="false">
      <c r="A696" s="5" t="s">
        <v>1567</v>
      </c>
      <c r="B696" s="5" t="s">
        <v>1567</v>
      </c>
      <c r="C696" s="5" t="s">
        <v>1582</v>
      </c>
      <c r="D696" s="5"/>
      <c r="E696" s="5"/>
      <c r="F696" s="5"/>
      <c r="G696" s="9" t="s">
        <v>1583</v>
      </c>
      <c r="H696" s="5" t="n">
        <f aca="false">(COUNTIF(J696:EC696,"=0")+COUNTIF(J696:EC696,"=1"))</f>
        <v>5</v>
      </c>
      <c r="I696" s="12" t="n">
        <f aca="false">IFERROR(ROUND(10-AVERAGE(J696:EC696)*10,0),0)</f>
        <v>8</v>
      </c>
      <c r="J696" s="11" t="n">
        <v>0</v>
      </c>
      <c r="K696" s="11" t="n">
        <v>0</v>
      </c>
      <c r="L696" s="5"/>
      <c r="M696" s="5"/>
      <c r="N696" s="5"/>
      <c r="O696" s="5"/>
      <c r="P696" s="11" t="n">
        <v>1</v>
      </c>
      <c r="Q696" s="11" t="n">
        <v>0</v>
      </c>
      <c r="R696" s="5"/>
      <c r="S696" s="5"/>
      <c r="T696" s="11" t="n">
        <v>0</v>
      </c>
      <c r="U696" s="5"/>
      <c r="V696" s="5"/>
      <c r="W696" s="5"/>
      <c r="X696" s="5"/>
      <c r="Y696" s="5"/>
      <c r="Z696" s="5"/>
      <c r="AA696" s="5"/>
      <c r="AB696" s="5"/>
    </row>
    <row r="697" customFormat="false" ht="15.75" hidden="false" customHeight="false" outlineLevel="0" collapsed="false">
      <c r="A697" s="5" t="s">
        <v>1567</v>
      </c>
      <c r="B697" s="5" t="s">
        <v>1567</v>
      </c>
      <c r="C697" s="5" t="s">
        <v>1584</v>
      </c>
      <c r="D697" s="5"/>
      <c r="E697" s="5"/>
      <c r="F697" s="5"/>
      <c r="G697" s="9" t="s">
        <v>1585</v>
      </c>
      <c r="H697" s="5" t="n">
        <f aca="false">(COUNTIF(J697:EC697,"=0")+COUNTIF(J697:EC697,"=1"))</f>
        <v>5</v>
      </c>
      <c r="I697" s="15" t="n">
        <f aca="false">IFERROR(ROUND(10-AVERAGE(J697:EC697)*10,0),0)</f>
        <v>6</v>
      </c>
      <c r="J697" s="11" t="n">
        <v>0</v>
      </c>
      <c r="K697" s="11" t="n">
        <v>1</v>
      </c>
      <c r="L697" s="5"/>
      <c r="M697" s="5"/>
      <c r="N697" s="5"/>
      <c r="O697" s="5"/>
      <c r="P697" s="11" t="n">
        <v>1</v>
      </c>
      <c r="Q697" s="5"/>
      <c r="R697" s="5"/>
      <c r="S697" s="5"/>
      <c r="T697" s="11" t="n">
        <v>0</v>
      </c>
      <c r="U697" s="5"/>
      <c r="V697" s="5"/>
      <c r="W697" s="5"/>
      <c r="X697" s="5"/>
      <c r="Y697" s="5"/>
      <c r="Z697" s="11" t="n">
        <v>0</v>
      </c>
      <c r="AA697" s="5"/>
      <c r="AB697" s="5"/>
    </row>
    <row r="698" customFormat="false" ht="15.75" hidden="false" customHeight="false" outlineLevel="0" collapsed="false">
      <c r="A698" s="5" t="s">
        <v>1567</v>
      </c>
      <c r="B698" s="5" t="s">
        <v>1567</v>
      </c>
      <c r="C698" s="5" t="s">
        <v>1586</v>
      </c>
      <c r="D698" s="5"/>
      <c r="E698" s="5"/>
      <c r="F698" s="5"/>
      <c r="G698" s="9" t="s">
        <v>1587</v>
      </c>
      <c r="H698" s="5" t="n">
        <f aca="false">(COUNTIF(J698:EC698,"=0")+COUNTIF(J698:EC698,"=1"))</f>
        <v>5</v>
      </c>
      <c r="I698" s="12" t="n">
        <f aca="false">IFERROR(ROUND(10-AVERAGE(J698:EC698)*10,0),0)</f>
        <v>8</v>
      </c>
      <c r="J698" s="11" t="n">
        <v>0</v>
      </c>
      <c r="K698" s="11" t="n">
        <v>0</v>
      </c>
      <c r="L698" s="5"/>
      <c r="M698" s="5"/>
      <c r="N698" s="5"/>
      <c r="O698" s="5"/>
      <c r="P698" s="11" t="n">
        <v>1</v>
      </c>
      <c r="Q698" s="5"/>
      <c r="R698" s="5"/>
      <c r="S698" s="5"/>
      <c r="T698" s="11" t="n">
        <v>0</v>
      </c>
      <c r="U698" s="5"/>
      <c r="V698" s="5"/>
      <c r="W698" s="5"/>
      <c r="X698" s="5"/>
      <c r="Y698" s="5"/>
      <c r="Z698" s="11" t="n">
        <v>0</v>
      </c>
      <c r="AA698" s="5"/>
      <c r="AB698" s="5"/>
    </row>
    <row r="699" customFormat="false" ht="15.75" hidden="false" customHeight="false" outlineLevel="0" collapsed="false">
      <c r="A699" s="5" t="s">
        <v>1567</v>
      </c>
      <c r="B699" s="5" t="s">
        <v>1567</v>
      </c>
      <c r="C699" s="5" t="s">
        <v>1588</v>
      </c>
      <c r="D699" s="5"/>
      <c r="E699" s="5"/>
      <c r="F699" s="5"/>
      <c r="G699" s="9" t="s">
        <v>1589</v>
      </c>
      <c r="H699" s="5" t="n">
        <f aca="false">(COUNTIF(J699:EC699,"=0")+COUNTIF(J699:EC699,"=1"))</f>
        <v>5</v>
      </c>
      <c r="I699" s="15" t="n">
        <f aca="false">IFERROR(ROUND(10-AVERAGE(J699:EC699)*10,0),0)</f>
        <v>6</v>
      </c>
      <c r="J699" s="11" t="n">
        <v>0</v>
      </c>
      <c r="K699" s="11" t="n">
        <v>1</v>
      </c>
      <c r="L699" s="5"/>
      <c r="M699" s="5"/>
      <c r="N699" s="5"/>
      <c r="O699" s="5"/>
      <c r="P699" s="11" t="n">
        <v>1</v>
      </c>
      <c r="Q699" s="11" t="n">
        <v>0</v>
      </c>
      <c r="R699" s="5"/>
      <c r="S699" s="5"/>
      <c r="T699" s="11" t="n">
        <v>0</v>
      </c>
      <c r="U699" s="5"/>
      <c r="V699" s="5"/>
      <c r="W699" s="5"/>
      <c r="X699" s="5"/>
      <c r="Y699" s="5"/>
      <c r="Z699" s="5"/>
      <c r="AA699" s="5"/>
      <c r="AB699" s="5"/>
    </row>
    <row r="700" customFormat="false" ht="15.75" hidden="false" customHeight="false" outlineLevel="0" collapsed="false">
      <c r="A700" s="5" t="s">
        <v>1567</v>
      </c>
      <c r="B700" s="5" t="s">
        <v>1567</v>
      </c>
      <c r="C700" s="5" t="s">
        <v>1590</v>
      </c>
      <c r="D700" s="5"/>
      <c r="E700" s="5"/>
      <c r="F700" s="5"/>
      <c r="G700" s="9" t="s">
        <v>1591</v>
      </c>
      <c r="H700" s="5" t="n">
        <f aca="false">(COUNTIF(J700:EC700,"=0")+COUNTIF(J700:EC700,"=1"))</f>
        <v>5</v>
      </c>
      <c r="I700" s="15" t="n">
        <f aca="false">IFERROR(ROUND(10-AVERAGE(J700:EC700)*10,0),0)</f>
        <v>6</v>
      </c>
      <c r="J700" s="11" t="n">
        <v>0</v>
      </c>
      <c r="K700" s="11" t="n">
        <v>1</v>
      </c>
      <c r="L700" s="5"/>
      <c r="M700" s="5"/>
      <c r="N700" s="5"/>
      <c r="O700" s="5"/>
      <c r="P700" s="11" t="n">
        <v>1</v>
      </c>
      <c r="Q700" s="11" t="n">
        <v>0</v>
      </c>
      <c r="R700" s="5"/>
      <c r="S700" s="5"/>
      <c r="T700" s="11" t="n">
        <v>0</v>
      </c>
      <c r="U700" s="5"/>
      <c r="V700" s="5"/>
      <c r="W700" s="5"/>
      <c r="X700" s="5"/>
      <c r="Y700" s="5"/>
      <c r="Z700" s="5"/>
      <c r="AA700" s="5"/>
      <c r="AB700" s="5"/>
    </row>
    <row r="701" customFormat="false" ht="15.75" hidden="false" customHeight="false" outlineLevel="0" collapsed="false">
      <c r="A701" s="5" t="s">
        <v>1567</v>
      </c>
      <c r="B701" s="5" t="s">
        <v>1567</v>
      </c>
      <c r="C701" s="5" t="s">
        <v>1592</v>
      </c>
      <c r="D701" s="5"/>
      <c r="E701" s="5"/>
      <c r="F701" s="5"/>
      <c r="G701" s="9" t="s">
        <v>1593</v>
      </c>
      <c r="H701" s="5" t="n">
        <f aca="false">(COUNTIF(J701:EC701,"=0")+COUNTIF(J701:EC701,"=1"))</f>
        <v>6</v>
      </c>
      <c r="I701" s="12" t="n">
        <f aca="false">IFERROR(ROUND(10-AVERAGE(J701:EC701)*10,0),0)</f>
        <v>8</v>
      </c>
      <c r="J701" s="11" t="n">
        <v>0</v>
      </c>
      <c r="K701" s="11" t="n">
        <v>0</v>
      </c>
      <c r="L701" s="5"/>
      <c r="M701" s="5"/>
      <c r="N701" s="5"/>
      <c r="O701" s="5"/>
      <c r="P701" s="11" t="n">
        <v>1</v>
      </c>
      <c r="Q701" s="11" t="n">
        <v>0</v>
      </c>
      <c r="R701" s="5"/>
      <c r="S701" s="5"/>
      <c r="T701" s="11" t="n">
        <v>0</v>
      </c>
      <c r="U701" s="5"/>
      <c r="V701" s="5"/>
      <c r="W701" s="5" t="n">
        <v>0</v>
      </c>
      <c r="X701" s="5"/>
      <c r="Y701" s="5"/>
      <c r="Z701" s="5"/>
      <c r="AA701" s="5"/>
      <c r="AB701" s="5"/>
    </row>
    <row r="702" customFormat="false" ht="15.75" hidden="false" customHeight="false" outlineLevel="0" collapsed="false">
      <c r="A702" s="5" t="s">
        <v>1567</v>
      </c>
      <c r="B702" s="5" t="s">
        <v>1567</v>
      </c>
      <c r="C702" s="5" t="s">
        <v>1594</v>
      </c>
      <c r="D702" s="5"/>
      <c r="E702" s="5"/>
      <c r="F702" s="5"/>
      <c r="G702" s="9" t="s">
        <v>1595</v>
      </c>
      <c r="H702" s="5" t="n">
        <f aca="false">(COUNTIF(J702:EC702,"=0")+COUNTIF(J702:EC702,"=1"))</f>
        <v>5</v>
      </c>
      <c r="I702" s="12" t="n">
        <f aca="false">IFERROR(ROUND(10-AVERAGE(J702:EC702)*10,0),0)</f>
        <v>8</v>
      </c>
      <c r="J702" s="11" t="n">
        <v>0</v>
      </c>
      <c r="K702" s="11" t="n">
        <v>0</v>
      </c>
      <c r="L702" s="5"/>
      <c r="M702" s="5"/>
      <c r="N702" s="5"/>
      <c r="O702" s="5"/>
      <c r="P702" s="11" t="n">
        <v>1</v>
      </c>
      <c r="Q702" s="5"/>
      <c r="R702" s="5"/>
      <c r="S702" s="5"/>
      <c r="T702" s="11" t="n">
        <v>0</v>
      </c>
      <c r="U702" s="5"/>
      <c r="V702" s="5"/>
      <c r="W702" s="5"/>
      <c r="X702" s="5"/>
      <c r="Y702" s="5"/>
      <c r="Z702" s="11" t="n">
        <v>0</v>
      </c>
      <c r="AA702" s="5"/>
      <c r="AB702" s="5"/>
    </row>
    <row r="703" customFormat="false" ht="15.75" hidden="false" customHeight="false" outlineLevel="0" collapsed="false">
      <c r="A703" s="5" t="s">
        <v>1567</v>
      </c>
      <c r="B703" s="5" t="s">
        <v>1567</v>
      </c>
      <c r="C703" s="5" t="s">
        <v>1596</v>
      </c>
      <c r="D703" s="5"/>
      <c r="E703" s="5"/>
      <c r="F703" s="5"/>
      <c r="G703" s="9" t="s">
        <v>1597</v>
      </c>
      <c r="H703" s="5" t="n">
        <f aca="false">(COUNTIF(J703:EC703,"=0")+COUNTIF(J703:EC703,"=1"))</f>
        <v>5</v>
      </c>
      <c r="I703" s="15" t="n">
        <f aca="false">IFERROR(ROUND(10-AVERAGE(J703:EC703)*10,0),0)</f>
        <v>6</v>
      </c>
      <c r="J703" s="11" t="n">
        <v>0</v>
      </c>
      <c r="K703" s="11" t="n">
        <v>1</v>
      </c>
      <c r="L703" s="5"/>
      <c r="M703" s="5"/>
      <c r="N703" s="5"/>
      <c r="O703" s="5"/>
      <c r="P703" s="11" t="n">
        <v>1</v>
      </c>
      <c r="Q703" s="11" t="n">
        <v>0</v>
      </c>
      <c r="R703" s="5"/>
      <c r="S703" s="5"/>
      <c r="T703" s="11" t="n">
        <v>0</v>
      </c>
      <c r="U703" s="5"/>
      <c r="V703" s="5"/>
      <c r="W703" s="5"/>
      <c r="X703" s="5"/>
      <c r="Y703" s="5"/>
      <c r="Z703" s="5"/>
      <c r="AA703" s="5"/>
      <c r="AB703" s="5"/>
    </row>
    <row r="704" customFormat="false" ht="15.75" hidden="false" customHeight="false" outlineLevel="0" collapsed="false">
      <c r="A704" s="5" t="s">
        <v>1567</v>
      </c>
      <c r="B704" s="5" t="s">
        <v>1567</v>
      </c>
      <c r="C704" s="5" t="s">
        <v>1598</v>
      </c>
      <c r="D704" s="5"/>
      <c r="E704" s="5"/>
      <c r="F704" s="5"/>
      <c r="G704" s="9" t="s">
        <v>1599</v>
      </c>
      <c r="H704" s="5" t="n">
        <f aca="false">(COUNTIF(J704:EC704,"=0")+COUNTIF(J704:EC704,"=1"))</f>
        <v>5</v>
      </c>
      <c r="I704" s="12" t="n">
        <f aca="false">IFERROR(ROUND(10-AVERAGE(J704:EC704)*10,0),0)</f>
        <v>8</v>
      </c>
      <c r="J704" s="11" t="n">
        <v>0</v>
      </c>
      <c r="K704" s="11" t="n">
        <v>0</v>
      </c>
      <c r="L704" s="5"/>
      <c r="M704" s="5"/>
      <c r="N704" s="5"/>
      <c r="O704" s="5"/>
      <c r="P704" s="11" t="n">
        <v>1</v>
      </c>
      <c r="Q704" s="11" t="n">
        <v>0</v>
      </c>
      <c r="R704" s="5"/>
      <c r="S704" s="5"/>
      <c r="T704" s="11" t="n">
        <v>0</v>
      </c>
      <c r="U704" s="5"/>
      <c r="V704" s="5"/>
      <c r="W704" s="5"/>
      <c r="X704" s="5"/>
      <c r="Y704" s="5"/>
      <c r="Z704" s="5"/>
      <c r="AA704" s="5"/>
      <c r="AB704" s="5"/>
    </row>
    <row r="705" customFormat="false" ht="15.75" hidden="false" customHeight="false" outlineLevel="0" collapsed="false">
      <c r="A705" s="5" t="s">
        <v>1567</v>
      </c>
      <c r="B705" s="5" t="s">
        <v>1567</v>
      </c>
      <c r="C705" s="5" t="s">
        <v>1600</v>
      </c>
      <c r="D705" s="5"/>
      <c r="E705" s="5"/>
      <c r="F705" s="5"/>
      <c r="G705" s="9" t="s">
        <v>1601</v>
      </c>
      <c r="H705" s="5" t="n">
        <f aca="false">(COUNTIF(J705:EC705,"=0")+COUNTIF(J705:EC705,"=1"))</f>
        <v>5</v>
      </c>
      <c r="I705" s="15" t="n">
        <f aca="false">IFERROR(ROUND(10-AVERAGE(J705:EC705)*10,0),0)</f>
        <v>6</v>
      </c>
      <c r="J705" s="11" t="n">
        <v>0</v>
      </c>
      <c r="K705" s="11" t="n">
        <v>1</v>
      </c>
      <c r="L705" s="5"/>
      <c r="M705" s="5"/>
      <c r="N705" s="5"/>
      <c r="O705" s="5"/>
      <c r="P705" s="11" t="n">
        <v>1</v>
      </c>
      <c r="Q705" s="11" t="n">
        <v>0</v>
      </c>
      <c r="R705" s="5"/>
      <c r="S705" s="5"/>
      <c r="T705" s="11" t="n">
        <v>0</v>
      </c>
      <c r="U705" s="5"/>
      <c r="V705" s="5"/>
      <c r="W705" s="5"/>
      <c r="X705" s="5"/>
      <c r="Y705" s="5"/>
      <c r="Z705" s="5"/>
      <c r="AA705" s="5"/>
      <c r="AB705" s="5"/>
    </row>
    <row r="706" customFormat="false" ht="15.75" hidden="false" customHeight="false" outlineLevel="0" collapsed="false">
      <c r="A706" s="5" t="s">
        <v>1602</v>
      </c>
      <c r="B706" s="5" t="s">
        <v>1603</v>
      </c>
      <c r="C706" s="5" t="s">
        <v>1604</v>
      </c>
      <c r="D706" s="5"/>
      <c r="E706" s="5"/>
      <c r="F706" s="5"/>
      <c r="G706" s="9" t="s">
        <v>1605</v>
      </c>
      <c r="H706" s="5" t="n">
        <f aca="false">(COUNTIF(J706:EC706,"=0")+COUNTIF(J706:EC706,"=1"))</f>
        <v>5</v>
      </c>
      <c r="I706" s="15" t="n">
        <f aca="false">IFERROR(ROUND(10-AVERAGE(J706:EC706)*10,0),0)</f>
        <v>6</v>
      </c>
      <c r="J706" s="11" t="n">
        <v>1</v>
      </c>
      <c r="K706" s="11" t="n">
        <v>0</v>
      </c>
      <c r="L706" s="5"/>
      <c r="M706" s="5"/>
      <c r="N706" s="5"/>
      <c r="O706" s="5"/>
      <c r="P706" s="11" t="n">
        <v>1</v>
      </c>
      <c r="Q706" s="5"/>
      <c r="R706" s="5"/>
      <c r="S706" s="5"/>
      <c r="T706" s="11" t="n">
        <v>0</v>
      </c>
      <c r="U706" s="5"/>
      <c r="V706" s="5"/>
      <c r="W706" s="5"/>
      <c r="X706" s="5"/>
      <c r="Y706" s="5"/>
      <c r="Z706" s="11" t="n">
        <v>0</v>
      </c>
      <c r="AA706" s="5"/>
      <c r="AB706" s="5"/>
    </row>
    <row r="707" customFormat="false" ht="15.75" hidden="false" customHeight="false" outlineLevel="0" collapsed="false">
      <c r="A707" s="5" t="s">
        <v>1602</v>
      </c>
      <c r="B707" s="5" t="s">
        <v>1603</v>
      </c>
      <c r="C707" s="5" t="s">
        <v>1606</v>
      </c>
      <c r="D707" s="5"/>
      <c r="E707" s="5"/>
      <c r="F707" s="5"/>
      <c r="G707" s="9" t="s">
        <v>1607</v>
      </c>
      <c r="H707" s="5" t="n">
        <f aca="false">(COUNTIF(J707:EC707,"=0")+COUNTIF(J707:EC707,"=1"))</f>
        <v>5</v>
      </c>
      <c r="I707" s="15" t="n">
        <f aca="false">IFERROR(ROUND(10-AVERAGE(J707:EC707)*10,0),0)</f>
        <v>6</v>
      </c>
      <c r="J707" s="11" t="n">
        <v>1</v>
      </c>
      <c r="K707" s="11" t="n">
        <v>0</v>
      </c>
      <c r="L707" s="5"/>
      <c r="M707" s="5"/>
      <c r="N707" s="5"/>
      <c r="O707" s="5"/>
      <c r="P707" s="11" t="n">
        <v>1</v>
      </c>
      <c r="Q707" s="5"/>
      <c r="R707" s="5"/>
      <c r="S707" s="5"/>
      <c r="T707" s="11" t="n">
        <v>0</v>
      </c>
      <c r="U707" s="5"/>
      <c r="V707" s="5"/>
      <c r="W707" s="5"/>
      <c r="X707" s="5"/>
      <c r="Y707" s="5"/>
      <c r="Z707" s="11" t="n">
        <v>0</v>
      </c>
      <c r="AA707" s="5"/>
      <c r="AB707" s="5"/>
    </row>
    <row r="708" customFormat="false" ht="15.75" hidden="false" customHeight="false" outlineLevel="0" collapsed="false">
      <c r="A708" s="5" t="s">
        <v>1602</v>
      </c>
      <c r="B708" s="5" t="s">
        <v>1603</v>
      </c>
      <c r="C708" s="5" t="s">
        <v>1608</v>
      </c>
      <c r="D708" s="5"/>
      <c r="E708" s="5"/>
      <c r="F708" s="5"/>
      <c r="G708" s="9" t="s">
        <v>1609</v>
      </c>
      <c r="H708" s="5" t="n">
        <f aca="false">(COUNTIF(J708:EC708,"=0")+COUNTIF(J708:EC708,"=1"))</f>
        <v>5</v>
      </c>
      <c r="I708" s="15" t="n">
        <f aca="false">IFERROR(ROUND(10-AVERAGE(J708:EC708)*10,0),0)</f>
        <v>6</v>
      </c>
      <c r="J708" s="11" t="n">
        <v>1</v>
      </c>
      <c r="K708" s="11" t="n">
        <v>0</v>
      </c>
      <c r="L708" s="5"/>
      <c r="M708" s="5"/>
      <c r="N708" s="5"/>
      <c r="O708" s="5"/>
      <c r="P708" s="11" t="n">
        <v>1</v>
      </c>
      <c r="Q708" s="5"/>
      <c r="R708" s="5"/>
      <c r="S708" s="5"/>
      <c r="T708" s="11" t="n">
        <v>0</v>
      </c>
      <c r="U708" s="5"/>
      <c r="V708" s="5"/>
      <c r="W708" s="5"/>
      <c r="X708" s="5"/>
      <c r="Y708" s="5"/>
      <c r="Z708" s="11" t="n">
        <v>0</v>
      </c>
      <c r="AA708" s="5"/>
      <c r="AB708" s="5"/>
    </row>
    <row r="709" customFormat="false" ht="15.75" hidden="false" customHeight="false" outlineLevel="0" collapsed="false">
      <c r="A709" s="5" t="s">
        <v>1602</v>
      </c>
      <c r="B709" s="5" t="s">
        <v>1603</v>
      </c>
      <c r="C709" s="5" t="s">
        <v>1610</v>
      </c>
      <c r="D709" s="5"/>
      <c r="E709" s="5"/>
      <c r="F709" s="5"/>
      <c r="G709" s="9" t="s">
        <v>1611</v>
      </c>
      <c r="H709" s="5" t="n">
        <f aca="false">(COUNTIF(J709:EC709,"=0")+COUNTIF(J709:EC709,"=1"))</f>
        <v>5</v>
      </c>
      <c r="I709" s="15" t="n">
        <f aca="false">IFERROR(ROUND(10-AVERAGE(J709:EC709)*10,0),0)</f>
        <v>6</v>
      </c>
      <c r="J709" s="11" t="n">
        <v>1</v>
      </c>
      <c r="K709" s="11" t="n">
        <v>0</v>
      </c>
      <c r="L709" s="5"/>
      <c r="M709" s="5"/>
      <c r="N709" s="5"/>
      <c r="O709" s="5"/>
      <c r="P709" s="11" t="n">
        <v>1</v>
      </c>
      <c r="Q709" s="5"/>
      <c r="R709" s="5"/>
      <c r="S709" s="5"/>
      <c r="T709" s="11" t="n">
        <v>0</v>
      </c>
      <c r="U709" s="5"/>
      <c r="V709" s="5"/>
      <c r="W709" s="5"/>
      <c r="X709" s="5"/>
      <c r="Y709" s="5"/>
      <c r="Z709" s="11" t="n">
        <v>0</v>
      </c>
      <c r="AA709" s="5"/>
      <c r="AB709" s="5"/>
    </row>
    <row r="710" customFormat="false" ht="15.75" hidden="false" customHeight="false" outlineLevel="0" collapsed="false">
      <c r="A710" s="5" t="s">
        <v>1602</v>
      </c>
      <c r="B710" s="5" t="s">
        <v>1612</v>
      </c>
      <c r="C710" s="5" t="s">
        <v>1613</v>
      </c>
      <c r="D710" s="5"/>
      <c r="E710" s="5"/>
      <c r="F710" s="5"/>
      <c r="G710" s="9" t="s">
        <v>1614</v>
      </c>
      <c r="H710" s="5" t="n">
        <f aca="false">(COUNTIF(J710:EC710,"=0")+COUNTIF(J710:EC710,"=1"))</f>
        <v>6</v>
      </c>
      <c r="I710" s="12" t="n">
        <f aca="false">IFERROR(ROUND(10-AVERAGE(J710:EC710)*10,0),0)</f>
        <v>8</v>
      </c>
      <c r="J710" s="11" t="n">
        <v>0</v>
      </c>
      <c r="K710" s="11" t="n">
        <v>0</v>
      </c>
      <c r="L710" s="5"/>
      <c r="M710" s="5"/>
      <c r="N710" s="5"/>
      <c r="O710" s="5"/>
      <c r="P710" s="11" t="n">
        <v>1</v>
      </c>
      <c r="Q710" s="11" t="n">
        <v>0</v>
      </c>
      <c r="R710" s="5"/>
      <c r="S710" s="5"/>
      <c r="T710" s="11" t="n">
        <v>0</v>
      </c>
      <c r="U710" s="5"/>
      <c r="V710" s="5"/>
      <c r="W710" s="5" t="n">
        <v>0</v>
      </c>
      <c r="X710" s="5"/>
      <c r="Y710" s="5"/>
      <c r="Z710" s="5"/>
      <c r="AA710" s="5"/>
      <c r="AB710" s="5"/>
    </row>
    <row r="711" customFormat="false" ht="15.75" hidden="false" customHeight="false" outlineLevel="0" collapsed="false">
      <c r="A711" s="5" t="s">
        <v>1602</v>
      </c>
      <c r="B711" s="5" t="s">
        <v>1612</v>
      </c>
      <c r="C711" s="5" t="s">
        <v>87</v>
      </c>
      <c r="D711" s="5"/>
      <c r="E711" s="5"/>
      <c r="F711" s="5"/>
      <c r="G711" s="9" t="s">
        <v>1615</v>
      </c>
      <c r="H711" s="5" t="n">
        <f aca="false">(COUNTIF(J711:EC711,"=0")+COUNTIF(J711:EC711,"=1"))</f>
        <v>5</v>
      </c>
      <c r="I711" s="15" t="n">
        <f aca="false">IFERROR(ROUND(10-AVERAGE(J711:EC711)*10,0),0)</f>
        <v>6</v>
      </c>
      <c r="J711" s="11" t="n">
        <v>1</v>
      </c>
      <c r="K711" s="11" t="n">
        <v>0</v>
      </c>
      <c r="L711" s="5"/>
      <c r="M711" s="5"/>
      <c r="N711" s="5"/>
      <c r="O711" s="5"/>
      <c r="P711" s="11" t="n">
        <v>1</v>
      </c>
      <c r="Q711" s="5"/>
      <c r="R711" s="5"/>
      <c r="S711" s="5"/>
      <c r="T711" s="11" t="n">
        <v>0</v>
      </c>
      <c r="U711" s="5"/>
      <c r="V711" s="5"/>
      <c r="W711" s="5"/>
      <c r="X711" s="5"/>
      <c r="Y711" s="5"/>
      <c r="Z711" s="11" t="n">
        <v>0</v>
      </c>
      <c r="AA711" s="5"/>
      <c r="AB711" s="5"/>
    </row>
    <row r="712" customFormat="false" ht="15.75" hidden="false" customHeight="false" outlineLevel="0" collapsed="false">
      <c r="A712" s="5" t="s">
        <v>1616</v>
      </c>
      <c r="B712" s="5" t="s">
        <v>1616</v>
      </c>
      <c r="C712" s="5" t="s">
        <v>1617</v>
      </c>
      <c r="D712" s="5"/>
      <c r="E712" s="5"/>
      <c r="F712" s="5"/>
      <c r="G712" s="9" t="s">
        <v>1618</v>
      </c>
      <c r="H712" s="5" t="n">
        <f aca="false">(COUNTIF(J712:EC712,"=0")+COUNTIF(J712:EC712,"=1"))</f>
        <v>8</v>
      </c>
      <c r="I712" s="21" t="n">
        <f aca="false">IFERROR(ROUND(10-AVERAGE(J712:EC712)*10,0),0)</f>
        <v>5</v>
      </c>
      <c r="J712" s="5" t="n">
        <v>0</v>
      </c>
      <c r="K712" s="11" t="n">
        <v>1</v>
      </c>
      <c r="L712" s="5"/>
      <c r="M712" s="5"/>
      <c r="N712" s="5"/>
      <c r="O712" s="5"/>
      <c r="P712" s="11" t="n">
        <v>0</v>
      </c>
      <c r="Q712" s="5" t="n">
        <v>1</v>
      </c>
      <c r="R712" s="5"/>
      <c r="S712" s="5"/>
      <c r="T712" s="5"/>
      <c r="U712" s="5"/>
      <c r="V712" s="5"/>
      <c r="W712" s="5" t="n">
        <v>0</v>
      </c>
      <c r="X712" s="5"/>
      <c r="Y712" s="5"/>
      <c r="Z712" s="11" t="n">
        <v>1</v>
      </c>
      <c r="AA712" s="5"/>
      <c r="AB712" s="5"/>
      <c r="AD712" s="5" t="n">
        <v>0</v>
      </c>
      <c r="AF712" s="5" t="n">
        <v>1</v>
      </c>
    </row>
    <row r="713" customFormat="false" ht="15.75" hidden="false" customHeight="false" outlineLevel="0" collapsed="false">
      <c r="A713" s="5" t="s">
        <v>1619</v>
      </c>
      <c r="B713" s="5" t="s">
        <v>1620</v>
      </c>
      <c r="C713" s="5" t="s">
        <v>87</v>
      </c>
      <c r="D713" s="5"/>
      <c r="E713" s="5"/>
      <c r="F713" s="5"/>
      <c r="G713" s="9" t="s">
        <v>1621</v>
      </c>
      <c r="H713" s="5" t="n">
        <f aca="false">(COUNTIF(J713:EC713,"=0")+COUNTIF(J713:EC713,"=1"))</f>
        <v>6</v>
      </c>
      <c r="I713" s="12" t="n">
        <f aca="false">IFERROR(ROUND(10-AVERAGE(J713:EC713)*10,0),0)</f>
        <v>7</v>
      </c>
      <c r="J713" s="11" t="n">
        <v>0</v>
      </c>
      <c r="K713" s="11" t="n">
        <v>0</v>
      </c>
      <c r="L713" s="5"/>
      <c r="M713" s="5"/>
      <c r="N713" s="5"/>
      <c r="O713" s="5"/>
      <c r="P713" s="11" t="n">
        <v>1</v>
      </c>
      <c r="Q713" s="5" t="n">
        <v>0</v>
      </c>
      <c r="R713" s="5"/>
      <c r="S713" s="5"/>
      <c r="T713" s="5" t="n">
        <v>1</v>
      </c>
      <c r="U713" s="5"/>
      <c r="V713" s="5"/>
      <c r="W713" s="5"/>
      <c r="X713" s="5"/>
      <c r="Y713" s="5"/>
      <c r="Z713" s="11" t="n">
        <v>0</v>
      </c>
      <c r="AA713" s="5"/>
      <c r="AB713" s="5"/>
    </row>
    <row r="714" customFormat="false" ht="15.75" hidden="false" customHeight="false" outlineLevel="0" collapsed="false">
      <c r="A714" s="5" t="s">
        <v>1619</v>
      </c>
      <c r="B714" s="5" t="s">
        <v>1620</v>
      </c>
      <c r="C714" s="5" t="s">
        <v>1622</v>
      </c>
      <c r="D714" s="5"/>
      <c r="E714" s="5"/>
      <c r="F714" s="5"/>
      <c r="G714" s="9" t="s">
        <v>1623</v>
      </c>
      <c r="H714" s="5" t="n">
        <f aca="false">(COUNTIF(J714:EC714,"=0")+COUNTIF(J714:EC714,"=1"))</f>
        <v>6</v>
      </c>
      <c r="I714" s="12" t="n">
        <f aca="false">IFERROR(ROUND(10-AVERAGE(J714:EC714)*10,0),0)</f>
        <v>8</v>
      </c>
      <c r="J714" s="11" t="n">
        <v>0</v>
      </c>
      <c r="K714" s="11" t="n">
        <v>0</v>
      </c>
      <c r="L714" s="5"/>
      <c r="M714" s="5"/>
      <c r="N714" s="5"/>
      <c r="O714" s="5"/>
      <c r="P714" s="11" t="n">
        <v>1</v>
      </c>
      <c r="Q714" s="5" t="n">
        <v>0</v>
      </c>
      <c r="R714" s="5"/>
      <c r="S714" s="5"/>
      <c r="T714" s="5" t="n">
        <v>0</v>
      </c>
      <c r="U714" s="5"/>
      <c r="V714" s="5"/>
      <c r="W714" s="5"/>
      <c r="X714" s="5"/>
      <c r="Y714" s="5"/>
      <c r="Z714" s="11" t="n">
        <v>0</v>
      </c>
      <c r="AA714" s="5"/>
      <c r="AB714" s="5"/>
    </row>
    <row r="715" customFormat="false" ht="15.75" hidden="false" customHeight="false" outlineLevel="0" collapsed="false">
      <c r="A715" s="5" t="s">
        <v>1619</v>
      </c>
      <c r="B715" s="5" t="s">
        <v>1624</v>
      </c>
      <c r="C715" s="5" t="s">
        <v>87</v>
      </c>
      <c r="D715" s="5"/>
      <c r="E715" s="5"/>
      <c r="F715" s="5"/>
      <c r="G715" s="5"/>
      <c r="H715" s="5" t="n">
        <f aca="false">(COUNTIF(J715:EC715,"=0")+COUNTIF(J715:EC715,"=1"))</f>
        <v>5</v>
      </c>
      <c r="I715" s="15" t="n">
        <f aca="false">IFERROR(ROUND(10-AVERAGE(J715:EC715)*10,0),0)</f>
        <v>6</v>
      </c>
      <c r="J715" s="11" t="n">
        <v>0</v>
      </c>
      <c r="K715" s="11" t="n">
        <v>0</v>
      </c>
      <c r="L715" s="5"/>
      <c r="M715" s="5"/>
      <c r="N715" s="5"/>
      <c r="O715" s="5"/>
      <c r="P715" s="11" t="n">
        <v>1</v>
      </c>
      <c r="Q715" s="5"/>
      <c r="R715" s="5"/>
      <c r="S715" s="5"/>
      <c r="T715" s="5"/>
      <c r="U715" s="5"/>
      <c r="V715" s="5"/>
      <c r="W715" s="5"/>
      <c r="X715" s="5"/>
      <c r="Y715" s="5"/>
      <c r="Z715" s="11" t="n">
        <v>0</v>
      </c>
      <c r="AA715" s="11" t="n">
        <v>1</v>
      </c>
      <c r="AB715" s="5"/>
    </row>
    <row r="716" customFormat="false" ht="15.75" hidden="false" customHeight="false" outlineLevel="0" collapsed="false">
      <c r="A716" s="5" t="s">
        <v>1619</v>
      </c>
      <c r="B716" s="5" t="s">
        <v>1624</v>
      </c>
      <c r="C716" s="5" t="s">
        <v>1625</v>
      </c>
      <c r="D716" s="5"/>
      <c r="E716" s="5"/>
      <c r="F716" s="5"/>
      <c r="G716" s="9" t="s">
        <v>1626</v>
      </c>
      <c r="H716" s="5" t="n">
        <f aca="false">(COUNTIF(J716:EC716,"=0")+COUNTIF(J716:EC716,"=1"))</f>
        <v>5</v>
      </c>
      <c r="I716" s="12" t="n">
        <f aca="false">IFERROR(ROUND(10-AVERAGE(J716:EC716)*10,0),0)</f>
        <v>8</v>
      </c>
      <c r="J716" s="11" t="n">
        <v>0</v>
      </c>
      <c r="K716" s="11" t="n">
        <v>0</v>
      </c>
      <c r="L716" s="5"/>
      <c r="M716" s="5"/>
      <c r="N716" s="5"/>
      <c r="O716" s="5"/>
      <c r="P716" s="11" t="n">
        <v>1</v>
      </c>
      <c r="Q716" s="5" t="n">
        <v>0</v>
      </c>
      <c r="R716" s="5"/>
      <c r="S716" s="5"/>
      <c r="T716" s="5"/>
      <c r="U716" s="5"/>
      <c r="V716" s="5"/>
      <c r="W716" s="5"/>
      <c r="X716" s="5"/>
      <c r="Y716" s="5"/>
      <c r="Z716" s="11" t="n">
        <v>0</v>
      </c>
      <c r="AA716" s="5"/>
      <c r="AB716" s="5"/>
    </row>
    <row r="717" customFormat="false" ht="15.75" hidden="false" customHeight="false" outlineLevel="0" collapsed="false">
      <c r="A717" s="5" t="s">
        <v>1619</v>
      </c>
      <c r="B717" s="5" t="s">
        <v>1624</v>
      </c>
      <c r="C717" s="5" t="s">
        <v>1627</v>
      </c>
      <c r="D717" s="5"/>
      <c r="E717" s="5"/>
      <c r="F717" s="5"/>
      <c r="G717" s="9" t="s">
        <v>1628</v>
      </c>
      <c r="H717" s="5" t="n">
        <f aca="false">(COUNTIF(J717:EC717,"=0")+COUNTIF(J717:EC717,"=1"))</f>
        <v>4</v>
      </c>
      <c r="I717" s="12" t="n">
        <f aca="false">IFERROR(ROUND(10-AVERAGE(J717:EC717)*10,0),0)</f>
        <v>8</v>
      </c>
      <c r="J717" s="11" t="n">
        <v>0</v>
      </c>
      <c r="K717" s="11" t="n">
        <v>0</v>
      </c>
      <c r="L717" s="5"/>
      <c r="M717" s="5"/>
      <c r="N717" s="5"/>
      <c r="O717" s="5"/>
      <c r="P717" s="11" t="n">
        <v>1</v>
      </c>
      <c r="Q717" s="5"/>
      <c r="R717" s="5"/>
      <c r="S717" s="5"/>
      <c r="T717" s="5"/>
      <c r="U717" s="5"/>
      <c r="V717" s="5"/>
      <c r="W717" s="5"/>
      <c r="X717" s="5"/>
      <c r="Y717" s="5"/>
      <c r="Z717" s="11" t="n">
        <v>0</v>
      </c>
      <c r="AA717" s="5"/>
      <c r="AB717" s="5"/>
    </row>
    <row r="718" customFormat="false" ht="15.75" hidden="false" customHeight="false" outlineLevel="0" collapsed="false">
      <c r="A718" s="5" t="s">
        <v>1619</v>
      </c>
      <c r="B718" s="5" t="s">
        <v>1624</v>
      </c>
      <c r="C718" s="5" t="s">
        <v>1629</v>
      </c>
      <c r="D718" s="5"/>
      <c r="E718" s="5"/>
      <c r="F718" s="5"/>
      <c r="G718" s="9" t="s">
        <v>1630</v>
      </c>
      <c r="H718" s="5" t="n">
        <f aca="false">(COUNTIF(J718:EC718,"=0")+COUNTIF(J718:EC718,"=1"))</f>
        <v>5</v>
      </c>
      <c r="I718" s="12" t="n">
        <f aca="false">IFERROR(ROUND(10-AVERAGE(J718:EC718)*10,0),0)</f>
        <v>6</v>
      </c>
      <c r="J718" s="11" t="n">
        <v>0</v>
      </c>
      <c r="K718" s="11" t="n">
        <v>0</v>
      </c>
      <c r="L718" s="5"/>
      <c r="M718" s="5"/>
      <c r="N718" s="5"/>
      <c r="O718" s="5"/>
      <c r="P718" s="11" t="n">
        <v>1</v>
      </c>
      <c r="Q718" s="5" t="n">
        <v>1</v>
      </c>
      <c r="R718" s="5"/>
      <c r="S718" s="5"/>
      <c r="T718" s="5"/>
      <c r="U718" s="5"/>
      <c r="V718" s="5"/>
      <c r="W718" s="5"/>
      <c r="X718" s="5"/>
      <c r="Y718" s="5"/>
      <c r="Z718" s="11" t="n">
        <v>0</v>
      </c>
      <c r="AA718" s="5"/>
      <c r="AB718" s="5"/>
    </row>
    <row r="719" customFormat="false" ht="15.75" hidden="false" customHeight="false" outlineLevel="0" collapsed="false">
      <c r="A719" s="5" t="s">
        <v>1631</v>
      </c>
      <c r="B719" s="5" t="s">
        <v>1631</v>
      </c>
      <c r="C719" s="5" t="s">
        <v>1632</v>
      </c>
      <c r="D719" s="5"/>
      <c r="E719" s="5"/>
      <c r="F719" s="5"/>
      <c r="G719" s="5"/>
      <c r="H719" s="5" t="n">
        <f aca="false">(COUNTIF(J719:EC719,"=0")+COUNTIF(J719:EC719,"=1"))</f>
        <v>6</v>
      </c>
      <c r="I719" s="10" t="n">
        <f aca="false">IFERROR(ROUND(10-AVERAGE(J719:EC719)*10,0),0)</f>
        <v>10</v>
      </c>
      <c r="J719" s="5" t="n">
        <v>0</v>
      </c>
      <c r="K719" s="11" t="n">
        <v>0</v>
      </c>
      <c r="L719" s="5"/>
      <c r="M719" s="5"/>
      <c r="N719" s="5"/>
      <c r="O719" s="5"/>
      <c r="P719" s="11" t="n">
        <v>0</v>
      </c>
      <c r="Q719" s="5" t="n">
        <v>0</v>
      </c>
      <c r="R719" s="5"/>
      <c r="S719" s="5" t="n">
        <v>0</v>
      </c>
      <c r="T719" s="5"/>
      <c r="U719" s="5"/>
      <c r="V719" s="5"/>
      <c r="W719" s="5"/>
      <c r="X719" s="5"/>
      <c r="Y719" s="5"/>
      <c r="Z719" s="11" t="n">
        <v>0</v>
      </c>
      <c r="AA719" s="5"/>
      <c r="AB719" s="5"/>
    </row>
    <row r="720" customFormat="false" ht="15.75" hidden="false" customHeight="false" outlineLevel="0" collapsed="false">
      <c r="A720" s="5" t="s">
        <v>1633</v>
      </c>
      <c r="B720" s="5" t="s">
        <v>1633</v>
      </c>
      <c r="C720" s="5" t="s">
        <v>1634</v>
      </c>
      <c r="D720" s="5"/>
      <c r="E720" s="5"/>
      <c r="F720" s="5"/>
      <c r="G720" s="9" t="s">
        <v>1635</v>
      </c>
      <c r="H720" s="5" t="n">
        <f aca="false">(COUNTIF(J720:EC720,"=0")+COUNTIF(J720:EC720,"=1"))</f>
        <v>9</v>
      </c>
      <c r="I720" s="23" t="n">
        <f aca="false">IFERROR(ROUND(10-AVERAGE(J720:EC720)*10,0),0)</f>
        <v>4</v>
      </c>
      <c r="J720" s="11" t="n">
        <v>0</v>
      </c>
      <c r="K720" s="11" t="n">
        <v>0</v>
      </c>
      <c r="L720" s="5" t="n">
        <v>1</v>
      </c>
      <c r="M720" s="5"/>
      <c r="N720" s="5"/>
      <c r="O720" s="11" t="n">
        <v>1</v>
      </c>
      <c r="P720" s="11" t="n">
        <v>1</v>
      </c>
      <c r="Q720" s="11" t="n">
        <v>1</v>
      </c>
      <c r="R720" s="5"/>
      <c r="S720" s="11" t="n">
        <v>1</v>
      </c>
      <c r="T720" s="11" t="n">
        <v>0</v>
      </c>
      <c r="U720" s="5"/>
      <c r="V720" s="5"/>
      <c r="W720" s="5"/>
      <c r="X720" s="5"/>
      <c r="Y720" s="5"/>
      <c r="Z720" s="5"/>
      <c r="AA720" s="5"/>
      <c r="AB720" s="5"/>
      <c r="AF720" s="5" t="n">
        <v>0</v>
      </c>
    </row>
    <row r="721" customFormat="false" ht="15.75" hidden="false" customHeight="false" outlineLevel="0" collapsed="false">
      <c r="A721" s="5" t="s">
        <v>1633</v>
      </c>
      <c r="B721" s="5" t="s">
        <v>1633</v>
      </c>
      <c r="C721" s="5" t="s">
        <v>1636</v>
      </c>
      <c r="D721" s="5"/>
      <c r="E721" s="5"/>
      <c r="F721" s="5"/>
      <c r="G721" s="14" t="s">
        <v>1637</v>
      </c>
      <c r="H721" s="5" t="n">
        <f aca="false">(COUNTIF(J721:EC721,"=0")+COUNTIF(J721:EC721,"=1"))</f>
        <v>10</v>
      </c>
      <c r="I721" s="23" t="n">
        <f aca="false">IFERROR(ROUND(10-AVERAGE(J721:EC721)*10,0),0)</f>
        <v>4</v>
      </c>
      <c r="J721" s="11" t="n">
        <v>0</v>
      </c>
      <c r="K721" s="11" t="n">
        <v>0</v>
      </c>
      <c r="L721" s="11" t="n">
        <v>0</v>
      </c>
      <c r="M721" s="11" t="n">
        <v>1</v>
      </c>
      <c r="N721" s="5"/>
      <c r="O721" s="11" t="n">
        <v>1</v>
      </c>
      <c r="P721" s="11" t="n">
        <v>1</v>
      </c>
      <c r="Q721" s="11" t="n">
        <v>1</v>
      </c>
      <c r="R721" s="11" t="n">
        <v>1</v>
      </c>
      <c r="S721" s="11" t="n">
        <v>1</v>
      </c>
      <c r="T721" s="11" t="n">
        <v>0</v>
      </c>
      <c r="U721" s="5"/>
      <c r="V721" s="5"/>
      <c r="W721" s="5"/>
      <c r="X721" s="5"/>
      <c r="Y721" s="5"/>
      <c r="Z721" s="5"/>
      <c r="AA721" s="5"/>
      <c r="AB721" s="5"/>
    </row>
    <row r="722" customFormat="false" ht="15.75" hidden="false" customHeight="false" outlineLevel="0" collapsed="false">
      <c r="A722" s="5" t="s">
        <v>1633</v>
      </c>
      <c r="B722" s="5" t="s">
        <v>1633</v>
      </c>
      <c r="C722" s="5" t="s">
        <v>1638</v>
      </c>
      <c r="D722" s="5"/>
      <c r="E722" s="5"/>
      <c r="F722" s="5"/>
      <c r="G722" s="14" t="s">
        <v>1639</v>
      </c>
      <c r="H722" s="5" t="n">
        <f aca="false">(COUNTIF(J722:EC722,"=0")+COUNTIF(J722:EC722,"=1"))</f>
        <v>10</v>
      </c>
      <c r="I722" s="20" t="n">
        <f aca="false">IFERROR(ROUND(10-AVERAGE(J722:EC722)*10,0),0)</f>
        <v>1</v>
      </c>
      <c r="J722" s="11" t="n">
        <v>1</v>
      </c>
      <c r="K722" s="11" t="n">
        <v>0</v>
      </c>
      <c r="L722" s="11" t="n">
        <v>1</v>
      </c>
      <c r="M722" s="11" t="n">
        <v>1</v>
      </c>
      <c r="N722" s="5"/>
      <c r="O722" s="11" t="n">
        <v>1</v>
      </c>
      <c r="P722" s="11" t="n">
        <v>1</v>
      </c>
      <c r="Q722" s="11" t="n">
        <v>1</v>
      </c>
      <c r="R722" s="11" t="n">
        <v>1</v>
      </c>
      <c r="S722" s="11" t="n">
        <v>1</v>
      </c>
      <c r="T722" s="11" t="n">
        <v>1</v>
      </c>
      <c r="U722" s="5"/>
      <c r="V722" s="5"/>
      <c r="W722" s="5"/>
      <c r="X722" s="5"/>
      <c r="Y722" s="5"/>
      <c r="Z722" s="5"/>
      <c r="AA722" s="5"/>
      <c r="AB722" s="5"/>
    </row>
    <row r="723" customFormat="false" ht="15.75" hidden="false" customHeight="false" outlineLevel="0" collapsed="false">
      <c r="A723" s="5" t="s">
        <v>1633</v>
      </c>
      <c r="B723" s="5" t="s">
        <v>1633</v>
      </c>
      <c r="C723" s="5" t="s">
        <v>1640</v>
      </c>
      <c r="D723" s="5"/>
      <c r="E723" s="5"/>
      <c r="F723" s="5"/>
      <c r="G723" s="14" t="s">
        <v>1641</v>
      </c>
      <c r="H723" s="5" t="n">
        <f aca="false">(COUNTIF(J723:EC723,"=0")+COUNTIF(J723:EC723,"=1"))</f>
        <v>11</v>
      </c>
      <c r="I723" s="21" t="n">
        <f aca="false">IFERROR(ROUND(10-AVERAGE(J723:EC723)*10,0),0)</f>
        <v>3</v>
      </c>
      <c r="J723" s="11" t="n">
        <v>1</v>
      </c>
      <c r="K723" s="11" t="n">
        <v>0</v>
      </c>
      <c r="L723" s="11" t="n">
        <v>1</v>
      </c>
      <c r="M723" s="11" t="n">
        <v>1</v>
      </c>
      <c r="N723" s="5"/>
      <c r="O723" s="11" t="n">
        <v>1</v>
      </c>
      <c r="P723" s="11" t="n">
        <v>1</v>
      </c>
      <c r="Q723" s="11" t="n">
        <v>1</v>
      </c>
      <c r="R723" s="11" t="n">
        <v>1</v>
      </c>
      <c r="S723" s="11" t="n">
        <v>1</v>
      </c>
      <c r="T723" s="11" t="n">
        <v>0</v>
      </c>
      <c r="U723" s="5"/>
      <c r="V723" s="5"/>
      <c r="W723" s="5"/>
      <c r="X723" s="5"/>
      <c r="Y723" s="5"/>
      <c r="Z723" s="5"/>
      <c r="AA723" s="5"/>
      <c r="AB723" s="11" t="n">
        <v>0</v>
      </c>
    </row>
    <row r="724" customFormat="false" ht="15.75" hidden="false" customHeight="false" outlineLevel="0" collapsed="false">
      <c r="A724" s="5" t="s">
        <v>1633</v>
      </c>
      <c r="B724" s="5" t="s">
        <v>1642</v>
      </c>
      <c r="C724" s="5" t="s">
        <v>1643</v>
      </c>
      <c r="D724" s="5"/>
      <c r="E724" s="5"/>
      <c r="F724" s="5"/>
      <c r="G724" s="9" t="s">
        <v>1644</v>
      </c>
      <c r="H724" s="5" t="n">
        <f aca="false">(COUNTIF(J724:EC724,"=0")+COUNTIF(J724:EC724,"=1"))</f>
        <v>9</v>
      </c>
      <c r="I724" s="21" t="n">
        <f aca="false">IFERROR(ROUND(10-AVERAGE(J724:EC724)*10,0),0)</f>
        <v>3</v>
      </c>
      <c r="J724" s="11" t="n">
        <v>1</v>
      </c>
      <c r="K724" s="11" t="n">
        <v>0</v>
      </c>
      <c r="L724" s="5"/>
      <c r="M724" s="5"/>
      <c r="N724" s="5"/>
      <c r="O724" s="11" t="n">
        <v>1</v>
      </c>
      <c r="P724" s="11" t="n">
        <v>1</v>
      </c>
      <c r="Q724" s="11" t="n">
        <v>1</v>
      </c>
      <c r="R724" s="5"/>
      <c r="S724" s="11" t="n">
        <v>1</v>
      </c>
      <c r="T724" s="11" t="n">
        <v>0</v>
      </c>
      <c r="U724" s="5"/>
      <c r="V724" s="5"/>
      <c r="W724" s="5"/>
      <c r="X724" s="5"/>
      <c r="Y724" s="5"/>
      <c r="Z724" s="5"/>
      <c r="AA724" s="5"/>
      <c r="AB724" s="5"/>
      <c r="AD724" s="5" t="n">
        <v>1</v>
      </c>
      <c r="AF724" s="5" t="n">
        <v>0</v>
      </c>
    </row>
    <row r="725" customFormat="false" ht="15.75" hidden="false" customHeight="false" outlineLevel="0" collapsed="false">
      <c r="A725" s="5" t="s">
        <v>1633</v>
      </c>
      <c r="B725" s="5" t="s">
        <v>1642</v>
      </c>
      <c r="C725" s="5" t="s">
        <v>1645</v>
      </c>
      <c r="D725" s="5"/>
      <c r="E725" s="5"/>
      <c r="F725" s="5"/>
      <c r="G725" s="14" t="s">
        <v>1646</v>
      </c>
      <c r="H725" s="5" t="n">
        <f aca="false">(COUNTIF(J725:EC725,"=0")+COUNTIF(J725:EC725,"=1"))</f>
        <v>3</v>
      </c>
      <c r="I725" s="15" t="n">
        <f aca="false">IFERROR(ROUND(10-AVERAGE(J725:EC725)*10,0),0)</f>
        <v>0</v>
      </c>
      <c r="J725" s="5"/>
      <c r="K725" s="5"/>
      <c r="L725" s="5" t="n">
        <v>1</v>
      </c>
      <c r="M725" s="5"/>
      <c r="N725" s="5"/>
      <c r="O725" s="5"/>
      <c r="P725" s="5" t="n">
        <v>1</v>
      </c>
      <c r="Q725" s="5"/>
      <c r="R725" s="5"/>
      <c r="S725" s="5"/>
      <c r="T725" s="5"/>
      <c r="U725" s="5"/>
      <c r="V725" s="5"/>
      <c r="W725" s="5" t="n">
        <v>1</v>
      </c>
      <c r="X725" s="5"/>
      <c r="Y725" s="5"/>
      <c r="Z725" s="5"/>
      <c r="AA725" s="5"/>
      <c r="AB725" s="5"/>
    </row>
    <row r="726" customFormat="false" ht="15.75" hidden="false" customHeight="false" outlineLevel="0" collapsed="false">
      <c r="A726" s="5" t="s">
        <v>1633</v>
      </c>
      <c r="B726" s="5" t="s">
        <v>1642</v>
      </c>
      <c r="C726" s="5" t="s">
        <v>1647</v>
      </c>
      <c r="D726" s="5"/>
      <c r="E726" s="5"/>
      <c r="F726" s="5"/>
      <c r="G726" s="14" t="s">
        <v>1648</v>
      </c>
      <c r="H726" s="5" t="n">
        <f aca="false">(COUNTIF(J726:EC726,"=0")+COUNTIF(J726:EC726,"=1"))</f>
        <v>2</v>
      </c>
      <c r="I726" s="15" t="n">
        <f aca="false">IFERROR(ROUND(10-AVERAGE(J726:EC726)*10,0),0)</f>
        <v>0</v>
      </c>
      <c r="J726" s="5"/>
      <c r="K726" s="5"/>
      <c r="L726" s="5"/>
      <c r="M726" s="5"/>
      <c r="N726" s="5"/>
      <c r="O726" s="5"/>
      <c r="P726" s="5" t="n">
        <v>1</v>
      </c>
      <c r="Q726" s="5"/>
      <c r="R726" s="5"/>
      <c r="S726" s="5"/>
      <c r="T726" s="5"/>
      <c r="U726" s="5"/>
      <c r="V726" s="5"/>
      <c r="W726" s="5" t="n">
        <v>1</v>
      </c>
      <c r="X726" s="5"/>
      <c r="Y726" s="5"/>
      <c r="Z726" s="5"/>
      <c r="AA726" s="5"/>
      <c r="AB726" s="5"/>
    </row>
    <row r="727" customFormat="false" ht="15.75" hidden="false" customHeight="false" outlineLevel="0" collapsed="false">
      <c r="A727" s="5" t="s">
        <v>1649</v>
      </c>
      <c r="B727" s="5" t="s">
        <v>1650</v>
      </c>
      <c r="C727" s="5" t="s">
        <v>1651</v>
      </c>
      <c r="D727" s="5"/>
      <c r="E727" s="5"/>
      <c r="F727" s="5"/>
      <c r="G727" s="9" t="s">
        <v>1652</v>
      </c>
      <c r="H727" s="5" t="n">
        <f aca="false">(COUNTIF(J727:EC727,"=0")+COUNTIF(J727:EC727,"=1"))</f>
        <v>9</v>
      </c>
      <c r="I727" s="17" t="n">
        <f aca="false">IFERROR(ROUND(10-AVERAGE(J727:EC727)*10,0),0)</f>
        <v>9</v>
      </c>
      <c r="J727" s="11" t="n">
        <v>0</v>
      </c>
      <c r="K727" s="11" t="n">
        <v>1</v>
      </c>
      <c r="L727" s="11" t="n">
        <v>0</v>
      </c>
      <c r="M727" s="5"/>
      <c r="N727" s="5"/>
      <c r="O727" s="11" t="n">
        <v>0</v>
      </c>
      <c r="P727" s="11" t="n">
        <v>0</v>
      </c>
      <c r="Q727" s="11" t="n">
        <v>0</v>
      </c>
      <c r="R727" s="5"/>
      <c r="S727" s="11" t="n">
        <v>0</v>
      </c>
      <c r="T727" s="11" t="n">
        <v>0</v>
      </c>
      <c r="U727" s="5"/>
      <c r="V727" s="5"/>
      <c r="W727" s="5" t="n">
        <v>0</v>
      </c>
      <c r="X727" s="5"/>
      <c r="Y727" s="5"/>
      <c r="Z727" s="5"/>
      <c r="AA727" s="5"/>
      <c r="AB727" s="5"/>
    </row>
    <row r="728" customFormat="false" ht="15.75" hidden="false" customHeight="false" outlineLevel="0" collapsed="false">
      <c r="A728" s="5" t="s">
        <v>1653</v>
      </c>
      <c r="B728" s="5" t="s">
        <v>1653</v>
      </c>
      <c r="C728" s="5" t="s">
        <v>1653</v>
      </c>
      <c r="D728" s="5"/>
      <c r="E728" s="5"/>
      <c r="F728" s="5"/>
      <c r="G728" s="9" t="s">
        <v>1654</v>
      </c>
      <c r="H728" s="5" t="n">
        <f aca="false">(COUNTIF(J728:EC728,"=0")+COUNTIF(J728:EC728,"=1"))</f>
        <v>7</v>
      </c>
      <c r="I728" s="18" t="n">
        <f aca="false">IFERROR(ROUND(10-AVERAGE(J728:EC728)*10,0),0)</f>
        <v>1</v>
      </c>
      <c r="J728" s="11" t="n">
        <v>1</v>
      </c>
      <c r="K728" s="11" t="n">
        <v>1</v>
      </c>
      <c r="L728" s="5"/>
      <c r="M728" s="5"/>
      <c r="N728" s="5"/>
      <c r="O728" s="5"/>
      <c r="P728" s="11" t="n">
        <v>1</v>
      </c>
      <c r="Q728" s="11" t="n">
        <v>1</v>
      </c>
      <c r="R728" s="5"/>
      <c r="S728" s="11" t="n">
        <v>1</v>
      </c>
      <c r="T728" s="11" t="n">
        <v>1</v>
      </c>
      <c r="U728" s="5"/>
      <c r="V728" s="5"/>
      <c r="W728" s="5"/>
      <c r="X728" s="5"/>
      <c r="Y728" s="5"/>
      <c r="Z728" s="5"/>
      <c r="AA728" s="5"/>
      <c r="AB728" s="5"/>
      <c r="AF728" s="5" t="n">
        <v>0</v>
      </c>
    </row>
    <row r="729" customFormat="false" ht="15.75" hidden="false" customHeight="false" outlineLevel="0" collapsed="false">
      <c r="A729" s="5" t="s">
        <v>1655</v>
      </c>
      <c r="B729" s="5" t="s">
        <v>1655</v>
      </c>
      <c r="C729" s="5" t="s">
        <v>1656</v>
      </c>
      <c r="D729" s="5"/>
      <c r="E729" s="5"/>
      <c r="F729" s="5"/>
      <c r="G729" s="14" t="s">
        <v>1657</v>
      </c>
      <c r="H729" s="5" t="n">
        <f aca="false">(COUNTIF(J729:EC729,"=0")+COUNTIF(J729:EC729,"=1"))</f>
        <v>3</v>
      </c>
      <c r="I729" s="15" t="n">
        <f aca="false">IFERROR(ROUND(10-AVERAGE(J729:EC729)*10,0),0)</f>
        <v>7</v>
      </c>
      <c r="J729" s="11" t="n">
        <v>1</v>
      </c>
      <c r="K729" s="11" t="n">
        <v>0</v>
      </c>
      <c r="L729" s="5"/>
      <c r="M729" s="5"/>
      <c r="N729" s="5"/>
      <c r="O729" s="11"/>
      <c r="P729" s="11" t="n">
        <v>0</v>
      </c>
      <c r="Q729" s="11"/>
      <c r="R729" s="5"/>
      <c r="S729" s="11"/>
      <c r="T729" s="11"/>
      <c r="U729" s="5"/>
      <c r="V729" s="5"/>
      <c r="W729" s="5"/>
      <c r="X729" s="5"/>
      <c r="Y729" s="5"/>
      <c r="Z729" s="5"/>
      <c r="AA729" s="5"/>
      <c r="AB729" s="5"/>
    </row>
    <row r="730" customFormat="false" ht="15.75" hidden="false" customHeight="false" outlineLevel="0" collapsed="false">
      <c r="A730" s="5" t="s">
        <v>1658</v>
      </c>
      <c r="D730" s="5"/>
      <c r="E730" s="5"/>
      <c r="F730" s="5"/>
      <c r="G730" s="5"/>
      <c r="H730" s="5" t="n">
        <f aca="false">(COUNTIF(J730:EC730,"=0")+COUNTIF(J730:EC730,"=1"))</f>
        <v>0</v>
      </c>
      <c r="I730" s="18" t="n">
        <f aca="false">IFERROR(ROUND(10-AVERAGE(J730:EC730)*10,0),0)</f>
        <v>0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customFormat="false" ht="15.75" hidden="false" customHeight="false" outlineLevel="0" collapsed="false">
      <c r="A731" s="5" t="s">
        <v>1659</v>
      </c>
      <c r="B731" s="5" t="s">
        <v>1659</v>
      </c>
      <c r="C731" s="5" t="s">
        <v>79</v>
      </c>
      <c r="D731" s="5" t="s">
        <v>1660</v>
      </c>
      <c r="E731" s="5"/>
      <c r="F731" s="5"/>
      <c r="G731" s="5"/>
      <c r="H731" s="5" t="n">
        <f aca="false">(COUNTIF(J731:EC731,"=0")+COUNTIF(J731:EC731,"=1"))</f>
        <v>9</v>
      </c>
      <c r="I731" s="16" t="n">
        <f aca="false">IFERROR(ROUND(10-AVERAGE(J731:EC731)*10,0),0)</f>
        <v>7</v>
      </c>
      <c r="J731" s="11" t="n">
        <v>0</v>
      </c>
      <c r="K731" s="11" t="n">
        <v>0</v>
      </c>
      <c r="L731" s="5"/>
      <c r="M731" s="5"/>
      <c r="N731" s="5"/>
      <c r="O731" s="11" t="n">
        <v>1</v>
      </c>
      <c r="P731" s="11" t="n">
        <v>0</v>
      </c>
      <c r="Q731" s="11" t="n">
        <v>1</v>
      </c>
      <c r="R731" s="5"/>
      <c r="S731" s="11" t="n">
        <v>0</v>
      </c>
      <c r="T731" s="11" t="n">
        <v>0</v>
      </c>
      <c r="U731" s="5"/>
      <c r="V731" s="5"/>
      <c r="W731" s="5" t="n">
        <v>1</v>
      </c>
      <c r="X731" s="5"/>
      <c r="Y731" s="5"/>
      <c r="Z731" s="5"/>
      <c r="AA731" s="5"/>
      <c r="AB731" s="5"/>
      <c r="AF731" s="5" t="n">
        <v>0</v>
      </c>
    </row>
    <row r="732" customFormat="false" ht="15.75" hidden="false" customHeight="false" outlineLevel="0" collapsed="false">
      <c r="A732" s="5" t="s">
        <v>1661</v>
      </c>
      <c r="B732" s="5" t="s">
        <v>1661</v>
      </c>
      <c r="C732" s="5" t="s">
        <v>1662</v>
      </c>
      <c r="D732" s="5"/>
      <c r="E732" s="5"/>
      <c r="F732" s="5"/>
      <c r="G732" s="9" t="s">
        <v>1663</v>
      </c>
      <c r="H732" s="5" t="n">
        <f aca="false">(COUNTIF(J732:EC732,"=0")+COUNTIF(J732:EC732,"=1"))</f>
        <v>7</v>
      </c>
      <c r="I732" s="12" t="n">
        <f aca="false">IFERROR(ROUND(10-AVERAGE(J732:EC732)*10,0),0)</f>
        <v>9</v>
      </c>
      <c r="J732" s="5" t="n">
        <v>0</v>
      </c>
      <c r="K732" s="11" t="n">
        <v>0</v>
      </c>
      <c r="L732" s="5"/>
      <c r="M732" s="5"/>
      <c r="N732" s="5"/>
      <c r="O732" s="5"/>
      <c r="P732" s="11" t="n">
        <v>0</v>
      </c>
      <c r="Q732" s="5" t="n">
        <v>0</v>
      </c>
      <c r="R732" s="5"/>
      <c r="S732" s="5"/>
      <c r="T732" s="5"/>
      <c r="U732" s="5"/>
      <c r="V732" s="5"/>
      <c r="W732" s="5"/>
      <c r="X732" s="11" t="n">
        <v>1</v>
      </c>
      <c r="Y732" s="5"/>
      <c r="Z732" s="11" t="n">
        <v>0</v>
      </c>
      <c r="AA732" s="5"/>
      <c r="AB732" s="5"/>
      <c r="AF732" s="5" t="n">
        <v>0</v>
      </c>
    </row>
    <row r="733" customFormat="false" ht="15.75" hidden="false" customHeight="false" outlineLevel="0" collapsed="false">
      <c r="A733" s="5" t="s">
        <v>1664</v>
      </c>
      <c r="B733" s="5" t="s">
        <v>1664</v>
      </c>
      <c r="C733" s="5" t="s">
        <v>108</v>
      </c>
      <c r="D733" s="5"/>
      <c r="E733" s="5"/>
      <c r="F733" s="5"/>
      <c r="G733" s="9" t="s">
        <v>1665</v>
      </c>
      <c r="H733" s="5" t="n">
        <f aca="false">(COUNTIF(J733:EC733,"=0")+COUNTIF(J733:EC733,"=1"))</f>
        <v>5</v>
      </c>
      <c r="I733" s="12" t="n">
        <f aca="false">IFERROR(ROUND(10-AVERAGE(J733:EC733)*10,0),0)</f>
        <v>8</v>
      </c>
      <c r="J733" s="11" t="n">
        <v>0</v>
      </c>
      <c r="K733" s="11" t="n">
        <v>0</v>
      </c>
      <c r="L733" s="5"/>
      <c r="M733" s="5"/>
      <c r="N733" s="5"/>
      <c r="O733" s="5"/>
      <c r="P733" s="11" t="n">
        <v>1</v>
      </c>
      <c r="Q733" s="11" t="n">
        <v>0</v>
      </c>
      <c r="R733" s="5"/>
      <c r="S733" s="5"/>
      <c r="T733" s="11" t="n">
        <v>0</v>
      </c>
      <c r="U733" s="5"/>
      <c r="V733" s="5"/>
      <c r="W733" s="5"/>
      <c r="X733" s="5"/>
      <c r="Y733" s="5"/>
      <c r="Z733" s="5"/>
      <c r="AA733" s="5"/>
      <c r="AB733" s="5"/>
    </row>
    <row r="734" customFormat="false" ht="15.75" hidden="false" customHeight="false" outlineLevel="0" collapsed="false">
      <c r="A734" s="5" t="s">
        <v>1666</v>
      </c>
      <c r="B734" s="5" t="s">
        <v>1667</v>
      </c>
      <c r="C734" s="5" t="s">
        <v>1668</v>
      </c>
      <c r="D734" s="5"/>
      <c r="E734" s="5"/>
      <c r="F734" s="5"/>
      <c r="G734" s="5"/>
      <c r="H734" s="5" t="n">
        <f aca="false">(COUNTIF(J734:EC734,"=0")+COUNTIF(J734:EC734,"=1"))</f>
        <v>8</v>
      </c>
      <c r="I734" s="16" t="n">
        <f aca="false">IFERROR(ROUND(10-AVERAGE(J734:EC734)*10,0),0)</f>
        <v>6</v>
      </c>
      <c r="J734" s="5" t="n">
        <v>1</v>
      </c>
      <c r="K734" s="11" t="n">
        <v>0</v>
      </c>
      <c r="L734" s="5"/>
      <c r="M734" s="5"/>
      <c r="N734" s="5"/>
      <c r="O734" s="5"/>
      <c r="P734" s="11" t="n">
        <v>0</v>
      </c>
      <c r="Q734" s="5" t="n">
        <v>1</v>
      </c>
      <c r="R734" s="5"/>
      <c r="S734" s="5"/>
      <c r="T734" s="5"/>
      <c r="U734" s="5"/>
      <c r="V734" s="5"/>
      <c r="W734" s="5" t="n">
        <v>0</v>
      </c>
      <c r="X734" s="5"/>
      <c r="Y734" s="5"/>
      <c r="Z734" s="11" t="n">
        <v>1</v>
      </c>
      <c r="AA734" s="5"/>
      <c r="AB734" s="5"/>
      <c r="AD734" s="5" t="n">
        <v>0</v>
      </c>
      <c r="AF734" s="5" t="n">
        <v>0</v>
      </c>
    </row>
    <row r="735" customFormat="false" ht="15.75" hidden="false" customHeight="false" outlineLevel="0" collapsed="false">
      <c r="A735" s="5" t="s">
        <v>1669</v>
      </c>
      <c r="B735" s="5" t="s">
        <v>1670</v>
      </c>
      <c r="C735" s="5" t="s">
        <v>1671</v>
      </c>
      <c r="D735" s="5"/>
      <c r="E735" s="5"/>
      <c r="F735" s="5"/>
      <c r="G735" s="9" t="s">
        <v>1672</v>
      </c>
      <c r="H735" s="5" t="n">
        <f aca="false">(COUNTIF(J735:EC735,"=0")+COUNTIF(J735:EC735,"=1"))</f>
        <v>8</v>
      </c>
      <c r="I735" s="19" t="n">
        <f aca="false">IFERROR(ROUND(10-AVERAGE(J735:EC735)*10,0),0)</f>
        <v>6</v>
      </c>
      <c r="J735" s="5" t="n">
        <v>1</v>
      </c>
      <c r="K735" s="11" t="n">
        <v>0</v>
      </c>
      <c r="L735" s="5"/>
      <c r="M735" s="5"/>
      <c r="N735" s="5"/>
      <c r="O735" s="5"/>
      <c r="P735" s="11" t="n">
        <v>1</v>
      </c>
      <c r="Q735" s="5" t="n">
        <v>0</v>
      </c>
      <c r="R735" s="5"/>
      <c r="S735" s="5"/>
      <c r="T735" s="5"/>
      <c r="U735" s="5"/>
      <c r="V735" s="5"/>
      <c r="W735" s="5" t="n">
        <v>0</v>
      </c>
      <c r="X735" s="11" t="n">
        <v>1</v>
      </c>
      <c r="Y735" s="5"/>
      <c r="Z735" s="11" t="n">
        <v>0</v>
      </c>
      <c r="AA735" s="5"/>
      <c r="AB735" s="5"/>
      <c r="AF735" s="5" t="n">
        <v>0</v>
      </c>
    </row>
    <row r="736" customFormat="false" ht="15.75" hidden="false" customHeight="false" outlineLevel="0" collapsed="false">
      <c r="A736" s="5" t="s">
        <v>1673</v>
      </c>
      <c r="B736" s="5" t="s">
        <v>1673</v>
      </c>
      <c r="C736" s="5" t="s">
        <v>1674</v>
      </c>
      <c r="D736" s="5"/>
      <c r="E736" s="14" t="s">
        <v>1675</v>
      </c>
      <c r="F736" s="5"/>
      <c r="G736" s="14" t="s">
        <v>1676</v>
      </c>
      <c r="H736" s="5" t="n">
        <f aca="false">(COUNTIF(J736:EC736,"=0")+COUNTIF(J736:EC736,"=1"))</f>
        <v>1</v>
      </c>
      <c r="I736" s="15" t="n">
        <f aca="false">IFERROR(ROUND(10-AVERAGE(J736:EC736)*10,0),0)</f>
        <v>0</v>
      </c>
      <c r="J736" s="5"/>
      <c r="K736" s="5"/>
      <c r="L736" s="5"/>
      <c r="M736" s="5"/>
      <c r="N736" s="5"/>
      <c r="O736" s="5"/>
      <c r="P736" s="5" t="n">
        <v>1</v>
      </c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customFormat="false" ht="15.75" hidden="false" customHeight="false" outlineLevel="0" collapsed="false">
      <c r="A737" s="5" t="s">
        <v>1673</v>
      </c>
      <c r="B737" s="5" t="s">
        <v>1677</v>
      </c>
      <c r="C737" s="5" t="s">
        <v>1678</v>
      </c>
      <c r="D737" s="5"/>
      <c r="E737" s="5"/>
      <c r="F737" s="5"/>
      <c r="G737" s="9" t="s">
        <v>1679</v>
      </c>
      <c r="H737" s="5" t="n">
        <f aca="false">(COUNTIF(J737:EC737,"=0")+COUNTIF(J737:EC737,"=1"))</f>
        <v>5</v>
      </c>
      <c r="I737" s="15" t="n">
        <f aca="false">IFERROR(ROUND(10-AVERAGE(J737:EC737)*10,0),0)</f>
        <v>6</v>
      </c>
      <c r="J737" s="11" t="n">
        <v>0</v>
      </c>
      <c r="K737" s="11" t="n">
        <v>0</v>
      </c>
      <c r="L737" s="5"/>
      <c r="M737" s="5"/>
      <c r="N737" s="5"/>
      <c r="O737" s="5"/>
      <c r="P737" s="11" t="n">
        <v>1</v>
      </c>
      <c r="Q737" s="5"/>
      <c r="R737" s="5"/>
      <c r="S737" s="5"/>
      <c r="T737" s="5"/>
      <c r="U737" s="5"/>
      <c r="V737" s="5"/>
      <c r="W737" s="11" t="n">
        <v>1</v>
      </c>
      <c r="X737" s="5"/>
      <c r="Y737" s="5"/>
      <c r="Z737" s="11" t="n">
        <v>0</v>
      </c>
      <c r="AA737" s="5"/>
      <c r="AB737" s="5"/>
    </row>
    <row r="738" customFormat="false" ht="15.75" hidden="false" customHeight="false" outlineLevel="0" collapsed="false">
      <c r="A738" s="5" t="s">
        <v>1673</v>
      </c>
      <c r="B738" s="5" t="s">
        <v>1677</v>
      </c>
      <c r="C738" s="5" t="s">
        <v>1680</v>
      </c>
      <c r="D738" s="5"/>
      <c r="E738" s="5"/>
      <c r="F738" s="5"/>
      <c r="G738" s="9" t="s">
        <v>1681</v>
      </c>
      <c r="H738" s="5" t="n">
        <f aca="false">(COUNTIF(J738:EC738,"=0")+COUNTIF(J738:EC738,"=1"))</f>
        <v>6</v>
      </c>
      <c r="I738" s="23" t="n">
        <f aca="false">IFERROR(ROUND(10-AVERAGE(J738:EC738)*10,0),0)</f>
        <v>5</v>
      </c>
      <c r="J738" s="11" t="n">
        <v>1</v>
      </c>
      <c r="K738" s="11" t="n">
        <v>0</v>
      </c>
      <c r="L738" s="5"/>
      <c r="M738" s="5"/>
      <c r="N738" s="5"/>
      <c r="O738" s="5"/>
      <c r="P738" s="11" t="n">
        <v>1</v>
      </c>
      <c r="Q738" s="5" t="n">
        <v>0</v>
      </c>
      <c r="R738" s="5"/>
      <c r="S738" s="5"/>
      <c r="T738" s="5"/>
      <c r="U738" s="5"/>
      <c r="V738" s="5"/>
      <c r="W738" s="11" t="n">
        <v>1</v>
      </c>
      <c r="X738" s="5"/>
      <c r="Y738" s="5"/>
      <c r="Z738" s="11" t="n">
        <v>0</v>
      </c>
      <c r="AA738" s="5"/>
      <c r="AB738" s="5"/>
    </row>
    <row r="739" customFormat="false" ht="15.75" hidden="false" customHeight="false" outlineLevel="0" collapsed="false">
      <c r="A739" s="5" t="s">
        <v>1673</v>
      </c>
      <c r="B739" s="5" t="s">
        <v>1677</v>
      </c>
      <c r="C739" s="5" t="s">
        <v>1682</v>
      </c>
      <c r="D739" s="5"/>
      <c r="E739" s="5"/>
      <c r="F739" s="5"/>
      <c r="G739" s="5"/>
      <c r="H739" s="5" t="n">
        <f aca="false">(COUNTIF(J739:EC739,"=0")+COUNTIF(J739:EC739,"=1"))</f>
        <v>2</v>
      </c>
      <c r="I739" s="18" t="n">
        <f aca="false">IFERROR(ROUND(10-AVERAGE(J739:EC739)*10,0),0)</f>
        <v>0</v>
      </c>
      <c r="J739" s="5"/>
      <c r="K739" s="11"/>
      <c r="L739" s="5"/>
      <c r="M739" s="5"/>
      <c r="N739" s="5"/>
      <c r="O739" s="5"/>
      <c r="P739" s="11" t="n">
        <v>1</v>
      </c>
      <c r="Q739" s="5"/>
      <c r="R739" s="5"/>
      <c r="S739" s="5"/>
      <c r="T739" s="5"/>
      <c r="U739" s="5"/>
      <c r="V739" s="5"/>
      <c r="W739" s="5" t="n">
        <v>1</v>
      </c>
      <c r="X739" s="5"/>
      <c r="Y739" s="5"/>
      <c r="Z739" s="11"/>
      <c r="AA739" s="5"/>
      <c r="AB739" s="5"/>
    </row>
    <row r="740" customFormat="false" ht="15.75" hidden="false" customHeight="false" outlineLevel="0" collapsed="false">
      <c r="A740" s="5" t="s">
        <v>1673</v>
      </c>
      <c r="B740" s="5" t="s">
        <v>1683</v>
      </c>
      <c r="C740" s="5" t="s">
        <v>1684</v>
      </c>
      <c r="D740" s="5" t="s">
        <v>1685</v>
      </c>
      <c r="E740" s="5"/>
      <c r="F740" s="5"/>
      <c r="G740" s="5"/>
      <c r="H740" s="5" t="n">
        <f aca="false">(COUNTIF(J740:EC740,"=0")+COUNTIF(J740:EC740,"=1"))</f>
        <v>6</v>
      </c>
      <c r="I740" s="16" t="n">
        <f aca="false">IFERROR(ROUND(10-AVERAGE(J740:EC740)*10,0),0)</f>
        <v>5</v>
      </c>
      <c r="J740" s="5" t="n">
        <v>1</v>
      </c>
      <c r="K740" s="11" t="n">
        <v>0</v>
      </c>
      <c r="L740" s="5"/>
      <c r="M740" s="5"/>
      <c r="N740" s="5"/>
      <c r="O740" s="5"/>
      <c r="P740" s="11" t="n">
        <v>1</v>
      </c>
      <c r="Q740" s="5" t="n">
        <v>0</v>
      </c>
      <c r="R740" s="5"/>
      <c r="S740" s="5"/>
      <c r="T740" s="5"/>
      <c r="U740" s="5"/>
      <c r="V740" s="5"/>
      <c r="W740" s="5" t="n">
        <v>1</v>
      </c>
      <c r="X740" s="5"/>
      <c r="Y740" s="5"/>
      <c r="Z740" s="11" t="n">
        <v>0</v>
      </c>
      <c r="AA740" s="5"/>
      <c r="AB740" s="5"/>
    </row>
    <row r="741" customFormat="false" ht="15.75" hidden="false" customHeight="false" outlineLevel="0" collapsed="false">
      <c r="A741" s="5" t="s">
        <v>1673</v>
      </c>
      <c r="B741" s="5" t="s">
        <v>1686</v>
      </c>
      <c r="C741" s="5" t="s">
        <v>1687</v>
      </c>
      <c r="D741" s="5"/>
      <c r="E741" s="5"/>
      <c r="F741" s="5"/>
      <c r="G741" s="9" t="s">
        <v>1688</v>
      </c>
      <c r="H741" s="5" t="n">
        <f aca="false">(COUNTIF(J741:EC741,"=0")+COUNTIF(J741:EC741,"=1"))</f>
        <v>5</v>
      </c>
      <c r="I741" s="12" t="n">
        <f aca="false">IFERROR(ROUND(10-AVERAGE(J741:EC741)*10,0),0)</f>
        <v>8</v>
      </c>
      <c r="J741" s="11" t="n">
        <v>0</v>
      </c>
      <c r="K741" s="11" t="n">
        <v>0</v>
      </c>
      <c r="L741" s="5"/>
      <c r="M741" s="5"/>
      <c r="N741" s="5"/>
      <c r="O741" s="5"/>
      <c r="P741" s="11" t="n">
        <v>0</v>
      </c>
      <c r="Q741" s="5"/>
      <c r="R741" s="5"/>
      <c r="S741" s="5"/>
      <c r="T741" s="5"/>
      <c r="U741" s="5"/>
      <c r="V741" s="5"/>
      <c r="W741" s="11" t="n">
        <v>1</v>
      </c>
      <c r="X741" s="5"/>
      <c r="Y741" s="5"/>
      <c r="Z741" s="11" t="n">
        <v>0</v>
      </c>
      <c r="AA741" s="5"/>
      <c r="AB741" s="5"/>
    </row>
    <row r="742" customFormat="false" ht="15.75" hidden="false" customHeight="false" outlineLevel="0" collapsed="false">
      <c r="A742" s="5" t="s">
        <v>1673</v>
      </c>
      <c r="B742" s="5" t="s">
        <v>1689</v>
      </c>
      <c r="C742" s="5" t="s">
        <v>1690</v>
      </c>
      <c r="D742" s="5"/>
      <c r="E742" s="5"/>
      <c r="F742" s="5"/>
      <c r="G742" s="9" t="s">
        <v>1691</v>
      </c>
      <c r="H742" s="5" t="n">
        <f aca="false">(COUNTIF(J742:EC742,"=0")+COUNTIF(J742:EC742,"=1"))</f>
        <v>9</v>
      </c>
      <c r="I742" s="15" t="n">
        <f aca="false">IFERROR(ROUND(10-AVERAGE(J742:EC742)*10,0),0)</f>
        <v>6</v>
      </c>
      <c r="J742" s="11" t="n">
        <v>1</v>
      </c>
      <c r="K742" s="11" t="n">
        <v>0</v>
      </c>
      <c r="L742" s="5"/>
      <c r="M742" s="5"/>
      <c r="N742" s="5"/>
      <c r="O742" s="11" t="n">
        <v>0</v>
      </c>
      <c r="P742" s="11" t="n">
        <v>1</v>
      </c>
      <c r="Q742" s="11" t="n">
        <v>0</v>
      </c>
      <c r="R742" s="5"/>
      <c r="S742" s="11" t="n">
        <v>0</v>
      </c>
      <c r="T742" s="11" t="n">
        <v>0</v>
      </c>
      <c r="U742" s="5"/>
      <c r="V742" s="5"/>
      <c r="W742" s="11" t="n">
        <v>1</v>
      </c>
      <c r="X742" s="5" t="n">
        <v>1</v>
      </c>
      <c r="Y742" s="5"/>
      <c r="Z742" s="5"/>
      <c r="AA742" s="5"/>
      <c r="AB742" s="5"/>
    </row>
    <row r="743" customFormat="false" ht="15.75" hidden="false" customHeight="false" outlineLevel="0" collapsed="false">
      <c r="A743" s="5" t="s">
        <v>1673</v>
      </c>
      <c r="B743" s="5" t="s">
        <v>1689</v>
      </c>
      <c r="C743" s="5" t="s">
        <v>1692</v>
      </c>
      <c r="D743" s="5"/>
      <c r="E743" s="5"/>
      <c r="F743" s="5"/>
      <c r="G743" s="9" t="s">
        <v>1693</v>
      </c>
      <c r="H743" s="5" t="n">
        <f aca="false">(COUNTIF(J743:EC743,"=0")+COUNTIF(J743:EC743,"=1"))</f>
        <v>5</v>
      </c>
      <c r="I743" s="23" t="n">
        <f aca="false">IFERROR(ROUND(10-AVERAGE(J743:EC743)*10,0),0)</f>
        <v>4</v>
      </c>
      <c r="J743" s="11" t="n">
        <v>1</v>
      </c>
      <c r="K743" s="11" t="n">
        <v>0</v>
      </c>
      <c r="L743" s="5"/>
      <c r="M743" s="5"/>
      <c r="N743" s="5"/>
      <c r="O743" s="5"/>
      <c r="P743" s="11" t="n">
        <v>1</v>
      </c>
      <c r="Q743" s="5"/>
      <c r="R743" s="5"/>
      <c r="S743" s="5"/>
      <c r="T743" s="5"/>
      <c r="U743" s="5"/>
      <c r="V743" s="5"/>
      <c r="W743" s="11" t="n">
        <v>1</v>
      </c>
      <c r="X743" s="5"/>
      <c r="Y743" s="5"/>
      <c r="Z743" s="11" t="n">
        <v>0</v>
      </c>
      <c r="AA743" s="5"/>
      <c r="AB743" s="5"/>
    </row>
    <row r="744" customFormat="false" ht="15.75" hidden="false" customHeight="false" outlineLevel="0" collapsed="false">
      <c r="A744" s="5" t="s">
        <v>1673</v>
      </c>
      <c r="B744" s="5" t="s">
        <v>1689</v>
      </c>
      <c r="C744" s="5" t="s">
        <v>1694</v>
      </c>
      <c r="D744" s="5"/>
      <c r="E744" s="5"/>
      <c r="F744" s="5"/>
      <c r="G744" s="9" t="s">
        <v>1695</v>
      </c>
      <c r="H744" s="5" t="n">
        <f aca="false">(COUNTIF(J744:EC744,"=0")+COUNTIF(J744:EC744,"=1"))</f>
        <v>9</v>
      </c>
      <c r="I744" s="15" t="n">
        <f aca="false">IFERROR(ROUND(10-AVERAGE(J744:EC744)*10,0),0)</f>
        <v>6</v>
      </c>
      <c r="J744" s="11" t="n">
        <v>1</v>
      </c>
      <c r="K744" s="11" t="n">
        <v>0</v>
      </c>
      <c r="L744" s="5"/>
      <c r="M744" s="5"/>
      <c r="N744" s="5"/>
      <c r="O744" s="11" t="n">
        <v>0</v>
      </c>
      <c r="P744" s="11" t="n">
        <v>1</v>
      </c>
      <c r="Q744" s="11" t="n">
        <v>0</v>
      </c>
      <c r="R744" s="5"/>
      <c r="S744" s="11" t="n">
        <v>0</v>
      </c>
      <c r="T744" s="11" t="n">
        <v>0</v>
      </c>
      <c r="U744" s="5"/>
      <c r="V744" s="5"/>
      <c r="W744" s="11" t="n">
        <v>1</v>
      </c>
      <c r="X744" s="5" t="n">
        <v>1</v>
      </c>
      <c r="Y744" s="5"/>
      <c r="Z744" s="5"/>
      <c r="AA744" s="5"/>
      <c r="AB744" s="5"/>
    </row>
    <row r="745" customFormat="false" ht="15.75" hidden="false" customHeight="false" outlineLevel="0" collapsed="false">
      <c r="A745" s="5" t="s">
        <v>1673</v>
      </c>
      <c r="B745" s="5" t="s">
        <v>1689</v>
      </c>
      <c r="C745" s="5" t="s">
        <v>1696</v>
      </c>
      <c r="D745" s="5"/>
      <c r="E745" s="5"/>
      <c r="F745" s="5"/>
      <c r="G745" s="9" t="s">
        <v>1697</v>
      </c>
      <c r="H745" s="5" t="n">
        <f aca="false">(COUNTIF(J745:EC745,"=0")+COUNTIF(J745:EC745,"=1"))</f>
        <v>9</v>
      </c>
      <c r="I745" s="15" t="n">
        <f aca="false">IFERROR(ROUND(10-AVERAGE(J745:EC745)*10,0),0)</f>
        <v>6</v>
      </c>
      <c r="J745" s="11" t="n">
        <v>1</v>
      </c>
      <c r="K745" s="11" t="n">
        <v>0</v>
      </c>
      <c r="L745" s="5"/>
      <c r="M745" s="5"/>
      <c r="N745" s="5"/>
      <c r="O745" s="11" t="n">
        <v>0</v>
      </c>
      <c r="P745" s="11" t="n">
        <v>1</v>
      </c>
      <c r="Q745" s="11" t="n">
        <v>0</v>
      </c>
      <c r="R745" s="5"/>
      <c r="S745" s="11" t="n">
        <v>0</v>
      </c>
      <c r="T745" s="11" t="n">
        <v>0</v>
      </c>
      <c r="U745" s="5"/>
      <c r="V745" s="5"/>
      <c r="W745" s="11" t="n">
        <v>1</v>
      </c>
      <c r="X745" s="5" t="n">
        <v>1</v>
      </c>
      <c r="Y745" s="5"/>
      <c r="Z745" s="5"/>
      <c r="AA745" s="5"/>
      <c r="AB745" s="5"/>
    </row>
    <row r="746" customFormat="false" ht="15.75" hidden="false" customHeight="false" outlineLevel="0" collapsed="false">
      <c r="A746" s="5" t="s">
        <v>1673</v>
      </c>
      <c r="B746" s="5" t="s">
        <v>1689</v>
      </c>
      <c r="C746" s="5" t="s">
        <v>1698</v>
      </c>
      <c r="D746" s="5"/>
      <c r="E746" s="5"/>
      <c r="F746" s="5"/>
      <c r="G746" s="5"/>
      <c r="H746" s="5" t="n">
        <f aca="false">(COUNTIF(J746:EC746,"=0")+COUNTIF(J746:EC746,"=1"))</f>
        <v>3</v>
      </c>
      <c r="I746" s="15" t="n">
        <f aca="false">IFERROR(ROUND(10-AVERAGE(J746:EC746)*10,0),0)</f>
        <v>3</v>
      </c>
      <c r="J746" s="5"/>
      <c r="K746" s="11" t="n">
        <v>0</v>
      </c>
      <c r="L746" s="5"/>
      <c r="M746" s="5"/>
      <c r="N746" s="5"/>
      <c r="O746" s="5"/>
      <c r="P746" s="5" t="n">
        <v>1</v>
      </c>
      <c r="Q746" s="5"/>
      <c r="R746" s="5"/>
      <c r="S746" s="5"/>
      <c r="T746" s="5"/>
      <c r="U746" s="5"/>
      <c r="V746" s="5"/>
      <c r="W746" s="5" t="n">
        <v>1</v>
      </c>
      <c r="X746" s="5"/>
      <c r="Y746" s="5"/>
      <c r="Z746" s="5"/>
      <c r="AA746" s="5"/>
      <c r="AB746" s="5"/>
    </row>
    <row r="747" customFormat="false" ht="15.75" hidden="false" customHeight="false" outlineLevel="0" collapsed="false">
      <c r="A747" s="5" t="s">
        <v>1673</v>
      </c>
      <c r="B747" s="5" t="s">
        <v>1689</v>
      </c>
      <c r="C747" s="5" t="s">
        <v>1699</v>
      </c>
      <c r="D747" s="5"/>
      <c r="E747" s="5"/>
      <c r="F747" s="5"/>
      <c r="G747" s="14" t="s">
        <v>1700</v>
      </c>
      <c r="H747" s="5" t="n">
        <f aca="false">(COUNTIF(J747:EC747,"=0")+COUNTIF(J747:EC747,"=1"))</f>
        <v>3</v>
      </c>
      <c r="I747" s="15" t="n">
        <f aca="false">IFERROR(ROUND(10-AVERAGE(J747:EC747)*10,0),0)</f>
        <v>7</v>
      </c>
      <c r="J747" s="5"/>
      <c r="K747" s="11" t="n">
        <v>0</v>
      </c>
      <c r="L747" s="5"/>
      <c r="M747" s="5"/>
      <c r="N747" s="5"/>
      <c r="O747" s="5"/>
      <c r="P747" s="5" t="n">
        <v>0</v>
      </c>
      <c r="Q747" s="5"/>
      <c r="R747" s="5"/>
      <c r="S747" s="5"/>
      <c r="T747" s="5"/>
      <c r="U747" s="5"/>
      <c r="V747" s="5"/>
      <c r="W747" s="5" t="n">
        <v>1</v>
      </c>
      <c r="X747" s="5"/>
      <c r="Y747" s="5"/>
      <c r="Z747" s="5"/>
      <c r="AA747" s="5"/>
      <c r="AB747" s="5"/>
    </row>
    <row r="748" customFormat="false" ht="15.75" hidden="false" customHeight="false" outlineLevel="0" collapsed="false">
      <c r="A748" s="5" t="s">
        <v>1673</v>
      </c>
      <c r="B748" s="5" t="s">
        <v>1689</v>
      </c>
      <c r="C748" s="5" t="s">
        <v>1701</v>
      </c>
      <c r="D748" s="5"/>
      <c r="E748" s="5"/>
      <c r="F748" s="5"/>
      <c r="G748" s="5"/>
      <c r="H748" s="5" t="n">
        <f aca="false">(COUNTIF(J748:EC748,"=0")+COUNTIF(J748:EC748,"=1"))</f>
        <v>3</v>
      </c>
      <c r="I748" s="15" t="n">
        <f aca="false">IFERROR(ROUND(10-AVERAGE(J748:EC748)*10,0),0)</f>
        <v>7</v>
      </c>
      <c r="J748" s="5"/>
      <c r="K748" s="11" t="n">
        <v>0</v>
      </c>
      <c r="L748" s="5"/>
      <c r="M748" s="5"/>
      <c r="N748" s="5"/>
      <c r="O748" s="5"/>
      <c r="P748" s="5" t="n">
        <v>0</v>
      </c>
      <c r="Q748" s="5"/>
      <c r="R748" s="5"/>
      <c r="S748" s="5"/>
      <c r="T748" s="5"/>
      <c r="U748" s="5"/>
      <c r="V748" s="5"/>
      <c r="W748" s="5" t="n">
        <v>1</v>
      </c>
      <c r="X748" s="5"/>
      <c r="Y748" s="5"/>
      <c r="Z748" s="5"/>
      <c r="AA748" s="5"/>
      <c r="AB748" s="5"/>
    </row>
    <row r="749" customFormat="false" ht="15.75" hidden="false" customHeight="false" outlineLevel="0" collapsed="false">
      <c r="A749" s="5" t="s">
        <v>1673</v>
      </c>
      <c r="B749" s="5" t="s">
        <v>1689</v>
      </c>
      <c r="C749" s="5" t="s">
        <v>1682</v>
      </c>
      <c r="D749" s="5"/>
      <c r="E749" s="5"/>
      <c r="F749" s="5"/>
      <c r="G749" s="5"/>
      <c r="H749" s="5" t="n">
        <f aca="false">(COUNTIF(J749:EC749,"=0")+COUNTIF(J749:EC749,"=1"))</f>
        <v>3</v>
      </c>
      <c r="I749" s="15" t="n">
        <f aca="false">IFERROR(ROUND(10-AVERAGE(J749:EC749)*10,0),0)</f>
        <v>3</v>
      </c>
      <c r="J749" s="5"/>
      <c r="K749" s="11" t="n">
        <v>0</v>
      </c>
      <c r="L749" s="5"/>
      <c r="M749" s="5"/>
      <c r="N749" s="5"/>
      <c r="O749" s="5"/>
      <c r="P749" s="5" t="n">
        <v>1</v>
      </c>
      <c r="Q749" s="5"/>
      <c r="R749" s="5"/>
      <c r="S749" s="5"/>
      <c r="T749" s="5"/>
      <c r="U749" s="5"/>
      <c r="V749" s="5"/>
      <c r="W749" s="5" t="n">
        <v>1</v>
      </c>
      <c r="X749" s="5"/>
      <c r="Y749" s="5"/>
      <c r="Z749" s="5"/>
      <c r="AA749" s="5"/>
      <c r="AB749" s="5"/>
    </row>
    <row r="750" customFormat="false" ht="15.75" hidden="false" customHeight="false" outlineLevel="0" collapsed="false">
      <c r="A750" s="5" t="s">
        <v>1673</v>
      </c>
      <c r="B750" s="5" t="s">
        <v>1702</v>
      </c>
      <c r="C750" s="5" t="s">
        <v>1703</v>
      </c>
      <c r="D750" s="5" t="s">
        <v>1704</v>
      </c>
      <c r="E750" s="5"/>
      <c r="F750" s="5"/>
      <c r="G750" s="5"/>
      <c r="H750" s="5" t="n">
        <f aca="false">(COUNTIF(J750:EC750,"=0")+COUNTIF(J750:EC750,"=1"))</f>
        <v>8</v>
      </c>
      <c r="I750" s="15" t="n">
        <f aca="false">IFERROR(ROUND(10-AVERAGE(J750:EC750)*10,0),0)</f>
        <v>6</v>
      </c>
      <c r="J750" s="11" t="n">
        <v>1</v>
      </c>
      <c r="K750" s="11" t="n">
        <v>0</v>
      </c>
      <c r="L750" s="5"/>
      <c r="M750" s="5"/>
      <c r="N750" s="5"/>
      <c r="O750" s="11" t="n">
        <v>0</v>
      </c>
      <c r="P750" s="11" t="n">
        <v>1</v>
      </c>
      <c r="Q750" s="11" t="n">
        <v>0</v>
      </c>
      <c r="R750" s="5"/>
      <c r="S750" s="11" t="n">
        <v>0</v>
      </c>
      <c r="T750" s="11" t="n">
        <v>0</v>
      </c>
      <c r="U750" s="5"/>
      <c r="V750" s="5"/>
      <c r="W750" s="11" t="n">
        <v>1</v>
      </c>
      <c r="X750" s="5"/>
      <c r="Y750" s="5"/>
      <c r="Z750" s="5"/>
      <c r="AA750" s="5"/>
      <c r="AB750" s="5"/>
    </row>
    <row r="751" customFormat="false" ht="15.75" hidden="false" customHeight="false" outlineLevel="0" collapsed="false">
      <c r="A751" s="5" t="s">
        <v>1673</v>
      </c>
      <c r="B751" s="5" t="s">
        <v>1702</v>
      </c>
      <c r="C751" s="5" t="s">
        <v>1705</v>
      </c>
      <c r="D751" s="5"/>
      <c r="E751" s="5"/>
      <c r="F751" s="5"/>
      <c r="G751" s="9" t="s">
        <v>1706</v>
      </c>
      <c r="H751" s="5" t="n">
        <f aca="false">(COUNTIF(J751:EC751,"=0")+COUNTIF(J751:EC751,"=1"))</f>
        <v>5</v>
      </c>
      <c r="I751" s="16" t="n">
        <f aca="false">IFERROR(ROUND(10-AVERAGE(J751:EC751)*10,0),0)</f>
        <v>4</v>
      </c>
      <c r="J751" s="5" t="n">
        <v>1</v>
      </c>
      <c r="K751" s="11" t="n">
        <v>0</v>
      </c>
      <c r="L751" s="5"/>
      <c r="M751" s="5"/>
      <c r="N751" s="5"/>
      <c r="O751" s="5"/>
      <c r="P751" s="11" t="n">
        <v>1</v>
      </c>
      <c r="Q751" s="5"/>
      <c r="R751" s="5"/>
      <c r="S751" s="5"/>
      <c r="T751" s="5"/>
      <c r="U751" s="5"/>
      <c r="V751" s="5"/>
      <c r="W751" s="5" t="n">
        <v>1</v>
      </c>
      <c r="X751" s="5"/>
      <c r="Y751" s="5"/>
      <c r="Z751" s="11" t="n">
        <v>0</v>
      </c>
      <c r="AA751" s="5"/>
      <c r="AB751" s="5"/>
    </row>
    <row r="752" customFormat="false" ht="15.75" hidden="false" customHeight="false" outlineLevel="0" collapsed="false">
      <c r="A752" s="5" t="s">
        <v>1673</v>
      </c>
      <c r="B752" s="5" t="s">
        <v>1702</v>
      </c>
      <c r="C752" s="5" t="s">
        <v>1707</v>
      </c>
      <c r="D752" s="5"/>
      <c r="E752" s="5"/>
      <c r="F752" s="5"/>
      <c r="G752" s="9" t="s">
        <v>1708</v>
      </c>
      <c r="H752" s="5" t="n">
        <f aca="false">(COUNTIF(J752:EC752,"=0")+COUNTIF(J752:EC752,"=1"))</f>
        <v>6</v>
      </c>
      <c r="I752" s="19" t="n">
        <f aca="false">IFERROR(ROUND(10-AVERAGE(J752:EC752)*10,0),0)</f>
        <v>5</v>
      </c>
      <c r="J752" s="11" t="n">
        <v>1</v>
      </c>
      <c r="K752" s="11" t="n">
        <v>0</v>
      </c>
      <c r="L752" s="5"/>
      <c r="M752" s="5"/>
      <c r="N752" s="5"/>
      <c r="O752" s="5"/>
      <c r="P752" s="11" t="n">
        <v>1</v>
      </c>
      <c r="Q752" s="11" t="n">
        <v>0</v>
      </c>
      <c r="R752" s="5"/>
      <c r="S752" s="5"/>
      <c r="T752" s="11" t="n">
        <v>0</v>
      </c>
      <c r="U752" s="5"/>
      <c r="V752" s="5"/>
      <c r="W752" s="11" t="n">
        <v>1</v>
      </c>
      <c r="X752" s="5"/>
      <c r="Y752" s="5"/>
      <c r="Z752" s="5"/>
      <c r="AA752" s="5"/>
      <c r="AB752" s="5"/>
    </row>
    <row r="753" customFormat="false" ht="15.75" hidden="false" customHeight="false" outlineLevel="0" collapsed="false">
      <c r="A753" s="5" t="s">
        <v>1673</v>
      </c>
      <c r="B753" s="5" t="s">
        <v>1702</v>
      </c>
      <c r="C753" s="5" t="s">
        <v>1709</v>
      </c>
      <c r="D753" s="5"/>
      <c r="E753" s="5"/>
      <c r="F753" s="5"/>
      <c r="G753" s="9" t="s">
        <v>1710</v>
      </c>
      <c r="H753" s="5" t="n">
        <f aca="false">(COUNTIF(J753:EC753,"=0")+COUNTIF(J753:EC753,"=1"))</f>
        <v>6</v>
      </c>
      <c r="I753" s="19" t="n">
        <f aca="false">IFERROR(ROUND(10-AVERAGE(J753:EC753)*10,0),0)</f>
        <v>5</v>
      </c>
      <c r="J753" s="11" t="n">
        <v>1</v>
      </c>
      <c r="K753" s="11" t="n">
        <v>0</v>
      </c>
      <c r="L753" s="5"/>
      <c r="M753" s="5"/>
      <c r="N753" s="5"/>
      <c r="O753" s="5"/>
      <c r="P753" s="11" t="n">
        <v>1</v>
      </c>
      <c r="Q753" s="11" t="n">
        <v>0</v>
      </c>
      <c r="R753" s="5"/>
      <c r="S753" s="5"/>
      <c r="T753" s="11" t="n">
        <v>0</v>
      </c>
      <c r="U753" s="5"/>
      <c r="V753" s="5"/>
      <c r="W753" s="11" t="n">
        <v>1</v>
      </c>
      <c r="X753" s="5"/>
      <c r="Y753" s="5"/>
      <c r="Z753" s="5"/>
      <c r="AA753" s="5"/>
      <c r="AB753" s="5"/>
    </row>
    <row r="754" customFormat="false" ht="15.75" hidden="false" customHeight="false" outlineLevel="0" collapsed="false">
      <c r="A754" s="5" t="s">
        <v>1673</v>
      </c>
      <c r="B754" s="5" t="s">
        <v>1702</v>
      </c>
      <c r="C754" s="5" t="s">
        <v>1711</v>
      </c>
      <c r="D754" s="5"/>
      <c r="E754" s="5"/>
      <c r="F754" s="5"/>
      <c r="G754" s="9" t="s">
        <v>1712</v>
      </c>
      <c r="H754" s="5" t="n">
        <f aca="false">(COUNTIF(J754:EC754,"=0")+COUNTIF(J754:EC754,"=1"))</f>
        <v>8</v>
      </c>
      <c r="I754" s="15" t="n">
        <f aca="false">IFERROR(ROUND(10-AVERAGE(J754:EC754)*10,0),0)</f>
        <v>6</v>
      </c>
      <c r="J754" s="11" t="n">
        <v>1</v>
      </c>
      <c r="K754" s="11" t="n">
        <v>0</v>
      </c>
      <c r="L754" s="5"/>
      <c r="M754" s="5"/>
      <c r="N754" s="5"/>
      <c r="O754" s="11" t="n">
        <v>0</v>
      </c>
      <c r="P754" s="11" t="n">
        <v>1</v>
      </c>
      <c r="Q754" s="11" t="n">
        <v>0</v>
      </c>
      <c r="R754" s="5"/>
      <c r="S754" s="11" t="n">
        <v>0</v>
      </c>
      <c r="T754" s="11" t="n">
        <v>0</v>
      </c>
      <c r="U754" s="5"/>
      <c r="V754" s="5"/>
      <c r="W754" s="11" t="n">
        <v>1</v>
      </c>
      <c r="X754" s="5"/>
      <c r="Y754" s="5"/>
      <c r="Z754" s="5"/>
      <c r="AA754" s="5"/>
      <c r="AB754" s="5"/>
    </row>
    <row r="755" customFormat="false" ht="15.75" hidden="false" customHeight="false" outlineLevel="0" collapsed="false">
      <c r="A755" s="5" t="s">
        <v>1673</v>
      </c>
      <c r="B755" s="5" t="s">
        <v>1702</v>
      </c>
      <c r="C755" s="5" t="s">
        <v>1713</v>
      </c>
      <c r="D755" s="5"/>
      <c r="E755" s="5"/>
      <c r="F755" s="5"/>
      <c r="G755" s="9" t="s">
        <v>1714</v>
      </c>
      <c r="H755" s="5" t="n">
        <f aca="false">(COUNTIF(J755:EC755,"=0")+COUNTIF(J755:EC755,"=1"))</f>
        <v>8</v>
      </c>
      <c r="I755" s="15" t="n">
        <f aca="false">IFERROR(ROUND(10-AVERAGE(J755:EC755)*10,0),0)</f>
        <v>6</v>
      </c>
      <c r="J755" s="11" t="n">
        <v>1</v>
      </c>
      <c r="K755" s="11" t="n">
        <v>0</v>
      </c>
      <c r="L755" s="5"/>
      <c r="M755" s="5"/>
      <c r="N755" s="5"/>
      <c r="O755" s="11" t="n">
        <v>0</v>
      </c>
      <c r="P755" s="11" t="n">
        <v>1</v>
      </c>
      <c r="Q755" s="11" t="n">
        <v>0</v>
      </c>
      <c r="R755" s="5"/>
      <c r="S755" s="11" t="n">
        <v>0</v>
      </c>
      <c r="T755" s="11" t="n">
        <v>0</v>
      </c>
      <c r="U755" s="5"/>
      <c r="V755" s="5"/>
      <c r="W755" s="11" t="n">
        <v>1</v>
      </c>
      <c r="X755" s="5"/>
      <c r="Y755" s="5"/>
      <c r="Z755" s="5"/>
      <c r="AA755" s="5"/>
      <c r="AB755" s="5"/>
    </row>
    <row r="756" customFormat="false" ht="15.75" hidden="false" customHeight="false" outlineLevel="0" collapsed="false">
      <c r="A756" s="5" t="s">
        <v>1673</v>
      </c>
      <c r="B756" s="5" t="s">
        <v>1702</v>
      </c>
      <c r="C756" s="5" t="s">
        <v>1715</v>
      </c>
      <c r="D756" s="5"/>
      <c r="E756" s="5"/>
      <c r="F756" s="5"/>
      <c r="G756" s="9" t="s">
        <v>1716</v>
      </c>
      <c r="H756" s="5" t="n">
        <f aca="false">(COUNTIF(J756:EC756,"=0")+COUNTIF(J756:EC756,"=1"))</f>
        <v>8</v>
      </c>
      <c r="I756" s="15" t="n">
        <f aca="false">IFERROR(ROUND(10-AVERAGE(J756:EC756)*10,0),0)</f>
        <v>6</v>
      </c>
      <c r="J756" s="11" t="n">
        <v>1</v>
      </c>
      <c r="K756" s="11" t="n">
        <v>0</v>
      </c>
      <c r="L756" s="5"/>
      <c r="M756" s="5"/>
      <c r="N756" s="5"/>
      <c r="O756" s="11" t="n">
        <v>0</v>
      </c>
      <c r="P756" s="11" t="n">
        <v>1</v>
      </c>
      <c r="Q756" s="11" t="n">
        <v>0</v>
      </c>
      <c r="R756" s="5"/>
      <c r="S756" s="11" t="n">
        <v>0</v>
      </c>
      <c r="T756" s="11" t="n">
        <v>0</v>
      </c>
      <c r="U756" s="5"/>
      <c r="V756" s="5"/>
      <c r="W756" s="11" t="n">
        <v>1</v>
      </c>
      <c r="X756" s="5"/>
      <c r="Y756" s="5"/>
      <c r="Z756" s="5"/>
      <c r="AA756" s="5"/>
      <c r="AB756" s="5"/>
    </row>
    <row r="757" customFormat="false" ht="15.75" hidden="false" customHeight="false" outlineLevel="0" collapsed="false">
      <c r="A757" s="5" t="s">
        <v>1673</v>
      </c>
      <c r="B757" s="5" t="s">
        <v>1717</v>
      </c>
      <c r="C757" s="5" t="s">
        <v>1718</v>
      </c>
      <c r="D757" s="5" t="s">
        <v>785</v>
      </c>
      <c r="E757" s="9" t="s">
        <v>1719</v>
      </c>
      <c r="F757" s="5"/>
      <c r="G757" s="9" t="s">
        <v>1720</v>
      </c>
      <c r="H757" s="5" t="n">
        <f aca="false">(COUNTIF(J757:EC757,"=0")+COUNTIF(J757:EC757,"=1"))</f>
        <v>5</v>
      </c>
      <c r="I757" s="16" t="n">
        <f aca="false">IFERROR(ROUND(10-AVERAGE(J757:EC757)*10,0),0)</f>
        <v>4</v>
      </c>
      <c r="J757" s="5" t="n">
        <v>1</v>
      </c>
      <c r="K757" s="11" t="n">
        <v>0</v>
      </c>
      <c r="L757" s="5"/>
      <c r="M757" s="5"/>
      <c r="N757" s="5"/>
      <c r="O757" s="5"/>
      <c r="P757" s="11" t="n">
        <v>1</v>
      </c>
      <c r="Q757" s="5"/>
      <c r="R757" s="5"/>
      <c r="S757" s="5"/>
      <c r="T757" s="5"/>
      <c r="U757" s="5"/>
      <c r="V757" s="5"/>
      <c r="W757" s="5" t="n">
        <v>1</v>
      </c>
      <c r="X757" s="5"/>
      <c r="Y757" s="5"/>
      <c r="Z757" s="11" t="n">
        <v>0</v>
      </c>
      <c r="AA757" s="5"/>
      <c r="AB757" s="5"/>
    </row>
    <row r="758" customFormat="false" ht="15.75" hidden="false" customHeight="false" outlineLevel="0" collapsed="false">
      <c r="A758" s="5" t="s">
        <v>1673</v>
      </c>
      <c r="B758" s="5" t="s">
        <v>1717</v>
      </c>
      <c r="C758" s="5" t="s">
        <v>1721</v>
      </c>
      <c r="D758" s="5"/>
      <c r="E758" s="9" t="s">
        <v>1722</v>
      </c>
      <c r="F758" s="5"/>
      <c r="G758" s="9" t="s">
        <v>1723</v>
      </c>
      <c r="H758" s="5" t="n">
        <f aca="false">(COUNTIF(J758:EC758,"=0")+COUNTIF(J758:EC758,"=1"))</f>
        <v>6</v>
      </c>
      <c r="I758" s="21" t="n">
        <f aca="false">IFERROR(ROUND(10-AVERAGE(J758:EC758)*10,0),0)</f>
        <v>2</v>
      </c>
      <c r="J758" s="5" t="n">
        <v>1</v>
      </c>
      <c r="K758" s="11" t="n">
        <v>0</v>
      </c>
      <c r="L758" s="5"/>
      <c r="M758" s="5"/>
      <c r="N758" s="5"/>
      <c r="O758" s="5"/>
      <c r="P758" s="11" t="n">
        <v>1</v>
      </c>
      <c r="Q758" s="5" t="n">
        <v>1</v>
      </c>
      <c r="R758" s="5"/>
      <c r="S758" s="5"/>
      <c r="T758" s="5"/>
      <c r="U758" s="5"/>
      <c r="V758" s="5"/>
      <c r="W758" s="5" t="n">
        <v>1</v>
      </c>
      <c r="X758" s="5"/>
      <c r="Y758" s="5"/>
      <c r="Z758" s="11" t="n">
        <v>1</v>
      </c>
      <c r="AA758" s="5"/>
      <c r="AB758" s="5"/>
    </row>
    <row r="759" customFormat="false" ht="15.75" hidden="false" customHeight="false" outlineLevel="0" collapsed="false">
      <c r="A759" s="5" t="s">
        <v>1673</v>
      </c>
      <c r="B759" s="5" t="s">
        <v>1724</v>
      </c>
      <c r="C759" s="5" t="s">
        <v>1725</v>
      </c>
      <c r="D759" s="5"/>
      <c r="E759" s="9" t="s">
        <v>1726</v>
      </c>
      <c r="F759" s="5"/>
      <c r="G759" s="9" t="s">
        <v>1727</v>
      </c>
      <c r="H759" s="5" t="n">
        <f aca="false">(COUNTIF(J759:EC759,"=0")+COUNTIF(J759:EC759,"=1"))</f>
        <v>5</v>
      </c>
      <c r="I759" s="15" t="n">
        <f aca="false">IFERROR(ROUND(10-AVERAGE(J759:EC759)*10,0),0)</f>
        <v>6</v>
      </c>
      <c r="J759" s="11" t="n">
        <v>0</v>
      </c>
      <c r="K759" s="11" t="n">
        <v>0</v>
      </c>
      <c r="L759" s="5"/>
      <c r="M759" s="5"/>
      <c r="N759" s="5"/>
      <c r="O759" s="5"/>
      <c r="P759" s="11" t="n">
        <v>1</v>
      </c>
      <c r="Q759" s="5"/>
      <c r="R759" s="5"/>
      <c r="S759" s="5"/>
      <c r="T759" s="5"/>
      <c r="U759" s="5"/>
      <c r="V759" s="5"/>
      <c r="W759" s="11" t="n">
        <v>1</v>
      </c>
      <c r="X759" s="5"/>
      <c r="Y759" s="5"/>
      <c r="Z759" s="11" t="n">
        <v>0</v>
      </c>
      <c r="AA759" s="5"/>
      <c r="AB759" s="5"/>
    </row>
    <row r="760" customFormat="false" ht="15.75" hidden="false" customHeight="false" outlineLevel="0" collapsed="false">
      <c r="A760" s="5" t="s">
        <v>1673</v>
      </c>
      <c r="B760" s="5" t="s">
        <v>1728</v>
      </c>
      <c r="C760" s="5" t="s">
        <v>1729</v>
      </c>
      <c r="D760" s="5"/>
      <c r="E760" s="9" t="s">
        <v>1730</v>
      </c>
      <c r="G760" s="9" t="s">
        <v>1731</v>
      </c>
      <c r="H760" s="5" t="n">
        <f aca="false">(COUNTIF(J760:EC760,"=0")+COUNTIF(J760:EC760,"=1"))</f>
        <v>9</v>
      </c>
      <c r="I760" s="15" t="n">
        <f aca="false">IFERROR(ROUND(10-AVERAGE(J760:EC760)*10,0),0)</f>
        <v>4</v>
      </c>
      <c r="J760" s="11" t="n">
        <v>1</v>
      </c>
      <c r="K760" s="11" t="n">
        <v>0</v>
      </c>
      <c r="L760" s="11" t="n">
        <v>1</v>
      </c>
      <c r="M760" s="5"/>
      <c r="N760" s="5"/>
      <c r="O760" s="11" t="n">
        <v>0</v>
      </c>
      <c r="P760" s="11" t="n">
        <v>1</v>
      </c>
      <c r="Q760" s="11" t="n">
        <v>0</v>
      </c>
      <c r="R760" s="5"/>
      <c r="S760" s="11" t="n">
        <v>1</v>
      </c>
      <c r="T760" s="11" t="n">
        <v>0</v>
      </c>
      <c r="U760" s="5"/>
      <c r="V760" s="5"/>
      <c r="W760" s="11" t="n">
        <v>1</v>
      </c>
      <c r="X760" s="5"/>
      <c r="Y760" s="5"/>
      <c r="Z760" s="5"/>
      <c r="AA760" s="5"/>
      <c r="AB760" s="5"/>
    </row>
    <row r="761" customFormat="false" ht="15.75" hidden="false" customHeight="false" outlineLevel="0" collapsed="false">
      <c r="A761" s="5" t="s">
        <v>1673</v>
      </c>
      <c r="B761" s="5" t="s">
        <v>1728</v>
      </c>
      <c r="C761" s="5" t="s">
        <v>1732</v>
      </c>
      <c r="D761" s="5"/>
      <c r="E761" s="9" t="s">
        <v>1733</v>
      </c>
      <c r="G761" s="9" t="s">
        <v>1734</v>
      </c>
      <c r="H761" s="5" t="n">
        <f aca="false">(COUNTIF(J761:EC761,"=0")+COUNTIF(J761:EC761,"=1"))</f>
        <v>7</v>
      </c>
      <c r="I761" s="21" t="n">
        <f aca="false">IFERROR(ROUND(10-AVERAGE(J761:EC761)*10,0),0)</f>
        <v>3</v>
      </c>
      <c r="J761" s="11" t="n">
        <v>1</v>
      </c>
      <c r="K761" s="11" t="n">
        <v>0</v>
      </c>
      <c r="L761" s="5"/>
      <c r="M761" s="5"/>
      <c r="N761" s="5"/>
      <c r="O761" s="5"/>
      <c r="P761" s="11" t="n">
        <v>1</v>
      </c>
      <c r="Q761" s="5"/>
      <c r="R761" s="5"/>
      <c r="S761" s="5" t="n">
        <v>1</v>
      </c>
      <c r="T761" s="5"/>
      <c r="U761" s="5"/>
      <c r="V761" s="5"/>
      <c r="W761" s="11" t="n">
        <v>1</v>
      </c>
      <c r="X761" s="5"/>
      <c r="Y761" s="5"/>
      <c r="Z761" s="11" t="n">
        <v>1</v>
      </c>
      <c r="AA761" s="11" t="n">
        <v>0</v>
      </c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customFormat="false" ht="15.75" hidden="false" customHeight="false" outlineLevel="0" collapsed="false">
      <c r="A762" s="5" t="s">
        <v>1673</v>
      </c>
      <c r="B762" s="5" t="s">
        <v>1728</v>
      </c>
      <c r="C762" s="5" t="s">
        <v>1735</v>
      </c>
      <c r="D762" s="5"/>
      <c r="E762" s="9" t="s">
        <v>1736</v>
      </c>
      <c r="F762" s="5"/>
      <c r="G762" s="9" t="s">
        <v>1737</v>
      </c>
      <c r="H762" s="5" t="n">
        <f aca="false">(COUNTIF(J762:EC762,"=0")+COUNTIF(J762:EC762,"=1"))</f>
        <v>9</v>
      </c>
      <c r="I762" s="16" t="n">
        <f aca="false">IFERROR(ROUND(10-AVERAGE(J762:EC762)*10,0),0)</f>
        <v>6</v>
      </c>
      <c r="J762" s="11" t="n">
        <v>1</v>
      </c>
      <c r="K762" s="11" t="n">
        <v>0</v>
      </c>
      <c r="L762" s="5"/>
      <c r="M762" s="5"/>
      <c r="N762" s="5"/>
      <c r="O762" s="11" t="n">
        <v>0</v>
      </c>
      <c r="P762" s="11" t="n">
        <v>1</v>
      </c>
      <c r="Q762" s="11" t="n">
        <v>0</v>
      </c>
      <c r="R762" s="5"/>
      <c r="S762" s="11" t="n">
        <v>1</v>
      </c>
      <c r="T762" s="11" t="n">
        <v>0</v>
      </c>
      <c r="U762" s="5"/>
      <c r="V762" s="5"/>
      <c r="W762" s="11" t="n">
        <v>1</v>
      </c>
      <c r="X762" s="5"/>
      <c r="Y762" s="5"/>
      <c r="Z762" s="5"/>
      <c r="AA762" s="11" t="n">
        <v>0</v>
      </c>
      <c r="AB762" s="5"/>
    </row>
    <row r="763" customFormat="false" ht="15.75" hidden="false" customHeight="false" outlineLevel="0" collapsed="false">
      <c r="A763" s="5" t="s">
        <v>1673</v>
      </c>
      <c r="B763" s="5" t="s">
        <v>1728</v>
      </c>
      <c r="C763" s="5" t="s">
        <v>1738</v>
      </c>
      <c r="D763" s="5"/>
      <c r="E763" s="9" t="s">
        <v>1739</v>
      </c>
      <c r="F763" s="5"/>
      <c r="G763" s="9" t="s">
        <v>1740</v>
      </c>
      <c r="H763" s="5" t="n">
        <f aca="false">(COUNTIF(J763:EC763,"=0")+COUNTIF(J763:EC763,"=1"))</f>
        <v>6</v>
      </c>
      <c r="I763" s="15" t="n">
        <f aca="false">IFERROR(ROUND(10-AVERAGE(J763:EC763)*10,0),0)</f>
        <v>5</v>
      </c>
      <c r="J763" s="11" t="n">
        <v>0</v>
      </c>
      <c r="K763" s="11" t="n">
        <v>0</v>
      </c>
      <c r="L763" s="5"/>
      <c r="M763" s="5"/>
      <c r="N763" s="5"/>
      <c r="O763" s="5"/>
      <c r="P763" s="11" t="n">
        <v>1</v>
      </c>
      <c r="Q763" s="5"/>
      <c r="R763" s="5"/>
      <c r="S763" s="5" t="n">
        <v>1</v>
      </c>
      <c r="T763" s="11" t="n">
        <v>0</v>
      </c>
      <c r="U763" s="5"/>
      <c r="V763" s="5"/>
      <c r="W763" s="11" t="n">
        <v>1</v>
      </c>
      <c r="X763" s="5"/>
      <c r="Y763" s="5"/>
      <c r="Z763" s="5"/>
      <c r="AA763" s="5"/>
      <c r="AB763" s="5"/>
    </row>
    <row r="764" customFormat="false" ht="15.75" hidden="false" customHeight="false" outlineLevel="0" collapsed="false">
      <c r="A764" s="5" t="s">
        <v>1673</v>
      </c>
      <c r="B764" s="5" t="s">
        <v>1728</v>
      </c>
      <c r="C764" s="5" t="s">
        <v>1741</v>
      </c>
      <c r="D764" s="5"/>
      <c r="E764" s="14" t="s">
        <v>1742</v>
      </c>
      <c r="F764" s="5"/>
      <c r="G764" s="14" t="s">
        <v>1743</v>
      </c>
      <c r="H764" s="5" t="n">
        <f aca="false">(COUNTIF(J764:EC764,"=0")+COUNTIF(J764:EC764,"=1"))</f>
        <v>3</v>
      </c>
      <c r="I764" s="15" t="n">
        <f aca="false">IFERROR(ROUND(10-AVERAGE(J764:EC764)*10,0),0)</f>
        <v>3</v>
      </c>
      <c r="J764" s="5"/>
      <c r="K764" s="11" t="n">
        <v>0</v>
      </c>
      <c r="L764" s="5"/>
      <c r="M764" s="5"/>
      <c r="N764" s="5"/>
      <c r="O764" s="5"/>
      <c r="P764" s="5" t="n">
        <v>1</v>
      </c>
      <c r="Q764" s="5"/>
      <c r="R764" s="5"/>
      <c r="S764" s="5"/>
      <c r="T764" s="5"/>
      <c r="U764" s="5"/>
      <c r="V764" s="5"/>
      <c r="W764" s="5" t="n">
        <v>1</v>
      </c>
      <c r="X764" s="5"/>
      <c r="Y764" s="5"/>
      <c r="Z764" s="5"/>
      <c r="AA764" s="5"/>
      <c r="AB764" s="5"/>
    </row>
    <row r="765" customFormat="false" ht="15.75" hidden="false" customHeight="false" outlineLevel="0" collapsed="false">
      <c r="A765" s="5" t="s">
        <v>1673</v>
      </c>
      <c r="B765" s="5" t="s">
        <v>1728</v>
      </c>
      <c r="C765" s="5" t="s">
        <v>1744</v>
      </c>
      <c r="D765" s="5"/>
      <c r="E765" s="9" t="s">
        <v>1745</v>
      </c>
      <c r="F765" s="5"/>
      <c r="G765" s="9" t="s">
        <v>1746</v>
      </c>
      <c r="H765" s="5" t="n">
        <f aca="false">(COUNTIF(J765:EC765,"=0")+COUNTIF(J765:EC765,"=1"))</f>
        <v>5</v>
      </c>
      <c r="I765" s="15" t="n">
        <f aca="false">IFERROR(ROUND(10-AVERAGE(J765:EC765)*10,0),0)</f>
        <v>6</v>
      </c>
      <c r="J765" s="11" t="n">
        <v>1</v>
      </c>
      <c r="K765" s="11" t="n">
        <v>0</v>
      </c>
      <c r="L765" s="5"/>
      <c r="M765" s="5"/>
      <c r="N765" s="5"/>
      <c r="O765" s="5"/>
      <c r="P765" s="11" t="n">
        <v>0</v>
      </c>
      <c r="Q765" s="5"/>
      <c r="R765" s="5"/>
      <c r="S765" s="5"/>
      <c r="T765" s="5"/>
      <c r="U765" s="5"/>
      <c r="V765" s="5"/>
      <c r="W765" s="11" t="n">
        <v>1</v>
      </c>
      <c r="X765" s="5"/>
      <c r="Y765" s="5"/>
      <c r="Z765" s="11" t="n">
        <v>0</v>
      </c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customFormat="false" ht="15.75" hidden="false" customHeight="false" outlineLevel="0" collapsed="false">
      <c r="A766" s="5" t="s">
        <v>1673</v>
      </c>
      <c r="B766" s="5" t="s">
        <v>1728</v>
      </c>
      <c r="C766" s="5" t="s">
        <v>1747</v>
      </c>
      <c r="D766" s="5"/>
      <c r="E766" s="9" t="s">
        <v>1748</v>
      </c>
      <c r="F766" s="5"/>
      <c r="G766" s="9" t="s">
        <v>1749</v>
      </c>
      <c r="H766" s="5" t="n">
        <f aca="false">(COUNTIF(J766:EC766,"=0")+COUNTIF(J766:EC766,"=1"))</f>
        <v>8</v>
      </c>
      <c r="I766" s="15" t="n">
        <f aca="false">IFERROR(ROUND(10-AVERAGE(J766:EC766)*10,0),0)</f>
        <v>5</v>
      </c>
      <c r="J766" s="11" t="n">
        <v>1</v>
      </c>
      <c r="K766" s="11" t="n">
        <v>0</v>
      </c>
      <c r="L766" s="5"/>
      <c r="M766" s="5"/>
      <c r="N766" s="5"/>
      <c r="O766" s="11" t="n">
        <v>0</v>
      </c>
      <c r="P766" s="11" t="n">
        <v>1</v>
      </c>
      <c r="Q766" s="11" t="n">
        <v>0</v>
      </c>
      <c r="R766" s="5"/>
      <c r="S766" s="11" t="n">
        <v>1</v>
      </c>
      <c r="T766" s="11" t="n">
        <v>0</v>
      </c>
      <c r="U766" s="5"/>
      <c r="V766" s="5"/>
      <c r="W766" s="11" t="n">
        <v>1</v>
      </c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customFormat="false" ht="15.75" hidden="false" customHeight="false" outlineLevel="0" collapsed="false">
      <c r="A767" s="5" t="s">
        <v>1673</v>
      </c>
      <c r="B767" s="5" t="s">
        <v>1750</v>
      </c>
      <c r="C767" s="5" t="s">
        <v>785</v>
      </c>
      <c r="D767" s="5"/>
      <c r="E767" s="5"/>
      <c r="F767" s="5"/>
      <c r="G767" s="9" t="s">
        <v>1751</v>
      </c>
      <c r="H767" s="5" t="n">
        <f aca="false">(COUNTIF(J767:EC767,"=0")+COUNTIF(J767:EC767,"=1"))</f>
        <v>5</v>
      </c>
      <c r="I767" s="23" t="n">
        <f aca="false">IFERROR(ROUND(10-AVERAGE(J767:EC767)*10,0),0)</f>
        <v>4</v>
      </c>
      <c r="J767" s="11" t="n">
        <v>1</v>
      </c>
      <c r="K767" s="11" t="n">
        <v>0</v>
      </c>
      <c r="L767" s="5"/>
      <c r="M767" s="5"/>
      <c r="N767" s="5"/>
      <c r="O767" s="5"/>
      <c r="P767" s="11" t="n">
        <v>1</v>
      </c>
      <c r="Q767" s="5"/>
      <c r="R767" s="5"/>
      <c r="S767" s="5"/>
      <c r="T767" s="5"/>
      <c r="U767" s="5"/>
      <c r="V767" s="5"/>
      <c r="W767" s="11" t="n">
        <v>1</v>
      </c>
      <c r="X767" s="5"/>
      <c r="Y767" s="5"/>
      <c r="Z767" s="11" t="n">
        <v>0</v>
      </c>
      <c r="AA767" s="5"/>
      <c r="AB767" s="5"/>
    </row>
    <row r="768" customFormat="false" ht="15.75" hidden="false" customHeight="false" outlineLevel="0" collapsed="false">
      <c r="A768" s="5" t="s">
        <v>1673</v>
      </c>
      <c r="B768" s="5" t="s">
        <v>1752</v>
      </c>
      <c r="C768" s="5" t="s">
        <v>1753</v>
      </c>
      <c r="D768" s="5"/>
      <c r="E768" s="5"/>
      <c r="F768" s="5"/>
      <c r="G768" s="5"/>
      <c r="H768" s="5" t="n">
        <f aca="false">(COUNTIF(J768:EC768,"=0")+COUNTIF(J768:EC768,"=1"))</f>
        <v>1</v>
      </c>
      <c r="I768" s="15" t="n">
        <f aca="false">IFERROR(ROUND(10-AVERAGE(J768:EC768)*10,0),0)</f>
        <v>0</v>
      </c>
      <c r="J768" s="5"/>
      <c r="K768" s="5"/>
      <c r="L768" s="5"/>
      <c r="M768" s="5"/>
      <c r="N768" s="5"/>
      <c r="O768" s="5"/>
      <c r="P768" s="5" t="n">
        <v>1</v>
      </c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customFormat="false" ht="15.75" hidden="false" customHeight="false" outlineLevel="0" collapsed="false">
      <c r="A769" s="5" t="s">
        <v>1673</v>
      </c>
      <c r="B769" s="5" t="s">
        <v>1754</v>
      </c>
      <c r="C769" s="33" t="s">
        <v>1755</v>
      </c>
      <c r="D769" s="5"/>
      <c r="E769" s="14" t="s">
        <v>1756</v>
      </c>
      <c r="F769" s="5"/>
      <c r="G769" s="14" t="s">
        <v>1757</v>
      </c>
      <c r="H769" s="5" t="n">
        <f aca="false">(COUNTIF(J769:EC769,"=0")+COUNTIF(J769:EC769,"=1"))</f>
        <v>3</v>
      </c>
      <c r="I769" s="15" t="n">
        <f aca="false">IFERROR(ROUND(10-AVERAGE(J769:EC769)*10,0),0)</f>
        <v>3</v>
      </c>
      <c r="J769" s="5"/>
      <c r="K769" s="11" t="n">
        <v>0</v>
      </c>
      <c r="L769" s="5"/>
      <c r="M769" s="5"/>
      <c r="N769" s="5"/>
      <c r="O769" s="5"/>
      <c r="P769" s="5" t="n">
        <v>1</v>
      </c>
      <c r="Q769" s="5"/>
      <c r="R769" s="5"/>
      <c r="S769" s="5"/>
      <c r="T769" s="5"/>
      <c r="U769" s="5"/>
      <c r="V769" s="5"/>
      <c r="W769" s="5" t="n">
        <v>1</v>
      </c>
      <c r="X769" s="5"/>
      <c r="Y769" s="5"/>
      <c r="Z769" s="5"/>
      <c r="AA769" s="5"/>
      <c r="AB769" s="5"/>
    </row>
    <row r="770" customFormat="false" ht="15.75" hidden="false" customHeight="false" outlineLevel="0" collapsed="false">
      <c r="A770" s="5" t="s">
        <v>1673</v>
      </c>
      <c r="B770" s="5" t="s">
        <v>1754</v>
      </c>
      <c r="C770" s="5" t="s">
        <v>1758</v>
      </c>
      <c r="D770" s="5"/>
      <c r="E770" s="9" t="s">
        <v>1759</v>
      </c>
      <c r="F770" s="5"/>
      <c r="G770" s="9" t="s">
        <v>1760</v>
      </c>
      <c r="H770" s="5" t="n">
        <f aca="false">(COUNTIF(J770:EC770,"=0")+COUNTIF(J770:EC770,"=1"))</f>
        <v>5</v>
      </c>
      <c r="I770" s="15" t="n">
        <f aca="false">IFERROR(ROUND(10-AVERAGE(J770:EC770)*10,0),0)</f>
        <v>6</v>
      </c>
      <c r="J770" s="11" t="n">
        <v>0</v>
      </c>
      <c r="K770" s="11" t="n">
        <v>0</v>
      </c>
      <c r="L770" s="5"/>
      <c r="M770" s="5"/>
      <c r="N770" s="5"/>
      <c r="O770" s="5"/>
      <c r="P770" s="11" t="n">
        <v>1</v>
      </c>
      <c r="Q770" s="5"/>
      <c r="R770" s="5"/>
      <c r="S770" s="5"/>
      <c r="T770" s="5"/>
      <c r="U770" s="5"/>
      <c r="V770" s="5"/>
      <c r="W770" s="11" t="n">
        <v>1</v>
      </c>
      <c r="X770" s="5"/>
      <c r="Y770" s="5"/>
      <c r="Z770" s="11" t="n">
        <v>0</v>
      </c>
      <c r="AA770" s="5"/>
      <c r="AB770" s="5"/>
    </row>
    <row r="771" customFormat="false" ht="15.75" hidden="false" customHeight="false" outlineLevel="0" collapsed="false">
      <c r="A771" s="5" t="s">
        <v>1673</v>
      </c>
      <c r="B771" s="5" t="s">
        <v>1754</v>
      </c>
      <c r="C771" s="5" t="s">
        <v>1761</v>
      </c>
      <c r="D771" s="5"/>
      <c r="E771" s="9" t="s">
        <v>1762</v>
      </c>
      <c r="F771" s="5"/>
      <c r="G771" s="9" t="s">
        <v>1763</v>
      </c>
      <c r="H771" s="5" t="n">
        <f aca="false">(COUNTIF(J771:EC771,"=0")+COUNTIF(J771:EC771,"=1"))</f>
        <v>7</v>
      </c>
      <c r="I771" s="16" t="n">
        <f aca="false">IFERROR(ROUND(10-AVERAGE(J771:EC771)*10,0),0)</f>
        <v>6</v>
      </c>
      <c r="J771" s="11" t="n">
        <v>0</v>
      </c>
      <c r="K771" s="11" t="n">
        <v>0</v>
      </c>
      <c r="L771" s="5"/>
      <c r="M771" s="5"/>
      <c r="N771" s="5"/>
      <c r="O771" s="5"/>
      <c r="P771" s="11" t="n">
        <v>1</v>
      </c>
      <c r="Q771" s="5"/>
      <c r="R771" s="5"/>
      <c r="S771" s="5"/>
      <c r="T771" s="5"/>
      <c r="U771" s="5"/>
      <c r="V771" s="5"/>
      <c r="W771" s="11" t="n">
        <v>1</v>
      </c>
      <c r="X771" s="5"/>
      <c r="Y771" s="5"/>
      <c r="Z771" s="11" t="n">
        <v>0</v>
      </c>
      <c r="AA771" s="11" t="n">
        <v>0</v>
      </c>
      <c r="AB771" s="5"/>
      <c r="AF771" s="5" t="n">
        <v>1</v>
      </c>
    </row>
    <row r="772" customFormat="false" ht="15.75" hidden="false" customHeight="false" outlineLevel="0" collapsed="false">
      <c r="A772" s="5" t="s">
        <v>1673</v>
      </c>
      <c r="B772" s="5" t="s">
        <v>1754</v>
      </c>
      <c r="C772" s="5" t="s">
        <v>1764</v>
      </c>
      <c r="D772" s="5"/>
      <c r="E772" s="9" t="s">
        <v>1765</v>
      </c>
      <c r="G772" s="9" t="s">
        <v>1766</v>
      </c>
      <c r="H772" s="5" t="n">
        <f aca="false">(COUNTIF(J772:EC772,"=0")+COUNTIF(J772:EC772,"=1"))</f>
        <v>6</v>
      </c>
      <c r="I772" s="16" t="n">
        <f aca="false">IFERROR(ROUND(10-AVERAGE(J772:EC772)*10,0),0)</f>
        <v>7</v>
      </c>
      <c r="J772" s="11" t="n">
        <v>0</v>
      </c>
      <c r="K772" s="11" t="n">
        <v>0</v>
      </c>
      <c r="L772" s="5"/>
      <c r="M772" s="5"/>
      <c r="N772" s="5"/>
      <c r="O772" s="5"/>
      <c r="P772" s="11" t="n">
        <v>1</v>
      </c>
      <c r="Q772" s="5"/>
      <c r="R772" s="5"/>
      <c r="S772" s="5"/>
      <c r="T772" s="5"/>
      <c r="U772" s="5"/>
      <c r="V772" s="5"/>
      <c r="W772" s="11" t="n">
        <v>1</v>
      </c>
      <c r="X772" s="5"/>
      <c r="Y772" s="5"/>
      <c r="Z772" s="11" t="n">
        <v>0</v>
      </c>
      <c r="AA772" s="11" t="n">
        <v>0</v>
      </c>
      <c r="AB772" s="5"/>
    </row>
    <row r="773" customFormat="false" ht="15.75" hidden="false" customHeight="false" outlineLevel="0" collapsed="false">
      <c r="A773" s="5" t="s">
        <v>1673</v>
      </c>
      <c r="B773" s="5" t="s">
        <v>1767</v>
      </c>
      <c r="C773" s="33" t="s">
        <v>69</v>
      </c>
      <c r="D773" s="5"/>
      <c r="E773" s="5"/>
      <c r="F773" s="5"/>
      <c r="G773" s="5"/>
      <c r="H773" s="5" t="n">
        <f aca="false">(COUNTIF(J773:EC773,"=0")+COUNTIF(J773:EC773,"=1"))</f>
        <v>3</v>
      </c>
      <c r="I773" s="15" t="n">
        <f aca="false">IFERROR(ROUND(10-AVERAGE(J773:EC773)*10,0),0)</f>
        <v>3</v>
      </c>
      <c r="J773" s="5"/>
      <c r="K773" s="11" t="n">
        <v>0</v>
      </c>
      <c r="L773" s="5"/>
      <c r="M773" s="5"/>
      <c r="N773" s="5"/>
      <c r="O773" s="5"/>
      <c r="P773" s="5" t="n">
        <v>1</v>
      </c>
      <c r="Q773" s="5"/>
      <c r="R773" s="5"/>
      <c r="S773" s="5"/>
      <c r="T773" s="5"/>
      <c r="U773" s="5"/>
      <c r="V773" s="5"/>
      <c r="W773" s="5" t="n">
        <v>1</v>
      </c>
      <c r="X773" s="5"/>
      <c r="Y773" s="5"/>
      <c r="Z773" s="5"/>
      <c r="AA773" s="5"/>
      <c r="AB773" s="5"/>
    </row>
    <row r="774" customFormat="false" ht="15.75" hidden="false" customHeight="false" outlineLevel="0" collapsed="false">
      <c r="A774" s="5" t="s">
        <v>1673</v>
      </c>
      <c r="B774" s="5" t="s">
        <v>1767</v>
      </c>
      <c r="C774" s="33" t="s">
        <v>1768</v>
      </c>
      <c r="D774" s="5"/>
      <c r="E774" s="5"/>
      <c r="F774" s="5"/>
      <c r="G774" s="5"/>
      <c r="H774" s="5" t="n">
        <f aca="false">(COUNTIF(J774:EC774,"=0")+COUNTIF(J774:EC774,"=1"))</f>
        <v>3</v>
      </c>
      <c r="I774" s="15" t="n">
        <f aca="false">IFERROR(ROUND(10-AVERAGE(J774:EC774)*10,0),0)</f>
        <v>3</v>
      </c>
      <c r="J774" s="5"/>
      <c r="K774" s="11" t="n">
        <v>0</v>
      </c>
      <c r="L774" s="5"/>
      <c r="M774" s="5"/>
      <c r="N774" s="5"/>
      <c r="O774" s="5"/>
      <c r="P774" s="5" t="n">
        <v>1</v>
      </c>
      <c r="Q774" s="5"/>
      <c r="R774" s="5"/>
      <c r="S774" s="5"/>
      <c r="T774" s="5"/>
      <c r="U774" s="5"/>
      <c r="V774" s="5"/>
      <c r="W774" s="5" t="n">
        <v>1</v>
      </c>
      <c r="X774" s="5"/>
      <c r="Y774" s="5"/>
      <c r="Z774" s="5"/>
      <c r="AA774" s="5"/>
      <c r="AB774" s="5"/>
    </row>
    <row r="775" customFormat="false" ht="15.75" hidden="false" customHeight="false" outlineLevel="0" collapsed="false">
      <c r="A775" s="5" t="s">
        <v>1673</v>
      </c>
      <c r="B775" s="5" t="s">
        <v>1767</v>
      </c>
      <c r="C775" s="33" t="s">
        <v>1769</v>
      </c>
      <c r="D775" s="5"/>
      <c r="E775" s="5"/>
      <c r="F775" s="5"/>
      <c r="G775" s="5"/>
      <c r="H775" s="5" t="n">
        <f aca="false">(COUNTIF(J775:EC775,"=0")+COUNTIF(J775:EC775,"=1"))</f>
        <v>3</v>
      </c>
      <c r="I775" s="15" t="n">
        <f aca="false">IFERROR(ROUND(10-AVERAGE(J775:EC775)*10,0),0)</f>
        <v>3</v>
      </c>
      <c r="J775" s="5"/>
      <c r="K775" s="11" t="n">
        <v>0</v>
      </c>
      <c r="L775" s="5"/>
      <c r="M775" s="5"/>
      <c r="N775" s="5"/>
      <c r="O775" s="5"/>
      <c r="P775" s="5" t="n">
        <v>1</v>
      </c>
      <c r="Q775" s="5"/>
      <c r="R775" s="5"/>
      <c r="S775" s="5"/>
      <c r="T775" s="5"/>
      <c r="U775" s="5"/>
      <c r="V775" s="5"/>
      <c r="W775" s="5" t="n">
        <v>1</v>
      </c>
      <c r="X775" s="5"/>
      <c r="Y775" s="5"/>
      <c r="Z775" s="5"/>
      <c r="AA775" s="5"/>
      <c r="AB775" s="5"/>
    </row>
    <row r="776" customFormat="false" ht="15.75" hidden="false" customHeight="false" outlineLevel="0" collapsed="false">
      <c r="A776" s="5" t="s">
        <v>1673</v>
      </c>
      <c r="B776" s="5" t="s">
        <v>1767</v>
      </c>
      <c r="C776" s="5" t="s">
        <v>1770</v>
      </c>
      <c r="D776" s="5" t="s">
        <v>785</v>
      </c>
      <c r="E776" s="5"/>
      <c r="F776" s="5"/>
      <c r="G776" s="5"/>
      <c r="H776" s="5" t="n">
        <f aca="false">(COUNTIF(J776:EC776,"=0")+COUNTIF(J776:EC776,"=1"))</f>
        <v>5</v>
      </c>
      <c r="I776" s="19" t="n">
        <f aca="false">IFERROR(ROUND(10-AVERAGE(J776:EC776)*10,0),0)</f>
        <v>4</v>
      </c>
      <c r="J776" s="11" t="n">
        <v>1</v>
      </c>
      <c r="K776" s="11" t="n">
        <v>0</v>
      </c>
      <c r="L776" s="5"/>
      <c r="M776" s="5"/>
      <c r="N776" s="5"/>
      <c r="O776" s="5"/>
      <c r="P776" s="11" t="n">
        <v>1</v>
      </c>
      <c r="Q776" s="5"/>
      <c r="R776" s="5"/>
      <c r="S776" s="5"/>
      <c r="T776" s="5"/>
      <c r="U776" s="5"/>
      <c r="V776" s="5"/>
      <c r="W776" s="5" t="n">
        <v>1</v>
      </c>
      <c r="X776" s="5"/>
      <c r="Y776" s="5"/>
      <c r="Z776" s="11" t="n">
        <v>0</v>
      </c>
      <c r="AA776" s="5"/>
      <c r="AB776" s="5"/>
    </row>
    <row r="777" customFormat="false" ht="15.75" hidden="false" customHeight="false" outlineLevel="0" collapsed="false">
      <c r="A777" s="5" t="s">
        <v>1673</v>
      </c>
      <c r="B777" s="5" t="s">
        <v>1771</v>
      </c>
      <c r="C777" s="33" t="s">
        <v>1772</v>
      </c>
      <c r="D777" s="5"/>
      <c r="E777" s="5"/>
      <c r="F777" s="5"/>
      <c r="G777" s="5"/>
      <c r="H777" s="5" t="n">
        <f aca="false">(COUNTIF(J777:EC777,"=0")+COUNTIF(J777:EC777,"=1"))</f>
        <v>3</v>
      </c>
      <c r="I777" s="15" t="n">
        <f aca="false">IFERROR(ROUND(10-AVERAGE(J777:EC777)*10,0),0)</f>
        <v>7</v>
      </c>
      <c r="J777" s="5"/>
      <c r="K777" s="11" t="n">
        <v>0</v>
      </c>
      <c r="L777" s="5"/>
      <c r="M777" s="5"/>
      <c r="N777" s="5"/>
      <c r="O777" s="5"/>
      <c r="P777" s="5" t="n">
        <v>0</v>
      </c>
      <c r="Q777" s="5"/>
      <c r="R777" s="5"/>
      <c r="S777" s="5"/>
      <c r="T777" s="5"/>
      <c r="U777" s="5"/>
      <c r="V777" s="5"/>
      <c r="W777" s="5" t="n">
        <v>1</v>
      </c>
      <c r="X777" s="5"/>
      <c r="Y777" s="5"/>
      <c r="Z777" s="5"/>
      <c r="AA777" s="5"/>
      <c r="AB777" s="5"/>
    </row>
    <row r="778" customFormat="false" ht="15.75" hidden="false" customHeight="false" outlineLevel="0" collapsed="false">
      <c r="A778" s="5" t="s">
        <v>1773</v>
      </c>
      <c r="D778" s="5"/>
      <c r="E778" s="5"/>
      <c r="F778" s="5"/>
      <c r="G778" s="5"/>
      <c r="H778" s="5" t="n">
        <f aca="false">(COUNTIF(J778:EC778,"=0")+COUNTIF(J778:EC778,"=1"))</f>
        <v>2</v>
      </c>
      <c r="I778" s="18" t="n">
        <f aca="false">IFERROR(ROUND(10-AVERAGE(J778:EC778)*10,0),0)</f>
        <v>5</v>
      </c>
      <c r="J778" s="5"/>
      <c r="K778" s="5" t="n">
        <v>1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 t="n">
        <v>0</v>
      </c>
      <c r="X778" s="5"/>
      <c r="Y778" s="5"/>
      <c r="Z778" s="5"/>
      <c r="AA778" s="5"/>
      <c r="AB778" s="5"/>
    </row>
    <row r="779" customFormat="false" ht="15.75" hidden="false" customHeight="false" outlineLevel="0" collapsed="false">
      <c r="A779" s="5" t="s">
        <v>1774</v>
      </c>
      <c r="B779" s="5" t="s">
        <v>1774</v>
      </c>
      <c r="C779" s="5" t="s">
        <v>1775</v>
      </c>
      <c r="D779" s="5"/>
      <c r="E779" s="5"/>
      <c r="F779" s="5"/>
      <c r="G779" s="5"/>
      <c r="H779" s="5" t="n">
        <f aca="false">(COUNTIF(J779:EC779,"=0")+COUNTIF(J779:EC779,"=1"))</f>
        <v>11</v>
      </c>
      <c r="I779" s="23" t="n">
        <f aca="false">IFERROR(ROUND(10-AVERAGE(J779:EC779)*10,0),0)</f>
        <v>5</v>
      </c>
      <c r="J779" s="11" t="n">
        <v>1</v>
      </c>
      <c r="K779" s="11" t="n">
        <v>0</v>
      </c>
      <c r="L779" s="11" t="n">
        <v>0</v>
      </c>
      <c r="M779" s="5"/>
      <c r="N779" s="5"/>
      <c r="O779" s="11" t="n">
        <v>1</v>
      </c>
      <c r="P779" s="11" t="n">
        <v>1</v>
      </c>
      <c r="Q779" s="11" t="n">
        <v>1</v>
      </c>
      <c r="R779" s="5"/>
      <c r="S779" s="11" t="n">
        <v>1</v>
      </c>
      <c r="T779" s="11" t="n">
        <v>0</v>
      </c>
      <c r="U779" s="5"/>
      <c r="V779" s="5"/>
      <c r="W779" s="5" t="n">
        <v>0</v>
      </c>
      <c r="X779" s="5"/>
      <c r="Y779" s="5"/>
      <c r="Z779" s="5"/>
      <c r="AA779" s="5"/>
      <c r="AB779" s="5"/>
      <c r="AE779" s="5" t="n">
        <v>0</v>
      </c>
      <c r="AF779" s="5" t="n">
        <v>0</v>
      </c>
    </row>
    <row r="780" customFormat="false" ht="15.75" hidden="false" customHeight="false" outlineLevel="0" collapsed="false">
      <c r="A780" s="5" t="s">
        <v>1776</v>
      </c>
      <c r="B780" s="5" t="s">
        <v>1776</v>
      </c>
      <c r="C780" s="5" t="s">
        <v>1777</v>
      </c>
      <c r="D780" s="5"/>
      <c r="E780" s="5"/>
      <c r="F780" s="5"/>
      <c r="G780" s="9" t="s">
        <v>1778</v>
      </c>
      <c r="H780" s="5" t="n">
        <f aca="false">(COUNTIF(J780:EC780,"=0")+COUNTIF(J780:EC780,"=1"))</f>
        <v>7</v>
      </c>
      <c r="I780" s="12" t="n">
        <f aca="false">IFERROR(ROUND(10-AVERAGE(J780:EC780)*10,0),0)</f>
        <v>7</v>
      </c>
      <c r="J780" s="11" t="n">
        <v>0</v>
      </c>
      <c r="K780" s="11" t="n">
        <v>0</v>
      </c>
      <c r="L780" s="5"/>
      <c r="M780" s="5"/>
      <c r="N780" s="5"/>
      <c r="O780" s="5"/>
      <c r="P780" s="11" t="n">
        <v>1</v>
      </c>
      <c r="Q780" s="5" t="n">
        <v>1</v>
      </c>
      <c r="R780" s="5"/>
      <c r="S780" s="5"/>
      <c r="T780" s="11" t="n">
        <v>0</v>
      </c>
      <c r="U780" s="5"/>
      <c r="V780" s="5"/>
      <c r="W780" s="5"/>
      <c r="X780" s="5"/>
      <c r="Y780" s="5"/>
      <c r="Z780" s="11" t="n">
        <v>0</v>
      </c>
      <c r="AA780" s="5"/>
      <c r="AB780" s="5"/>
      <c r="AF780" s="5" t="n">
        <v>0</v>
      </c>
    </row>
    <row r="781" customFormat="false" ht="15.75" hidden="false" customHeight="false" outlineLevel="0" collapsed="false">
      <c r="A781" s="5" t="s">
        <v>1776</v>
      </c>
      <c r="B781" s="5" t="s">
        <v>1776</v>
      </c>
      <c r="C781" s="5" t="s">
        <v>1779</v>
      </c>
      <c r="D781" s="5"/>
      <c r="E781" s="5"/>
      <c r="F781" s="5"/>
      <c r="G781" s="9" t="s">
        <v>1780</v>
      </c>
      <c r="H781" s="5" t="n">
        <f aca="false">(COUNTIF(J781:EC781,"=0")+COUNTIF(J781:EC781,"=1"))</f>
        <v>5</v>
      </c>
      <c r="I781" s="12" t="n">
        <f aca="false">IFERROR(ROUND(10-AVERAGE(J781:EC781)*10,0),0)</f>
        <v>8</v>
      </c>
      <c r="J781" s="5" t="n">
        <v>0</v>
      </c>
      <c r="K781" s="11" t="n">
        <v>0</v>
      </c>
      <c r="L781" s="5"/>
      <c r="M781" s="5"/>
      <c r="N781" s="5"/>
      <c r="O781" s="5"/>
      <c r="P781" s="11" t="n">
        <v>1</v>
      </c>
      <c r="Q781" s="5"/>
      <c r="R781" s="5"/>
      <c r="S781" s="5"/>
      <c r="T781" s="5"/>
      <c r="U781" s="5"/>
      <c r="V781" s="5"/>
      <c r="W781" s="5"/>
      <c r="X781" s="5"/>
      <c r="Y781" s="5"/>
      <c r="Z781" s="11" t="n">
        <v>0</v>
      </c>
      <c r="AA781" s="11" t="n">
        <v>0</v>
      </c>
      <c r="AB781" s="5"/>
    </row>
    <row r="782" customFormat="false" ht="15.75" hidden="false" customHeight="false" outlineLevel="0" collapsed="false">
      <c r="A782" s="5" t="s">
        <v>1781</v>
      </c>
      <c r="B782" s="5" t="s">
        <v>1781</v>
      </c>
      <c r="C782" s="5" t="s">
        <v>1782</v>
      </c>
      <c r="D782" s="5"/>
      <c r="E782" s="5"/>
      <c r="F782" s="5"/>
      <c r="G782" s="9" t="s">
        <v>1783</v>
      </c>
      <c r="H782" s="5" t="n">
        <f aca="false">(COUNTIF(J782:EC782,"=0")+COUNTIF(J782:EC782,"=1"))</f>
        <v>6</v>
      </c>
      <c r="I782" s="15" t="n">
        <f aca="false">IFERROR(ROUND(10-AVERAGE(J782:EC782)*10,0),0)</f>
        <v>7</v>
      </c>
      <c r="J782" s="11" t="n">
        <v>1</v>
      </c>
      <c r="K782" s="11" t="n">
        <v>1</v>
      </c>
      <c r="L782" s="5"/>
      <c r="M782" s="5"/>
      <c r="N782" s="5"/>
      <c r="O782" s="5"/>
      <c r="P782" s="11" t="n">
        <v>0</v>
      </c>
      <c r="Q782" s="11" t="n">
        <v>0</v>
      </c>
      <c r="R782" s="5"/>
      <c r="S782" s="5"/>
      <c r="T782" s="11" t="n">
        <v>0</v>
      </c>
      <c r="U782" s="5"/>
      <c r="V782" s="5"/>
      <c r="W782" s="5"/>
      <c r="X782" s="5"/>
      <c r="Y782" s="5"/>
      <c r="Z782" s="5" t="n">
        <v>0</v>
      </c>
      <c r="AA782" s="5"/>
      <c r="AB782" s="5"/>
    </row>
    <row r="783" customFormat="false" ht="15.75" hidden="false" customHeight="false" outlineLevel="0" collapsed="false">
      <c r="A783" s="5" t="s">
        <v>1781</v>
      </c>
      <c r="B783" s="5" t="s">
        <v>1781</v>
      </c>
      <c r="C783" s="5" t="s">
        <v>1784</v>
      </c>
      <c r="D783" s="5"/>
      <c r="E783" s="5"/>
      <c r="F783" s="5"/>
      <c r="G783" s="9" t="s">
        <v>1785</v>
      </c>
      <c r="H783" s="5" t="n">
        <f aca="false">(COUNTIF(J783:EC783,"=0")+COUNTIF(J783:EC783,"=1"))</f>
        <v>5</v>
      </c>
      <c r="I783" s="13" t="n">
        <f aca="false">IFERROR(ROUND(10-AVERAGE(J783:EC783)*10,0),0)</f>
        <v>2</v>
      </c>
      <c r="J783" s="11" t="n">
        <v>1</v>
      </c>
      <c r="K783" s="11" t="n">
        <v>1</v>
      </c>
      <c r="L783" s="5"/>
      <c r="M783" s="5"/>
      <c r="N783" s="5"/>
      <c r="O783" s="5"/>
      <c r="P783" s="11" t="n">
        <v>1</v>
      </c>
      <c r="Q783" s="11" t="n">
        <v>1</v>
      </c>
      <c r="R783" s="5"/>
      <c r="S783" s="5"/>
      <c r="T783" s="11" t="n">
        <v>0</v>
      </c>
      <c r="U783" s="5"/>
      <c r="V783" s="5"/>
      <c r="W783" s="5"/>
      <c r="X783" s="5"/>
      <c r="Y783" s="5"/>
      <c r="Z783" s="5"/>
      <c r="AA783" s="5"/>
      <c r="AB783" s="5"/>
    </row>
    <row r="784" customFormat="false" ht="15.75" hidden="false" customHeight="false" outlineLevel="0" collapsed="false">
      <c r="A784" s="5" t="s">
        <v>1781</v>
      </c>
      <c r="B784" s="5" t="s">
        <v>1781</v>
      </c>
      <c r="C784" s="5" t="s">
        <v>478</v>
      </c>
      <c r="D784" s="5"/>
      <c r="E784" s="5"/>
      <c r="F784" s="5"/>
      <c r="G784" s="9" t="s">
        <v>1786</v>
      </c>
      <c r="H784" s="5" t="n">
        <f aca="false">(COUNTIF(J784:EC784,"=0")+COUNTIF(J784:EC784,"=1"))</f>
        <v>6</v>
      </c>
      <c r="I784" s="13" t="n">
        <f aca="false">IFERROR(ROUND(10-AVERAGE(J784:EC784)*10,0),0)</f>
        <v>2</v>
      </c>
      <c r="J784" s="11" t="n">
        <v>1</v>
      </c>
      <c r="K784" s="11" t="n">
        <v>1</v>
      </c>
      <c r="L784" s="5"/>
      <c r="M784" s="5"/>
      <c r="N784" s="5"/>
      <c r="O784" s="5"/>
      <c r="P784" s="11" t="n">
        <v>1</v>
      </c>
      <c r="Q784" s="11" t="n">
        <v>1</v>
      </c>
      <c r="R784" s="5"/>
      <c r="S784" s="5"/>
      <c r="T784" s="11" t="n">
        <v>0</v>
      </c>
      <c r="U784" s="5"/>
      <c r="V784" s="5"/>
      <c r="W784" s="5"/>
      <c r="X784" s="5"/>
      <c r="Y784" s="5"/>
      <c r="Z784" s="5"/>
      <c r="AA784" s="11" t="n">
        <v>1</v>
      </c>
      <c r="AB784" s="5"/>
    </row>
    <row r="785" customFormat="false" ht="15.75" hidden="false" customHeight="false" outlineLevel="0" collapsed="false">
      <c r="A785" s="5" t="s">
        <v>1781</v>
      </c>
      <c r="B785" s="5" t="s">
        <v>1781</v>
      </c>
      <c r="C785" s="5" t="s">
        <v>1787</v>
      </c>
      <c r="D785" s="5"/>
      <c r="E785" s="5"/>
      <c r="F785" s="5"/>
      <c r="G785" s="9" t="s">
        <v>1788</v>
      </c>
      <c r="H785" s="5" t="n">
        <f aca="false">(COUNTIF(J785:EC785,"=0")+COUNTIF(J785:EC785,"=1"))</f>
        <v>6</v>
      </c>
      <c r="I785" s="13" t="n">
        <f aca="false">IFERROR(ROUND(10-AVERAGE(J785:EC785)*10,0),0)</f>
        <v>2</v>
      </c>
      <c r="J785" s="11" t="n">
        <v>1</v>
      </c>
      <c r="K785" s="11" t="n">
        <v>1</v>
      </c>
      <c r="L785" s="5"/>
      <c r="M785" s="5"/>
      <c r="N785" s="5"/>
      <c r="O785" s="5" t="n">
        <v>1</v>
      </c>
      <c r="P785" s="11" t="n">
        <v>1</v>
      </c>
      <c r="Q785" s="11" t="n">
        <v>1</v>
      </c>
      <c r="R785" s="5"/>
      <c r="S785" s="5"/>
      <c r="T785" s="11" t="n">
        <v>0</v>
      </c>
      <c r="U785" s="5"/>
      <c r="V785" s="5"/>
      <c r="W785" s="5"/>
      <c r="X785" s="5"/>
      <c r="Y785" s="5"/>
      <c r="Z785" s="5"/>
      <c r="AA785" s="5"/>
      <c r="AB785" s="5"/>
    </row>
    <row r="786" customFormat="false" ht="15.75" hidden="false" customHeight="false" outlineLevel="0" collapsed="false">
      <c r="A786" s="5" t="s">
        <v>1781</v>
      </c>
      <c r="B786" s="5" t="s">
        <v>1781</v>
      </c>
      <c r="C786" s="5" t="s">
        <v>1789</v>
      </c>
      <c r="D786" s="5"/>
      <c r="E786" s="5"/>
      <c r="F786" s="5"/>
      <c r="G786" s="9" t="s">
        <v>1790</v>
      </c>
      <c r="H786" s="5" t="n">
        <f aca="false">(COUNTIF(J786:EC786,"=0")+COUNTIF(J786:EC786,"=1"))</f>
        <v>7</v>
      </c>
      <c r="I786" s="13" t="n">
        <f aca="false">IFERROR(ROUND(10-AVERAGE(J786:EC786)*10,0),0)</f>
        <v>3</v>
      </c>
      <c r="J786" s="11" t="n">
        <v>1</v>
      </c>
      <c r="K786" s="11" t="n">
        <v>1</v>
      </c>
      <c r="L786" s="5"/>
      <c r="M786" s="5"/>
      <c r="N786" s="5"/>
      <c r="O786" s="5"/>
      <c r="P786" s="11" t="n">
        <v>1</v>
      </c>
      <c r="Q786" s="11" t="n">
        <v>1</v>
      </c>
      <c r="R786" s="5"/>
      <c r="S786" s="5"/>
      <c r="T786" s="11" t="n">
        <v>0</v>
      </c>
      <c r="U786" s="5"/>
      <c r="V786" s="5"/>
      <c r="W786" s="5"/>
      <c r="X786" s="5"/>
      <c r="Y786" s="5"/>
      <c r="Z786" s="5"/>
      <c r="AA786" s="11" t="n">
        <v>1</v>
      </c>
      <c r="AB786" s="5"/>
      <c r="AF786" s="5" t="n">
        <v>0</v>
      </c>
    </row>
    <row r="787" customFormat="false" ht="15.75" hidden="false" customHeight="false" outlineLevel="0" collapsed="false">
      <c r="A787" s="5" t="s">
        <v>1781</v>
      </c>
      <c r="B787" s="5" t="s">
        <v>1781</v>
      </c>
      <c r="C787" s="5" t="s">
        <v>1791</v>
      </c>
      <c r="D787" s="5"/>
      <c r="E787" s="5"/>
      <c r="F787" s="5"/>
      <c r="G787" s="9" t="s">
        <v>1792</v>
      </c>
      <c r="H787" s="5" t="n">
        <f aca="false">(COUNTIF(J787:EC787,"=0")+COUNTIF(J787:EC787,"=1"))</f>
        <v>5</v>
      </c>
      <c r="I787" s="15" t="n">
        <f aca="false">IFERROR(ROUND(10-AVERAGE(J787:EC787)*10,0),0)</f>
        <v>6</v>
      </c>
      <c r="J787" s="11" t="n">
        <v>1</v>
      </c>
      <c r="K787" s="11" t="n">
        <v>1</v>
      </c>
      <c r="L787" s="5"/>
      <c r="M787" s="5"/>
      <c r="N787" s="5"/>
      <c r="O787" s="5"/>
      <c r="P787" s="11" t="n">
        <v>0</v>
      </c>
      <c r="Q787" s="11" t="n">
        <v>0</v>
      </c>
      <c r="R787" s="5"/>
      <c r="S787" s="5"/>
      <c r="T787" s="11" t="n">
        <v>0</v>
      </c>
      <c r="U787" s="5"/>
      <c r="V787" s="5"/>
      <c r="W787" s="5"/>
      <c r="X787" s="5"/>
      <c r="Y787" s="5"/>
      <c r="Z787" s="5"/>
      <c r="AA787" s="5"/>
      <c r="AB787" s="5"/>
    </row>
    <row r="788" customFormat="false" ht="15.75" hidden="false" customHeight="false" outlineLevel="0" collapsed="false">
      <c r="A788" s="5" t="s">
        <v>1793</v>
      </c>
      <c r="B788" s="5" t="s">
        <v>1794</v>
      </c>
      <c r="C788" s="5" t="s">
        <v>1795</v>
      </c>
      <c r="D788" s="5"/>
      <c r="E788" s="5"/>
      <c r="F788" s="5"/>
      <c r="G788" s="9" t="s">
        <v>1796</v>
      </c>
      <c r="H788" s="5" t="n">
        <f aca="false">(COUNTIF(J788:EC788,"=0")+COUNTIF(J788:EC788,"=1"))</f>
        <v>7</v>
      </c>
      <c r="I788" s="13" t="n">
        <f aca="false">IFERROR(ROUND(10-AVERAGE(J788:EC788)*10,0),0)</f>
        <v>4</v>
      </c>
      <c r="J788" s="11" t="n">
        <v>1</v>
      </c>
      <c r="K788" s="11" t="n">
        <v>1</v>
      </c>
      <c r="L788" s="5"/>
      <c r="M788" s="5"/>
      <c r="N788" s="5"/>
      <c r="O788" s="11" t="n">
        <v>0</v>
      </c>
      <c r="P788" s="11" t="n">
        <v>1</v>
      </c>
      <c r="Q788" s="11" t="n">
        <v>0</v>
      </c>
      <c r="R788" s="5"/>
      <c r="S788" s="5" t="n">
        <v>1</v>
      </c>
      <c r="T788" s="11" t="n">
        <v>0</v>
      </c>
      <c r="U788" s="5"/>
      <c r="V788" s="5"/>
      <c r="W788" s="5"/>
      <c r="X788" s="5"/>
      <c r="Y788" s="5"/>
      <c r="Z788" s="5"/>
      <c r="AA788" s="5"/>
      <c r="AB788" s="5"/>
    </row>
    <row r="789" customFormat="false" ht="15.75" hidden="false" customHeight="false" outlineLevel="0" collapsed="false">
      <c r="A789" s="5" t="s">
        <v>1793</v>
      </c>
      <c r="B789" s="5" t="s">
        <v>1794</v>
      </c>
      <c r="C789" s="5" t="s">
        <v>1797</v>
      </c>
      <c r="D789" s="5"/>
      <c r="E789" s="9" t="s">
        <v>1798</v>
      </c>
      <c r="F789" s="5"/>
      <c r="G789" s="5"/>
      <c r="H789" s="5" t="n">
        <f aca="false">(COUNTIF(J789:EC789,"=0")+COUNTIF(J789:EC789,"=1"))</f>
        <v>1</v>
      </c>
      <c r="I789" s="13" t="n">
        <f aca="false">IFERROR(ROUND(10-AVERAGE(J789:EC789)*10,0),0)</f>
        <v>0</v>
      </c>
      <c r="J789" s="11"/>
      <c r="K789" s="11"/>
      <c r="L789" s="5"/>
      <c r="M789" s="5"/>
      <c r="N789" s="5"/>
      <c r="O789" s="11"/>
      <c r="P789" s="11"/>
      <c r="Q789" s="11"/>
      <c r="R789" s="5"/>
      <c r="S789" s="5" t="n">
        <v>1</v>
      </c>
      <c r="T789" s="11"/>
      <c r="U789" s="5"/>
      <c r="V789" s="5"/>
      <c r="W789" s="5"/>
      <c r="X789" s="5"/>
      <c r="Y789" s="5"/>
      <c r="Z789" s="5"/>
      <c r="AA789" s="5"/>
      <c r="AB789" s="5"/>
    </row>
    <row r="790" customFormat="false" ht="15.75" hidden="false" customHeight="false" outlineLevel="0" collapsed="false">
      <c r="A790" s="5" t="s">
        <v>1793</v>
      </c>
      <c r="B790" s="5" t="s">
        <v>1794</v>
      </c>
      <c r="C790" s="5" t="s">
        <v>72</v>
      </c>
      <c r="D790" s="5"/>
      <c r="E790" s="9" t="s">
        <v>1799</v>
      </c>
      <c r="F790" s="5"/>
      <c r="G790" s="5"/>
      <c r="H790" s="5" t="n">
        <f aca="false">(COUNTIF(J790:EC790,"=0")+COUNTIF(J790:EC790,"=1"))</f>
        <v>1</v>
      </c>
      <c r="I790" s="13" t="n">
        <f aca="false">IFERROR(ROUND(10-AVERAGE(J790:EC790)*10,0),0)</f>
        <v>0</v>
      </c>
      <c r="J790" s="11"/>
      <c r="K790" s="11"/>
      <c r="L790" s="5"/>
      <c r="M790" s="5"/>
      <c r="N790" s="5"/>
      <c r="O790" s="11"/>
      <c r="P790" s="11"/>
      <c r="Q790" s="11"/>
      <c r="R790" s="5"/>
      <c r="S790" s="5" t="n">
        <v>1</v>
      </c>
      <c r="T790" s="11"/>
      <c r="U790" s="5"/>
      <c r="V790" s="5"/>
      <c r="W790" s="5"/>
      <c r="X790" s="5"/>
      <c r="Y790" s="5"/>
      <c r="Z790" s="5"/>
      <c r="AA790" s="5"/>
      <c r="AB790" s="5"/>
    </row>
    <row r="791" customFormat="false" ht="15.75" hidden="false" customHeight="false" outlineLevel="0" collapsed="false">
      <c r="A791" s="5" t="s">
        <v>1793</v>
      </c>
      <c r="B791" s="5" t="s">
        <v>1794</v>
      </c>
      <c r="C791" s="5" t="s">
        <v>1800</v>
      </c>
      <c r="D791" s="5"/>
      <c r="E791" s="9" t="s">
        <v>1801</v>
      </c>
      <c r="F791" s="5"/>
      <c r="G791" s="5"/>
      <c r="H791" s="5" t="n">
        <f aca="false">(COUNTIF(J791:EC791,"=0")+COUNTIF(J791:EC791,"=1"))</f>
        <v>1</v>
      </c>
      <c r="I791" s="13" t="n">
        <f aca="false">IFERROR(ROUND(10-AVERAGE(J791:EC791)*10,0),0)</f>
        <v>0</v>
      </c>
      <c r="J791" s="11"/>
      <c r="K791" s="11"/>
      <c r="L791" s="5"/>
      <c r="M791" s="5"/>
      <c r="N791" s="5"/>
      <c r="O791" s="11"/>
      <c r="P791" s="11"/>
      <c r="Q791" s="11"/>
      <c r="R791" s="5"/>
      <c r="S791" s="5" t="n">
        <v>1</v>
      </c>
      <c r="T791" s="11"/>
      <c r="U791" s="5"/>
      <c r="V791" s="5"/>
      <c r="W791" s="5"/>
      <c r="X791" s="5"/>
      <c r="Y791" s="5"/>
      <c r="Z791" s="5"/>
      <c r="AA791" s="5"/>
      <c r="AB791" s="5"/>
    </row>
    <row r="792" customFormat="false" ht="15.75" hidden="false" customHeight="false" outlineLevel="0" collapsed="false">
      <c r="A792" s="5" t="s">
        <v>1793</v>
      </c>
      <c r="B792" s="5" t="s">
        <v>1794</v>
      </c>
      <c r="C792" s="5" t="s">
        <v>1802</v>
      </c>
      <c r="D792" s="5"/>
      <c r="E792" s="9" t="s">
        <v>1803</v>
      </c>
      <c r="F792" s="5"/>
      <c r="G792" s="5"/>
      <c r="H792" s="11" t="n">
        <f aca="false">(COUNTIF(J792:EC792,"=0")+COUNTIF(J792:EC792,"=1"))</f>
        <v>1</v>
      </c>
      <c r="I792" s="26" t="n">
        <f aca="false">IFERROR(ROUND(10-AVERAGE(J792:EC792)*10,0),0)</f>
        <v>0</v>
      </c>
      <c r="J792" s="11"/>
      <c r="K792" s="11"/>
      <c r="L792" s="5"/>
      <c r="M792" s="5"/>
      <c r="N792" s="5"/>
      <c r="O792" s="11"/>
      <c r="P792" s="11"/>
      <c r="Q792" s="11"/>
      <c r="R792" s="5"/>
      <c r="S792" s="5" t="n">
        <v>1</v>
      </c>
      <c r="T792" s="11"/>
      <c r="U792" s="5"/>
      <c r="V792" s="5"/>
      <c r="W792" s="5"/>
      <c r="X792" s="5"/>
      <c r="Y792" s="5"/>
      <c r="Z792" s="5"/>
      <c r="AA792" s="5"/>
      <c r="AB792" s="5"/>
    </row>
    <row r="793" customFormat="false" ht="15.75" hidden="false" customHeight="false" outlineLevel="0" collapsed="false">
      <c r="A793" s="5" t="s">
        <v>1793</v>
      </c>
      <c r="B793" s="5" t="s">
        <v>1794</v>
      </c>
      <c r="C793" s="5" t="s">
        <v>1804</v>
      </c>
      <c r="D793" s="5"/>
      <c r="E793" s="9" t="s">
        <v>1805</v>
      </c>
      <c r="F793" s="5"/>
      <c r="G793" s="5"/>
      <c r="H793" s="11" t="n">
        <f aca="false">(COUNTIF(J793:EC793,"=0")+COUNTIF(J793:EC793,"=1"))</f>
        <v>1</v>
      </c>
      <c r="I793" s="26" t="n">
        <f aca="false">IFERROR(ROUND(10-AVERAGE(J793:EC793)*10,0),0)</f>
        <v>0</v>
      </c>
      <c r="J793" s="11"/>
      <c r="K793" s="11"/>
      <c r="L793" s="5"/>
      <c r="M793" s="5"/>
      <c r="N793" s="5"/>
      <c r="O793" s="11"/>
      <c r="P793" s="11"/>
      <c r="Q793" s="11"/>
      <c r="R793" s="5"/>
      <c r="S793" s="5" t="n">
        <v>1</v>
      </c>
      <c r="T793" s="11"/>
      <c r="U793" s="5"/>
      <c r="V793" s="5"/>
      <c r="W793" s="5"/>
      <c r="X793" s="5"/>
      <c r="Y793" s="5"/>
      <c r="Z793" s="5"/>
      <c r="AA793" s="5"/>
      <c r="AB793" s="5"/>
    </row>
    <row r="794" customFormat="false" ht="15.75" hidden="false" customHeight="false" outlineLevel="0" collapsed="false">
      <c r="A794" s="5" t="s">
        <v>1793</v>
      </c>
      <c r="B794" s="5" t="s">
        <v>1794</v>
      </c>
      <c r="C794" s="5" t="s">
        <v>1806</v>
      </c>
      <c r="D794" s="5"/>
      <c r="E794" s="9" t="s">
        <v>1807</v>
      </c>
      <c r="F794" s="5"/>
      <c r="G794" s="5"/>
      <c r="H794" s="11" t="n">
        <f aca="false">(COUNTIF(J794:EC794,"=0")+COUNTIF(J794:EC794,"=1"))</f>
        <v>1</v>
      </c>
      <c r="I794" s="26" t="n">
        <f aca="false">IFERROR(ROUND(10-AVERAGE(J794:EC794)*10,0),0)</f>
        <v>0</v>
      </c>
      <c r="J794" s="11"/>
      <c r="K794" s="11"/>
      <c r="L794" s="5"/>
      <c r="M794" s="5"/>
      <c r="N794" s="5"/>
      <c r="O794" s="11"/>
      <c r="P794" s="11"/>
      <c r="Q794" s="11"/>
      <c r="R794" s="5"/>
      <c r="S794" s="5" t="n">
        <v>1</v>
      </c>
      <c r="T794" s="11"/>
      <c r="U794" s="5"/>
      <c r="V794" s="5"/>
      <c r="W794" s="5"/>
      <c r="X794" s="5"/>
      <c r="Y794" s="5"/>
      <c r="Z794" s="5"/>
      <c r="AA794" s="5"/>
      <c r="AB794" s="5"/>
    </row>
    <row r="795" customFormat="false" ht="15.75" hidden="false" customHeight="false" outlineLevel="0" collapsed="false">
      <c r="A795" s="5" t="s">
        <v>1793</v>
      </c>
      <c r="B795" s="5" t="s">
        <v>1794</v>
      </c>
      <c r="C795" s="5" t="s">
        <v>1808</v>
      </c>
      <c r="D795" s="5"/>
      <c r="E795" s="9" t="s">
        <v>1809</v>
      </c>
      <c r="F795" s="5"/>
      <c r="G795" s="5"/>
      <c r="H795" s="11" t="n">
        <f aca="false">(COUNTIF(J795:EC795,"=0")+COUNTIF(J795:EC795,"=1"))</f>
        <v>1</v>
      </c>
      <c r="I795" s="34" t="n">
        <f aca="false">IFERROR(ROUND(10-AVERAGE(J795:EC795)*10,0),0)</f>
        <v>0</v>
      </c>
      <c r="J795" s="11"/>
      <c r="K795" s="11"/>
      <c r="L795" s="5"/>
      <c r="M795" s="5"/>
      <c r="N795" s="5"/>
      <c r="O795" s="11"/>
      <c r="P795" s="11"/>
      <c r="Q795" s="11"/>
      <c r="R795" s="5"/>
      <c r="S795" s="5" t="n">
        <v>1</v>
      </c>
      <c r="T795" s="11"/>
      <c r="U795" s="5"/>
      <c r="V795" s="5"/>
      <c r="W795" s="5"/>
      <c r="X795" s="5"/>
      <c r="Y795" s="5"/>
      <c r="Z795" s="5"/>
      <c r="AA795" s="5"/>
      <c r="AB795" s="5"/>
    </row>
    <row r="796" customFormat="false" ht="15.75" hidden="false" customHeight="false" outlineLevel="0" collapsed="false">
      <c r="A796" s="5" t="s">
        <v>1793</v>
      </c>
      <c r="B796" s="5" t="s">
        <v>1794</v>
      </c>
      <c r="C796" s="5" t="s">
        <v>1810</v>
      </c>
      <c r="D796" s="5"/>
      <c r="E796" s="9" t="s">
        <v>1811</v>
      </c>
      <c r="F796" s="5"/>
      <c r="G796" s="5"/>
      <c r="H796" s="11" t="n">
        <f aca="false">(COUNTIF(J796:EC796,"=0")+COUNTIF(J796:EC796,"=1"))</f>
        <v>1</v>
      </c>
      <c r="I796" s="26" t="n">
        <f aca="false">IFERROR(ROUND(10-AVERAGE(J796:EC796)*10,0),0)</f>
        <v>0</v>
      </c>
      <c r="J796" s="11"/>
      <c r="K796" s="11"/>
      <c r="L796" s="5"/>
      <c r="M796" s="5"/>
      <c r="N796" s="5"/>
      <c r="O796" s="11"/>
      <c r="P796" s="11"/>
      <c r="Q796" s="11"/>
      <c r="R796" s="5"/>
      <c r="S796" s="5" t="n">
        <v>1</v>
      </c>
      <c r="T796" s="11"/>
      <c r="U796" s="5"/>
      <c r="V796" s="5"/>
      <c r="W796" s="5"/>
      <c r="X796" s="5"/>
      <c r="Y796" s="5"/>
      <c r="Z796" s="5"/>
      <c r="AA796" s="5"/>
      <c r="AB796" s="5"/>
    </row>
    <row r="797" customFormat="false" ht="15.75" hidden="false" customHeight="false" outlineLevel="0" collapsed="false">
      <c r="A797" s="5" t="s">
        <v>1793</v>
      </c>
      <c r="B797" s="5" t="s">
        <v>1794</v>
      </c>
      <c r="C797" s="5" t="s">
        <v>1812</v>
      </c>
      <c r="D797" s="5"/>
      <c r="E797" s="9" t="s">
        <v>1813</v>
      </c>
      <c r="F797" s="5"/>
      <c r="G797" s="5"/>
      <c r="H797" s="11" t="n">
        <f aca="false">(COUNTIF(J797:EC797,"=0")+COUNTIF(J797:EC797,"=1"))</f>
        <v>1</v>
      </c>
      <c r="I797" s="26" t="n">
        <f aca="false">IFERROR(ROUND(10-AVERAGE(J797:EC797)*10,0),0)</f>
        <v>0</v>
      </c>
      <c r="J797" s="11"/>
      <c r="K797" s="11"/>
      <c r="L797" s="5"/>
      <c r="M797" s="5"/>
      <c r="N797" s="5"/>
      <c r="O797" s="11"/>
      <c r="P797" s="11"/>
      <c r="Q797" s="11"/>
      <c r="R797" s="5"/>
      <c r="S797" s="5" t="n">
        <v>1</v>
      </c>
      <c r="T797" s="11"/>
      <c r="U797" s="5"/>
      <c r="V797" s="5"/>
      <c r="W797" s="5"/>
      <c r="X797" s="5"/>
      <c r="Y797" s="5"/>
      <c r="Z797" s="5"/>
      <c r="AA797" s="5"/>
      <c r="AB797" s="5"/>
    </row>
    <row r="798" customFormat="false" ht="15.75" hidden="false" customHeight="false" outlineLevel="0" collapsed="false">
      <c r="A798" s="5" t="s">
        <v>1793</v>
      </c>
      <c r="B798" s="5" t="s">
        <v>1794</v>
      </c>
      <c r="C798" s="5" t="s">
        <v>1814</v>
      </c>
      <c r="D798" s="5"/>
      <c r="E798" s="9" t="s">
        <v>1815</v>
      </c>
      <c r="F798" s="5"/>
      <c r="G798" s="5"/>
      <c r="H798" s="11" t="n">
        <f aca="false">(COUNTIF(J798:EC798,"=0")+COUNTIF(J798:EC798,"=1"))</f>
        <v>1</v>
      </c>
      <c r="I798" s="26" t="n">
        <f aca="false">IFERROR(ROUND(10-AVERAGE(J798:EC798)*10,0),0)</f>
        <v>0</v>
      </c>
      <c r="J798" s="11"/>
      <c r="K798" s="11"/>
      <c r="L798" s="5"/>
      <c r="M798" s="5"/>
      <c r="N798" s="5"/>
      <c r="O798" s="11"/>
      <c r="P798" s="11"/>
      <c r="Q798" s="11"/>
      <c r="R798" s="5"/>
      <c r="S798" s="5" t="n">
        <v>1</v>
      </c>
      <c r="T798" s="11"/>
      <c r="U798" s="5"/>
      <c r="V798" s="5"/>
      <c r="W798" s="5"/>
      <c r="X798" s="5"/>
      <c r="Y798" s="5"/>
      <c r="Z798" s="5"/>
      <c r="AA798" s="5"/>
      <c r="AB798" s="5"/>
    </row>
    <row r="799" customFormat="false" ht="15.75" hidden="false" customHeight="false" outlineLevel="0" collapsed="false">
      <c r="A799" s="5" t="s">
        <v>1793</v>
      </c>
      <c r="B799" s="5" t="s">
        <v>1794</v>
      </c>
      <c r="C799" s="5" t="s">
        <v>1816</v>
      </c>
      <c r="D799" s="5"/>
      <c r="E799" s="9" t="s">
        <v>1817</v>
      </c>
      <c r="F799" s="5"/>
      <c r="G799" s="5"/>
      <c r="H799" s="11" t="n">
        <f aca="false">(COUNTIF(J799:EC799,"=0")+COUNTIF(J799:EC799,"=1"))</f>
        <v>1</v>
      </c>
      <c r="I799" s="26" t="n">
        <f aca="false">IFERROR(ROUND(10-AVERAGE(J799:EC799)*10,0),0)</f>
        <v>0</v>
      </c>
      <c r="J799" s="11"/>
      <c r="K799" s="11"/>
      <c r="L799" s="5"/>
      <c r="M799" s="5"/>
      <c r="N799" s="5"/>
      <c r="O799" s="11"/>
      <c r="P799" s="11"/>
      <c r="Q799" s="11"/>
      <c r="R799" s="5"/>
      <c r="S799" s="5" t="n">
        <v>1</v>
      </c>
      <c r="T799" s="11"/>
      <c r="U799" s="5"/>
      <c r="V799" s="5"/>
      <c r="W799" s="5"/>
      <c r="X799" s="5"/>
      <c r="Y799" s="5"/>
      <c r="Z799" s="5"/>
      <c r="AA799" s="5"/>
      <c r="AB799" s="5"/>
    </row>
    <row r="800" customFormat="false" ht="15.75" hidden="false" customHeight="false" outlineLevel="0" collapsed="false">
      <c r="A800" s="5" t="s">
        <v>1793</v>
      </c>
      <c r="B800" s="5" t="s">
        <v>1794</v>
      </c>
      <c r="C800" s="5" t="s">
        <v>1818</v>
      </c>
      <c r="D800" s="5"/>
      <c r="E800" s="9" t="s">
        <v>1819</v>
      </c>
      <c r="F800" s="5"/>
      <c r="G800" s="5"/>
      <c r="H800" s="11" t="n">
        <f aca="false">(COUNTIF(J800:EC800,"=0")+COUNTIF(J800:EC800,"=1"))</f>
        <v>1</v>
      </c>
      <c r="I800" s="26" t="n">
        <f aca="false">IFERROR(ROUND(10-AVERAGE(J800:EC800)*10,0),0)</f>
        <v>0</v>
      </c>
      <c r="J800" s="11"/>
      <c r="K800" s="11"/>
      <c r="L800" s="5"/>
      <c r="M800" s="5"/>
      <c r="N800" s="5"/>
      <c r="O800" s="11"/>
      <c r="P800" s="11"/>
      <c r="Q800" s="11"/>
      <c r="R800" s="5"/>
      <c r="S800" s="5" t="n">
        <v>1</v>
      </c>
      <c r="T800" s="11"/>
      <c r="U800" s="5"/>
      <c r="V800" s="5"/>
      <c r="W800" s="5"/>
      <c r="X800" s="5"/>
      <c r="Y800" s="5"/>
      <c r="Z800" s="5"/>
      <c r="AA800" s="5"/>
      <c r="AB800" s="5"/>
    </row>
    <row r="801" customFormat="false" ht="15.75" hidden="false" customHeight="false" outlineLevel="0" collapsed="false">
      <c r="A801" s="5" t="s">
        <v>1793</v>
      </c>
      <c r="B801" s="5" t="s">
        <v>1794</v>
      </c>
      <c r="C801" s="5" t="s">
        <v>1820</v>
      </c>
      <c r="D801" s="5"/>
      <c r="E801" s="9" t="s">
        <v>1821</v>
      </c>
      <c r="F801" s="5"/>
      <c r="G801" s="5"/>
      <c r="H801" s="11" t="n">
        <f aca="false">(COUNTIF(J801:EC801,"=0")+COUNTIF(J801:EC801,"=1"))</f>
        <v>1</v>
      </c>
      <c r="I801" s="34" t="n">
        <f aca="false">IFERROR(ROUND(10-AVERAGE(J801:EC801)*10,0),0)</f>
        <v>0</v>
      </c>
      <c r="J801" s="11"/>
      <c r="K801" s="11"/>
      <c r="L801" s="5"/>
      <c r="M801" s="5"/>
      <c r="N801" s="5"/>
      <c r="O801" s="11"/>
      <c r="P801" s="11"/>
      <c r="Q801" s="11"/>
      <c r="R801" s="5"/>
      <c r="S801" s="5" t="n">
        <v>1</v>
      </c>
      <c r="T801" s="11"/>
      <c r="U801" s="5"/>
      <c r="V801" s="5"/>
      <c r="W801" s="5"/>
      <c r="X801" s="5"/>
      <c r="Y801" s="5"/>
      <c r="Z801" s="5"/>
      <c r="AA801" s="5"/>
      <c r="AB801" s="5"/>
    </row>
    <row r="802" customFormat="false" ht="15.75" hidden="false" customHeight="false" outlineLevel="0" collapsed="false">
      <c r="A802" s="5" t="s">
        <v>1793</v>
      </c>
      <c r="B802" s="5" t="s">
        <v>1794</v>
      </c>
      <c r="C802" s="5" t="s">
        <v>1822</v>
      </c>
      <c r="D802" s="5"/>
      <c r="E802" s="9" t="s">
        <v>1823</v>
      </c>
      <c r="F802" s="5"/>
      <c r="G802" s="5"/>
      <c r="H802" s="11" t="n">
        <f aca="false">(COUNTIF(J802:EC802,"=0")+COUNTIF(J802:EC802,"=1"))</f>
        <v>1</v>
      </c>
      <c r="I802" s="26" t="n">
        <f aca="false">IFERROR(ROUND(10-AVERAGE(J802:EC802)*10,0),0)</f>
        <v>0</v>
      </c>
      <c r="J802" s="11"/>
      <c r="K802" s="11"/>
      <c r="L802" s="5"/>
      <c r="M802" s="5"/>
      <c r="N802" s="5"/>
      <c r="O802" s="11"/>
      <c r="P802" s="11"/>
      <c r="Q802" s="11"/>
      <c r="R802" s="5"/>
      <c r="S802" s="5" t="n">
        <v>1</v>
      </c>
      <c r="T802" s="11"/>
      <c r="U802" s="5"/>
      <c r="V802" s="5"/>
      <c r="W802" s="5"/>
      <c r="X802" s="5"/>
      <c r="Y802" s="5"/>
      <c r="Z802" s="5"/>
      <c r="AA802" s="5"/>
      <c r="AB802" s="5"/>
    </row>
    <row r="803" customFormat="false" ht="15.75" hidden="false" customHeight="false" outlineLevel="0" collapsed="false">
      <c r="A803" s="5" t="s">
        <v>1793</v>
      </c>
      <c r="B803" s="5" t="s">
        <v>1794</v>
      </c>
      <c r="C803" s="5" t="s">
        <v>1824</v>
      </c>
      <c r="D803" s="5"/>
      <c r="E803" s="9" t="s">
        <v>1825</v>
      </c>
      <c r="F803" s="5"/>
      <c r="G803" s="5"/>
      <c r="H803" s="11" t="n">
        <f aca="false">(COUNTIF(J803:EC803,"=0")+COUNTIF(J803:EC803,"=1"))</f>
        <v>1</v>
      </c>
      <c r="I803" s="26" t="n">
        <f aca="false">IFERROR(ROUND(10-AVERAGE(J803:EC803)*10,0),0)</f>
        <v>0</v>
      </c>
      <c r="J803" s="11"/>
      <c r="K803" s="11"/>
      <c r="L803" s="5"/>
      <c r="M803" s="5"/>
      <c r="N803" s="5"/>
      <c r="O803" s="11"/>
      <c r="P803" s="11"/>
      <c r="Q803" s="11"/>
      <c r="R803" s="5"/>
      <c r="S803" s="5" t="n">
        <v>1</v>
      </c>
      <c r="T803" s="11"/>
      <c r="U803" s="5"/>
      <c r="V803" s="5"/>
      <c r="W803" s="5"/>
      <c r="X803" s="5"/>
      <c r="Y803" s="5"/>
      <c r="Z803" s="5"/>
      <c r="AA803" s="5"/>
      <c r="AB803" s="5"/>
    </row>
    <row r="804" customFormat="false" ht="15.75" hidden="false" customHeight="false" outlineLevel="0" collapsed="false">
      <c r="A804" s="5" t="s">
        <v>1793</v>
      </c>
      <c r="B804" s="5" t="s">
        <v>1794</v>
      </c>
      <c r="C804" s="5" t="s">
        <v>1826</v>
      </c>
      <c r="D804" s="5"/>
      <c r="E804" s="9" t="s">
        <v>1827</v>
      </c>
      <c r="F804" s="5"/>
      <c r="G804" s="5"/>
      <c r="H804" s="11" t="n">
        <f aca="false">(COUNTIF(J804:EC804,"=0")+COUNTIF(J804:EC804,"=1"))</f>
        <v>1</v>
      </c>
      <c r="I804" s="26" t="n">
        <f aca="false">IFERROR(ROUND(10-AVERAGE(J804:EC804)*10,0),0)</f>
        <v>0</v>
      </c>
      <c r="J804" s="11"/>
      <c r="K804" s="11"/>
      <c r="L804" s="5"/>
      <c r="M804" s="5"/>
      <c r="N804" s="5"/>
      <c r="O804" s="11"/>
      <c r="P804" s="11"/>
      <c r="Q804" s="11"/>
      <c r="R804" s="5"/>
      <c r="S804" s="5" t="n">
        <v>1</v>
      </c>
      <c r="T804" s="11"/>
      <c r="U804" s="5"/>
      <c r="V804" s="5"/>
      <c r="W804" s="5"/>
      <c r="X804" s="5"/>
      <c r="Y804" s="5"/>
      <c r="Z804" s="5"/>
      <c r="AA804" s="5"/>
      <c r="AB804" s="5"/>
    </row>
    <row r="805" customFormat="false" ht="15.75" hidden="false" customHeight="false" outlineLevel="0" collapsed="false">
      <c r="A805" s="5" t="s">
        <v>1793</v>
      </c>
      <c r="B805" s="5" t="s">
        <v>1794</v>
      </c>
      <c r="C805" s="5" t="s">
        <v>1828</v>
      </c>
      <c r="D805" s="5"/>
      <c r="E805" s="9" t="s">
        <v>1829</v>
      </c>
      <c r="F805" s="5"/>
      <c r="G805" s="5"/>
      <c r="H805" s="11" t="n">
        <f aca="false">(COUNTIF(J805:EC805,"=0")+COUNTIF(J805:EC805,"=1"))</f>
        <v>1</v>
      </c>
      <c r="I805" s="34" t="n">
        <f aca="false">IFERROR(ROUND(10-AVERAGE(J805:EC805)*10,0),0)</f>
        <v>0</v>
      </c>
      <c r="J805" s="11"/>
      <c r="K805" s="11"/>
      <c r="L805" s="5"/>
      <c r="M805" s="5"/>
      <c r="N805" s="5"/>
      <c r="O805" s="11"/>
      <c r="P805" s="11"/>
      <c r="Q805" s="11"/>
      <c r="R805" s="5"/>
      <c r="S805" s="5" t="n">
        <v>1</v>
      </c>
      <c r="T805" s="11"/>
      <c r="U805" s="5"/>
      <c r="V805" s="5"/>
      <c r="W805" s="5"/>
      <c r="X805" s="5"/>
      <c r="Y805" s="5"/>
      <c r="Z805" s="5"/>
      <c r="AA805" s="5"/>
      <c r="AB805" s="5"/>
    </row>
    <row r="806" customFormat="false" ht="15.75" hidden="false" customHeight="false" outlineLevel="0" collapsed="false">
      <c r="A806" s="5" t="s">
        <v>1793</v>
      </c>
      <c r="B806" s="5" t="s">
        <v>1794</v>
      </c>
      <c r="C806" s="5" t="s">
        <v>1830</v>
      </c>
      <c r="D806" s="5"/>
      <c r="E806" s="9" t="s">
        <v>1831</v>
      </c>
      <c r="F806" s="5"/>
      <c r="G806" s="5"/>
      <c r="H806" s="11" t="n">
        <f aca="false">(COUNTIF(J806:EC806,"=0")+COUNTIF(J806:EC806,"=1"))</f>
        <v>1</v>
      </c>
      <c r="I806" s="26" t="n">
        <f aca="false">IFERROR(ROUND(10-AVERAGE(J806:EC806)*10,0),0)</f>
        <v>0</v>
      </c>
      <c r="J806" s="11"/>
      <c r="K806" s="11"/>
      <c r="L806" s="5"/>
      <c r="M806" s="5"/>
      <c r="N806" s="5"/>
      <c r="O806" s="11"/>
      <c r="P806" s="11"/>
      <c r="Q806" s="11"/>
      <c r="R806" s="5"/>
      <c r="S806" s="5" t="n">
        <v>1</v>
      </c>
      <c r="T806" s="11"/>
      <c r="U806" s="5"/>
      <c r="V806" s="5"/>
      <c r="W806" s="5"/>
      <c r="X806" s="5"/>
      <c r="Y806" s="5"/>
      <c r="Z806" s="5"/>
      <c r="AA806" s="5"/>
      <c r="AB806" s="5"/>
    </row>
    <row r="807" customFormat="false" ht="15.75" hidden="false" customHeight="false" outlineLevel="0" collapsed="false">
      <c r="A807" s="5" t="s">
        <v>1793</v>
      </c>
      <c r="B807" s="5" t="s">
        <v>1794</v>
      </c>
      <c r="C807" s="5" t="s">
        <v>1832</v>
      </c>
      <c r="D807" s="5"/>
      <c r="E807" s="9" t="s">
        <v>1833</v>
      </c>
      <c r="F807" s="5"/>
      <c r="G807" s="5"/>
      <c r="H807" s="11" t="n">
        <f aca="false">(COUNTIF(J807:EC807,"=0")+COUNTIF(J807:EC807,"=1"))</f>
        <v>1</v>
      </c>
      <c r="I807" s="34" t="n">
        <f aca="false">IFERROR(ROUND(10-AVERAGE(J807:EC807)*10,0),0)</f>
        <v>0</v>
      </c>
      <c r="J807" s="11"/>
      <c r="K807" s="11"/>
      <c r="L807" s="5"/>
      <c r="M807" s="5"/>
      <c r="N807" s="5"/>
      <c r="O807" s="11"/>
      <c r="P807" s="11"/>
      <c r="Q807" s="11"/>
      <c r="R807" s="5"/>
      <c r="S807" s="5" t="n">
        <v>1</v>
      </c>
      <c r="T807" s="11"/>
      <c r="U807" s="5"/>
      <c r="V807" s="5"/>
      <c r="W807" s="5"/>
      <c r="X807" s="5"/>
      <c r="Y807" s="5"/>
      <c r="Z807" s="5"/>
      <c r="AA807" s="5"/>
      <c r="AB807" s="5"/>
    </row>
    <row r="808" customFormat="false" ht="15.75" hidden="false" customHeight="false" outlineLevel="0" collapsed="false">
      <c r="A808" s="5" t="s">
        <v>1793</v>
      </c>
      <c r="B808" s="5" t="s">
        <v>1794</v>
      </c>
      <c r="C808" s="5" t="s">
        <v>1834</v>
      </c>
      <c r="D808" s="5"/>
      <c r="E808" s="9" t="s">
        <v>1835</v>
      </c>
      <c r="F808" s="5"/>
      <c r="G808" s="5"/>
      <c r="H808" s="11" t="n">
        <f aca="false">(COUNTIF(J808:EC808,"=0")+COUNTIF(J808:EC808,"=1"))</f>
        <v>1</v>
      </c>
      <c r="I808" s="30" t="n">
        <f aca="false">IFERROR(ROUND(10-AVERAGE(J808:EC808)*10,0),0)</f>
        <v>0</v>
      </c>
      <c r="J808" s="11"/>
      <c r="K808" s="11"/>
      <c r="L808" s="5"/>
      <c r="M808" s="5"/>
      <c r="N808" s="5"/>
      <c r="O808" s="11"/>
      <c r="P808" s="11"/>
      <c r="Q808" s="11"/>
      <c r="R808" s="5"/>
      <c r="S808" s="5" t="n">
        <v>1</v>
      </c>
      <c r="T808" s="11"/>
      <c r="U808" s="5"/>
      <c r="V808" s="5"/>
      <c r="W808" s="5"/>
      <c r="X808" s="5"/>
      <c r="Y808" s="5"/>
      <c r="Z808" s="5"/>
      <c r="AA808" s="5"/>
      <c r="AB808" s="5"/>
    </row>
    <row r="809" customFormat="false" ht="15.75" hidden="false" customHeight="false" outlineLevel="0" collapsed="false">
      <c r="A809" s="5" t="s">
        <v>1793</v>
      </c>
      <c r="B809" s="5" t="s">
        <v>1794</v>
      </c>
      <c r="C809" s="5" t="s">
        <v>1836</v>
      </c>
      <c r="D809" s="5"/>
      <c r="E809" s="9" t="s">
        <v>1837</v>
      </c>
      <c r="F809" s="5"/>
      <c r="G809" s="5"/>
      <c r="H809" s="11" t="n">
        <f aca="false">(COUNTIF(J809:EC809,"=0")+COUNTIF(J809:EC809,"=1"))</f>
        <v>1</v>
      </c>
      <c r="I809" s="35" t="n">
        <f aca="false">IFERROR(ROUND(10-AVERAGE(J809:EC809)*10,0),0)</f>
        <v>0</v>
      </c>
      <c r="J809" s="11"/>
      <c r="K809" s="11"/>
      <c r="L809" s="5"/>
      <c r="M809" s="5"/>
      <c r="N809" s="5"/>
      <c r="O809" s="11"/>
      <c r="P809" s="11"/>
      <c r="Q809" s="11"/>
      <c r="R809" s="5"/>
      <c r="S809" s="5" t="n">
        <v>1</v>
      </c>
      <c r="T809" s="11"/>
      <c r="U809" s="5"/>
      <c r="V809" s="5"/>
      <c r="W809" s="5"/>
      <c r="X809" s="5"/>
      <c r="Y809" s="5"/>
      <c r="Z809" s="5"/>
      <c r="AA809" s="5"/>
      <c r="AB809" s="5"/>
    </row>
    <row r="810" customFormat="false" ht="15.75" hidden="false" customHeight="false" outlineLevel="0" collapsed="false">
      <c r="A810" s="5" t="s">
        <v>1793</v>
      </c>
      <c r="B810" s="5" t="s">
        <v>1794</v>
      </c>
      <c r="C810" s="5" t="s">
        <v>1838</v>
      </c>
      <c r="D810" s="5"/>
      <c r="E810" s="5"/>
      <c r="F810" s="5"/>
      <c r="G810" s="9" t="s">
        <v>1839</v>
      </c>
      <c r="H810" s="5" t="n">
        <f aca="false">(COUNTIF(J810:EC810,"=0")+COUNTIF(J810:EC810,"=1"))</f>
        <v>7</v>
      </c>
      <c r="I810" s="18" t="n">
        <f aca="false">IFERROR(ROUND(10-AVERAGE(J810:EC810)*10,0),0)</f>
        <v>0</v>
      </c>
      <c r="J810" s="11" t="n">
        <v>1</v>
      </c>
      <c r="K810" s="11" t="n">
        <v>1</v>
      </c>
      <c r="L810" s="5"/>
      <c r="M810" s="5"/>
      <c r="N810" s="5"/>
      <c r="O810" s="11" t="n">
        <v>1</v>
      </c>
      <c r="P810" s="11" t="n">
        <v>1</v>
      </c>
      <c r="Q810" s="11" t="n">
        <v>1</v>
      </c>
      <c r="R810" s="5"/>
      <c r="S810" s="5" t="n">
        <v>1</v>
      </c>
      <c r="T810" s="11" t="n">
        <v>1</v>
      </c>
      <c r="U810" s="5"/>
      <c r="V810" s="5"/>
      <c r="W810" s="5"/>
      <c r="X810" s="5"/>
      <c r="Y810" s="5"/>
      <c r="Z810" s="5"/>
      <c r="AA810" s="5"/>
      <c r="AB810" s="5"/>
    </row>
    <row r="811" customFormat="false" ht="15.75" hidden="false" customHeight="false" outlineLevel="0" collapsed="false">
      <c r="A811" s="5" t="s">
        <v>1793</v>
      </c>
      <c r="B811" s="5" t="s">
        <v>1794</v>
      </c>
      <c r="C811" s="5" t="s">
        <v>1840</v>
      </c>
      <c r="D811" s="5"/>
      <c r="E811" s="5"/>
      <c r="F811" s="5"/>
      <c r="G811" s="5"/>
      <c r="H811" s="5" t="n">
        <f aca="false">(COUNTIF(J811:EC811,"=0")+COUNTIF(J811:EC811,"=1"))</f>
        <v>9</v>
      </c>
      <c r="I811" s="18" t="n">
        <f aca="false">IFERROR(ROUND(10-AVERAGE(J811:EC811)*10,0),0)</f>
        <v>0</v>
      </c>
      <c r="J811" s="11" t="n">
        <v>1</v>
      </c>
      <c r="K811" s="11" t="n">
        <v>1</v>
      </c>
      <c r="L811" s="11" t="n">
        <v>1</v>
      </c>
      <c r="M811" s="5"/>
      <c r="N811" s="5"/>
      <c r="O811" s="11" t="n">
        <v>1</v>
      </c>
      <c r="P811" s="11" t="n">
        <v>1</v>
      </c>
      <c r="Q811" s="11" t="n">
        <v>1</v>
      </c>
      <c r="R811" s="11" t="n">
        <v>1</v>
      </c>
      <c r="S811" s="5" t="n">
        <v>1</v>
      </c>
      <c r="T811" s="11" t="n">
        <v>1</v>
      </c>
      <c r="U811" s="5"/>
      <c r="V811" s="5"/>
      <c r="W811" s="5"/>
      <c r="X811" s="5"/>
      <c r="Y811" s="5"/>
      <c r="Z811" s="5"/>
      <c r="AA811" s="5"/>
      <c r="AB811" s="5"/>
    </row>
    <row r="812" customFormat="false" ht="15.75" hidden="false" customHeight="false" outlineLevel="0" collapsed="false">
      <c r="A812" s="5" t="s">
        <v>1793</v>
      </c>
      <c r="B812" s="5" t="s">
        <v>1794</v>
      </c>
      <c r="C812" s="5" t="s">
        <v>1841</v>
      </c>
      <c r="D812" s="5"/>
      <c r="E812" s="5"/>
      <c r="F812" s="5"/>
      <c r="G812" s="9" t="s">
        <v>1842</v>
      </c>
      <c r="H812" s="5" t="n">
        <f aca="false">(COUNTIF(J812:EC812,"=0")+COUNTIF(J812:EC812,"=1"))</f>
        <v>7</v>
      </c>
      <c r="I812" s="18" t="n">
        <f aca="false">IFERROR(ROUND(10-AVERAGE(J812:EC812)*10,0),0)</f>
        <v>0</v>
      </c>
      <c r="J812" s="11" t="n">
        <v>1</v>
      </c>
      <c r="K812" s="11" t="n">
        <v>1</v>
      </c>
      <c r="L812" s="5"/>
      <c r="M812" s="5"/>
      <c r="N812" s="5"/>
      <c r="O812" s="11" t="n">
        <v>1</v>
      </c>
      <c r="P812" s="11" t="n">
        <v>1</v>
      </c>
      <c r="Q812" s="11" t="n">
        <v>1</v>
      </c>
      <c r="R812" s="5"/>
      <c r="S812" s="5" t="n">
        <v>1</v>
      </c>
      <c r="T812" s="11" t="n">
        <v>1</v>
      </c>
      <c r="U812" s="5"/>
      <c r="V812" s="5"/>
      <c r="W812" s="5"/>
      <c r="X812" s="5"/>
      <c r="Y812" s="5"/>
      <c r="Z812" s="5"/>
      <c r="AA812" s="5"/>
      <c r="AB812" s="5"/>
    </row>
    <row r="813" customFormat="false" ht="15.75" hidden="false" customHeight="false" outlineLevel="0" collapsed="false">
      <c r="A813" s="5" t="s">
        <v>1793</v>
      </c>
      <c r="B813" s="5" t="s">
        <v>1843</v>
      </c>
      <c r="C813" s="5" t="s">
        <v>1844</v>
      </c>
      <c r="D813" s="5"/>
      <c r="E813" s="5"/>
      <c r="F813" s="5"/>
      <c r="G813" s="9" t="s">
        <v>1845</v>
      </c>
      <c r="H813" s="5" t="n">
        <f aca="false">(COUNTIF(J813:EC813,"=0")+COUNTIF(J813:EC813,"=1"))</f>
        <v>6</v>
      </c>
      <c r="I813" s="19" t="n">
        <f aca="false">IFERROR(ROUND(10-AVERAGE(J813:EC813)*10,0),0)</f>
        <v>5</v>
      </c>
      <c r="J813" s="11" t="n">
        <v>1</v>
      </c>
      <c r="K813" s="11" t="n">
        <v>0</v>
      </c>
      <c r="L813" s="5"/>
      <c r="M813" s="5"/>
      <c r="N813" s="5"/>
      <c r="O813" s="11" t="n">
        <v>0</v>
      </c>
      <c r="P813" s="11" t="n">
        <v>0</v>
      </c>
      <c r="Q813" s="11" t="n">
        <v>1</v>
      </c>
      <c r="R813" s="5"/>
      <c r="S813" s="5"/>
      <c r="T813" s="11" t="n">
        <v>1</v>
      </c>
      <c r="U813" s="5"/>
      <c r="V813" s="5"/>
      <c r="W813" s="5"/>
      <c r="X813" s="5"/>
      <c r="Y813" s="5"/>
      <c r="Z813" s="5"/>
      <c r="AA813" s="5"/>
      <c r="AB813" s="5"/>
    </row>
    <row r="814" customFormat="false" ht="15.75" hidden="false" customHeight="false" outlineLevel="0" collapsed="false">
      <c r="A814" s="5" t="s">
        <v>1793</v>
      </c>
      <c r="B814" s="5" t="s">
        <v>1846</v>
      </c>
      <c r="C814" s="5" t="s">
        <v>1847</v>
      </c>
      <c r="D814" s="5"/>
      <c r="E814" s="5"/>
      <c r="F814" s="5"/>
      <c r="G814" s="9" t="s">
        <v>1848</v>
      </c>
      <c r="H814" s="5" t="n">
        <f aca="false">(COUNTIF(J814:EC814,"=0")+COUNTIF(J814:EC814,"=1"))</f>
        <v>7</v>
      </c>
      <c r="I814" s="16" t="n">
        <f aca="false">IFERROR(ROUND(10-AVERAGE(J814:EC814)*10,0),0)</f>
        <v>7</v>
      </c>
      <c r="J814" s="11" t="n">
        <v>1</v>
      </c>
      <c r="K814" s="11" t="n">
        <v>0</v>
      </c>
      <c r="L814" s="5"/>
      <c r="M814" s="11" t="n">
        <v>1</v>
      </c>
      <c r="N814" s="5"/>
      <c r="O814" s="11" t="n">
        <v>0</v>
      </c>
      <c r="P814" s="11" t="n">
        <v>0</v>
      </c>
      <c r="Q814" s="11" t="n">
        <v>0</v>
      </c>
      <c r="R814" s="5"/>
      <c r="S814" s="5"/>
      <c r="T814" s="11" t="n">
        <v>0</v>
      </c>
      <c r="U814" s="5"/>
      <c r="V814" s="5"/>
      <c r="W814" s="5"/>
      <c r="X814" s="5"/>
      <c r="Y814" s="5"/>
      <c r="Z814" s="5"/>
      <c r="AA814" s="5"/>
      <c r="AB814" s="5"/>
    </row>
    <row r="815" customFormat="false" ht="15.75" hidden="false" customHeight="false" outlineLevel="0" collapsed="false">
      <c r="A815" s="5" t="s">
        <v>1793</v>
      </c>
      <c r="B815" s="5" t="s">
        <v>1846</v>
      </c>
      <c r="C815" s="5" t="s">
        <v>323</v>
      </c>
      <c r="D815" s="5"/>
      <c r="E815" s="5"/>
      <c r="F815" s="5"/>
      <c r="G815" s="9" t="s">
        <v>1849</v>
      </c>
      <c r="H815" s="5" t="n">
        <f aca="false">(COUNTIF(J815:EC815,"=0")+COUNTIF(J815:EC815,"=1"))</f>
        <v>6</v>
      </c>
      <c r="I815" s="21" t="n">
        <f aca="false">IFERROR(ROUND(10-AVERAGE(J815:EC815)*10,0),0)</f>
        <v>3</v>
      </c>
      <c r="J815" s="11" t="n">
        <v>1</v>
      </c>
      <c r="K815" s="11" t="n">
        <v>0</v>
      </c>
      <c r="L815" s="5"/>
      <c r="M815" s="5"/>
      <c r="N815" s="5"/>
      <c r="O815" s="11" t="n">
        <v>0</v>
      </c>
      <c r="P815" s="11" t="n">
        <v>1</v>
      </c>
      <c r="Q815" s="11" t="n">
        <v>1</v>
      </c>
      <c r="R815" s="5"/>
      <c r="S815" s="5"/>
      <c r="T815" s="11" t="n">
        <v>1</v>
      </c>
      <c r="U815" s="5"/>
      <c r="V815" s="5"/>
      <c r="W815" s="5"/>
      <c r="X815" s="5"/>
      <c r="Y815" s="5"/>
      <c r="Z815" s="5"/>
      <c r="AA815" s="5"/>
      <c r="AB815" s="5"/>
    </row>
    <row r="816" customFormat="false" ht="15.75" hidden="false" customHeight="false" outlineLevel="0" collapsed="false">
      <c r="A816" s="5" t="s">
        <v>1793</v>
      </c>
      <c r="B816" s="5" t="s">
        <v>1846</v>
      </c>
      <c r="C816" s="5" t="s">
        <v>1850</v>
      </c>
      <c r="D816" s="5"/>
      <c r="E816" s="5"/>
      <c r="F816" s="5"/>
      <c r="G816" s="9" t="s">
        <v>1851</v>
      </c>
      <c r="H816" s="5" t="n">
        <f aca="false">(COUNTIF(J816:EC816,"=0")+COUNTIF(J816:EC816,"=1"))</f>
        <v>6</v>
      </c>
      <c r="I816" s="19" t="n">
        <f aca="false">IFERROR(ROUND(10-AVERAGE(J816:EC816)*10,0),0)</f>
        <v>5</v>
      </c>
      <c r="J816" s="11" t="n">
        <v>1</v>
      </c>
      <c r="K816" s="11" t="n">
        <v>0</v>
      </c>
      <c r="L816" s="5"/>
      <c r="M816" s="5"/>
      <c r="N816" s="5"/>
      <c r="O816" s="11" t="n">
        <v>0</v>
      </c>
      <c r="P816" s="11" t="n">
        <v>1</v>
      </c>
      <c r="Q816" s="11" t="n">
        <v>1</v>
      </c>
      <c r="R816" s="5"/>
      <c r="S816" s="5"/>
      <c r="T816" s="11" t="n">
        <v>0</v>
      </c>
      <c r="U816" s="5"/>
      <c r="V816" s="5"/>
      <c r="W816" s="5"/>
      <c r="X816" s="5"/>
      <c r="Y816" s="5"/>
      <c r="Z816" s="5"/>
      <c r="AA816" s="5"/>
      <c r="AB816" s="5"/>
    </row>
    <row r="817" customFormat="false" ht="15.75" hidden="false" customHeight="false" outlineLevel="0" collapsed="false">
      <c r="A817" s="5" t="s">
        <v>1793</v>
      </c>
      <c r="B817" s="5" t="s">
        <v>1846</v>
      </c>
      <c r="C817" s="5" t="s">
        <v>108</v>
      </c>
      <c r="D817" s="5"/>
      <c r="E817" s="5"/>
      <c r="F817" s="5"/>
      <c r="G817" s="9" t="s">
        <v>1852</v>
      </c>
      <c r="H817" s="5" t="n">
        <f aca="false">(COUNTIF(J817:EC817,"=0")+COUNTIF(J817:EC817,"=1"))</f>
        <v>6</v>
      </c>
      <c r="I817" s="21" t="n">
        <f aca="false">IFERROR(ROUND(10-AVERAGE(J817:EC817)*10,0),0)</f>
        <v>3</v>
      </c>
      <c r="J817" s="11" t="n">
        <v>1</v>
      </c>
      <c r="K817" s="11" t="n">
        <v>0</v>
      </c>
      <c r="L817" s="5"/>
      <c r="M817" s="5"/>
      <c r="N817" s="5"/>
      <c r="O817" s="11" t="n">
        <v>0</v>
      </c>
      <c r="P817" s="11" t="n">
        <v>1</v>
      </c>
      <c r="Q817" s="11" t="n">
        <v>1</v>
      </c>
      <c r="R817" s="5"/>
      <c r="S817" s="5"/>
      <c r="T817" s="11" t="n">
        <v>1</v>
      </c>
      <c r="U817" s="5"/>
      <c r="V817" s="5"/>
      <c r="W817" s="5"/>
      <c r="X817" s="5"/>
      <c r="Y817" s="5"/>
      <c r="Z817" s="5"/>
      <c r="AA817" s="5"/>
      <c r="AB817" s="5"/>
    </row>
    <row r="818" customFormat="false" ht="15.75" hidden="false" customHeight="false" outlineLevel="0" collapsed="false">
      <c r="A818" s="5" t="s">
        <v>1793</v>
      </c>
      <c r="B818" s="5" t="s">
        <v>1853</v>
      </c>
      <c r="C818" s="5" t="s">
        <v>1854</v>
      </c>
      <c r="D818" s="5"/>
      <c r="E818" s="5"/>
      <c r="F818" s="5"/>
      <c r="G818" s="9" t="s">
        <v>1855</v>
      </c>
      <c r="H818" s="5" t="n">
        <f aca="false">(COUNTIF(J818:EC818,"=0")+COUNTIF(J818:EC818,"=1"))</f>
        <v>6</v>
      </c>
      <c r="I818" s="16" t="n">
        <f aca="false">IFERROR(ROUND(10-AVERAGE(J818:EC818)*10,0),0)</f>
        <v>7</v>
      </c>
      <c r="J818" s="11" t="n">
        <v>1</v>
      </c>
      <c r="K818" s="11" t="n">
        <v>0</v>
      </c>
      <c r="L818" s="5"/>
      <c r="M818" s="5"/>
      <c r="N818" s="5"/>
      <c r="O818" s="11" t="n">
        <v>0</v>
      </c>
      <c r="P818" s="11" t="n">
        <v>0</v>
      </c>
      <c r="Q818" s="11" t="n">
        <v>1</v>
      </c>
      <c r="R818" s="5"/>
      <c r="S818" s="5"/>
      <c r="T818" s="11" t="n">
        <v>0</v>
      </c>
      <c r="U818" s="5"/>
      <c r="V818" s="5"/>
      <c r="W818" s="5"/>
      <c r="X818" s="5"/>
      <c r="Y818" s="5"/>
      <c r="Z818" s="5"/>
      <c r="AA818" s="5"/>
      <c r="AB818" s="5"/>
    </row>
    <row r="819" customFormat="false" ht="15.75" hidden="false" customHeight="false" outlineLevel="0" collapsed="false">
      <c r="A819" s="5" t="s">
        <v>1793</v>
      </c>
      <c r="B819" s="5" t="s">
        <v>1853</v>
      </c>
      <c r="C819" s="5" t="s">
        <v>1856</v>
      </c>
      <c r="D819" s="5"/>
      <c r="E819" s="5"/>
      <c r="F819" s="5"/>
      <c r="G819" s="9" t="s">
        <v>1857</v>
      </c>
      <c r="H819" s="5" t="n">
        <f aca="false">(COUNTIF(J819:EC819,"=0")+COUNTIF(J819:EC819,"=1"))</f>
        <v>6</v>
      </c>
      <c r="I819" s="19" t="n">
        <f aca="false">IFERROR(ROUND(10-AVERAGE(J819:EC819)*10,0),0)</f>
        <v>5</v>
      </c>
      <c r="J819" s="11" t="n">
        <v>1</v>
      </c>
      <c r="K819" s="11" t="n">
        <v>0</v>
      </c>
      <c r="L819" s="5"/>
      <c r="M819" s="5"/>
      <c r="N819" s="5"/>
      <c r="O819" s="11" t="n">
        <v>0</v>
      </c>
      <c r="P819" s="11" t="n">
        <v>0</v>
      </c>
      <c r="Q819" s="11" t="n">
        <v>1</v>
      </c>
      <c r="R819" s="5"/>
      <c r="S819" s="5"/>
      <c r="T819" s="11" t="n">
        <v>1</v>
      </c>
      <c r="U819" s="5"/>
      <c r="V819" s="5"/>
      <c r="W819" s="5"/>
      <c r="X819" s="5"/>
      <c r="Y819" s="5"/>
      <c r="Z819" s="5"/>
      <c r="AA819" s="5"/>
      <c r="AB819" s="5"/>
    </row>
    <row r="820" customFormat="false" ht="15.75" hidden="false" customHeight="false" outlineLevel="0" collapsed="false">
      <c r="A820" s="5" t="s">
        <v>1793</v>
      </c>
      <c r="B820" s="5" t="s">
        <v>1853</v>
      </c>
      <c r="C820" s="5" t="s">
        <v>1318</v>
      </c>
      <c r="D820" s="5"/>
      <c r="E820" s="5"/>
      <c r="F820" s="5"/>
      <c r="G820" s="9" t="s">
        <v>1858</v>
      </c>
      <c r="H820" s="5" t="n">
        <f aca="false">(COUNTIF(J820:EC820,"=0")+COUNTIF(J820:EC820,"=1"))</f>
        <v>6</v>
      </c>
      <c r="I820" s="13" t="n">
        <f aca="false">IFERROR(ROUND(10-AVERAGE(J820:EC820)*10,0),0)</f>
        <v>2</v>
      </c>
      <c r="J820" s="11" t="n">
        <v>1</v>
      </c>
      <c r="K820" s="11" t="n">
        <v>0</v>
      </c>
      <c r="L820" s="5"/>
      <c r="M820" s="5"/>
      <c r="N820" s="5"/>
      <c r="O820" s="11" t="n">
        <v>1</v>
      </c>
      <c r="P820" s="11" t="n">
        <v>1</v>
      </c>
      <c r="Q820" s="11" t="n">
        <v>1</v>
      </c>
      <c r="R820" s="5"/>
      <c r="S820" s="5"/>
      <c r="T820" s="11" t="n">
        <v>1</v>
      </c>
      <c r="U820" s="5"/>
      <c r="V820" s="5"/>
      <c r="W820" s="5"/>
      <c r="X820" s="5"/>
      <c r="Y820" s="5"/>
      <c r="Z820" s="5"/>
      <c r="AA820" s="5"/>
      <c r="AB820" s="5"/>
    </row>
    <row r="821" customFormat="false" ht="15.75" hidden="false" customHeight="false" outlineLevel="0" collapsed="false">
      <c r="A821" s="5" t="s">
        <v>1793</v>
      </c>
      <c r="B821" s="5" t="s">
        <v>1859</v>
      </c>
      <c r="C821" s="5" t="s">
        <v>1860</v>
      </c>
      <c r="D821" s="5"/>
      <c r="E821" s="5"/>
      <c r="F821" s="5"/>
      <c r="G821" s="9" t="s">
        <v>1861</v>
      </c>
      <c r="H821" s="5" t="n">
        <f aca="false">(COUNTIF(J821:EC821,"=0")+COUNTIF(J821:EC821,"=1"))</f>
        <v>7</v>
      </c>
      <c r="I821" s="16" t="n">
        <f aca="false">IFERROR(ROUND(10-AVERAGE(J821:EC821)*10,0),0)</f>
        <v>6</v>
      </c>
      <c r="J821" s="11" t="n">
        <v>0</v>
      </c>
      <c r="K821" s="11" t="n">
        <v>0</v>
      </c>
      <c r="L821" s="5"/>
      <c r="M821" s="5"/>
      <c r="N821" s="5"/>
      <c r="O821" s="11" t="n">
        <v>0</v>
      </c>
      <c r="P821" s="11" t="n">
        <v>1</v>
      </c>
      <c r="Q821" s="11" t="n">
        <v>0</v>
      </c>
      <c r="R821" s="5"/>
      <c r="S821" s="5"/>
      <c r="T821" s="11" t="n">
        <v>1</v>
      </c>
      <c r="U821" s="5"/>
      <c r="V821" s="5"/>
      <c r="W821" s="5"/>
      <c r="X821" s="5"/>
      <c r="Y821" s="5"/>
      <c r="Z821" s="5"/>
      <c r="AA821" s="5"/>
      <c r="AB821" s="5"/>
      <c r="AF821" s="5" t="n">
        <v>1</v>
      </c>
    </row>
    <row r="822" customFormat="false" ht="15.75" hidden="false" customHeight="false" outlineLevel="0" collapsed="false">
      <c r="A822" s="5" t="s">
        <v>1793</v>
      </c>
      <c r="B822" s="5" t="s">
        <v>1862</v>
      </c>
      <c r="C822" s="5" t="s">
        <v>1863</v>
      </c>
      <c r="D822" s="5"/>
      <c r="E822" s="5"/>
      <c r="F822" s="5"/>
      <c r="G822" s="9" t="s">
        <v>1864</v>
      </c>
      <c r="H822" s="5" t="n">
        <f aca="false">(COUNTIF(J822:EC822,"=0")+COUNTIF(J822:EC822,"=1"))</f>
        <v>7</v>
      </c>
      <c r="I822" s="21" t="n">
        <f aca="false">IFERROR(ROUND(10-AVERAGE(J822:EC822)*10,0),0)</f>
        <v>3</v>
      </c>
      <c r="J822" s="11" t="n">
        <v>1</v>
      </c>
      <c r="K822" s="11" t="n">
        <v>0</v>
      </c>
      <c r="L822" s="5"/>
      <c r="M822" s="5"/>
      <c r="N822" s="5"/>
      <c r="O822" s="11" t="n">
        <v>0</v>
      </c>
      <c r="P822" s="11" t="n">
        <v>1</v>
      </c>
      <c r="Q822" s="11" t="n">
        <v>1</v>
      </c>
      <c r="R822" s="11" t="n">
        <v>1</v>
      </c>
      <c r="S822" s="5"/>
      <c r="T822" s="11" t="n">
        <v>1</v>
      </c>
      <c r="U822" s="5"/>
      <c r="V822" s="5"/>
      <c r="W822" s="5"/>
      <c r="X822" s="5"/>
      <c r="Y822" s="5"/>
      <c r="Z822" s="5"/>
      <c r="AA822" s="5"/>
      <c r="AB822" s="5"/>
    </row>
    <row r="823" customFormat="false" ht="15.75" hidden="false" customHeight="false" outlineLevel="0" collapsed="false">
      <c r="A823" s="5" t="s">
        <v>1793</v>
      </c>
      <c r="B823" s="5" t="s">
        <v>1862</v>
      </c>
      <c r="C823" s="5" t="s">
        <v>1865</v>
      </c>
      <c r="D823" s="5"/>
      <c r="E823" s="5"/>
      <c r="F823" s="5"/>
      <c r="G823" s="5"/>
      <c r="H823" s="5" t="n">
        <f aca="false">(COUNTIF(J823:EC823,"=0")+COUNTIF(J823:EC823,"=1"))</f>
        <v>6</v>
      </c>
      <c r="I823" s="19" t="n">
        <f aca="false">IFERROR(ROUND(10-AVERAGE(J823:EC823)*10,0),0)</f>
        <v>5</v>
      </c>
      <c r="J823" s="11" t="n">
        <v>1</v>
      </c>
      <c r="K823" s="11" t="n">
        <v>0</v>
      </c>
      <c r="L823" s="5"/>
      <c r="M823" s="5"/>
      <c r="N823" s="5"/>
      <c r="O823" s="5"/>
      <c r="P823" s="11" t="n">
        <v>1</v>
      </c>
      <c r="Q823" s="11" t="n">
        <v>0</v>
      </c>
      <c r="R823" s="5"/>
      <c r="S823" s="11" t="n">
        <v>1</v>
      </c>
      <c r="T823" s="11" t="n">
        <v>0</v>
      </c>
      <c r="U823" s="5"/>
      <c r="V823" s="5"/>
      <c r="W823" s="5"/>
      <c r="X823" s="5"/>
      <c r="Y823" s="5"/>
      <c r="Z823" s="5"/>
      <c r="AA823" s="5"/>
      <c r="AB823" s="5"/>
    </row>
    <row r="824" customFormat="false" ht="15.75" hidden="false" customHeight="false" outlineLevel="0" collapsed="false">
      <c r="A824" s="5" t="s">
        <v>1793</v>
      </c>
      <c r="B824" s="5" t="s">
        <v>1862</v>
      </c>
      <c r="C824" s="5" t="s">
        <v>1866</v>
      </c>
      <c r="D824" s="5"/>
      <c r="E824" s="5"/>
      <c r="F824" s="5"/>
      <c r="G824" s="14" t="s">
        <v>1867</v>
      </c>
      <c r="H824" s="5" t="n">
        <f aca="false">(COUNTIF(J824:EC824,"=0")+COUNTIF(J824:EC824,"=1"))</f>
        <v>6</v>
      </c>
      <c r="I824" s="21" t="n">
        <f aca="false">IFERROR(ROUND(10-AVERAGE(J824:EC824)*10,0),0)</f>
        <v>3</v>
      </c>
      <c r="J824" s="11" t="n">
        <v>1</v>
      </c>
      <c r="K824" s="11" t="n">
        <v>0</v>
      </c>
      <c r="L824" s="5"/>
      <c r="M824" s="5"/>
      <c r="N824" s="5"/>
      <c r="O824" s="5"/>
      <c r="P824" s="11" t="n">
        <v>1</v>
      </c>
      <c r="Q824" s="11" t="n">
        <v>1</v>
      </c>
      <c r="R824" s="5"/>
      <c r="S824" s="11" t="n">
        <v>1</v>
      </c>
      <c r="T824" s="11" t="n">
        <v>0</v>
      </c>
      <c r="U824" s="5"/>
      <c r="V824" s="5"/>
      <c r="W824" s="5"/>
      <c r="X824" s="5"/>
      <c r="Y824" s="5"/>
      <c r="Z824" s="5"/>
      <c r="AA824" s="5"/>
      <c r="AB824" s="5"/>
    </row>
    <row r="825" customFormat="false" ht="15.75" hidden="false" customHeight="false" outlineLevel="0" collapsed="false">
      <c r="A825" s="5" t="s">
        <v>1793</v>
      </c>
      <c r="B825" s="5" t="s">
        <v>1862</v>
      </c>
      <c r="C825" s="5" t="s">
        <v>1868</v>
      </c>
      <c r="D825" s="5"/>
      <c r="E825" s="5"/>
      <c r="F825" s="5"/>
      <c r="G825" s="9" t="s">
        <v>1869</v>
      </c>
      <c r="H825" s="5" t="n">
        <f aca="false">(COUNTIF(J825:EC825,"=0")+COUNTIF(J825:EC825,"=1"))</f>
        <v>6</v>
      </c>
      <c r="I825" s="21" t="n">
        <f aca="false">IFERROR(ROUND(10-AVERAGE(J825:EC825)*10,0),0)</f>
        <v>3</v>
      </c>
      <c r="J825" s="11" t="n">
        <v>1</v>
      </c>
      <c r="K825" s="11" t="n">
        <v>0</v>
      </c>
      <c r="L825" s="5"/>
      <c r="M825" s="5"/>
      <c r="N825" s="5"/>
      <c r="O825" s="5"/>
      <c r="P825" s="11" t="n">
        <v>1</v>
      </c>
      <c r="Q825" s="11" t="n">
        <v>1</v>
      </c>
      <c r="R825" s="5"/>
      <c r="S825" s="11" t="n">
        <v>1</v>
      </c>
      <c r="T825" s="11" t="n">
        <v>0</v>
      </c>
      <c r="U825" s="5"/>
      <c r="V825" s="5"/>
      <c r="W825" s="5"/>
      <c r="X825" s="5"/>
      <c r="Y825" s="5"/>
      <c r="Z825" s="5"/>
      <c r="AA825" s="5"/>
      <c r="AB825" s="5"/>
    </row>
    <row r="826" customFormat="false" ht="15.75" hidden="false" customHeight="false" outlineLevel="0" collapsed="false">
      <c r="A826" s="5" t="s">
        <v>1793</v>
      </c>
      <c r="B826" s="5" t="s">
        <v>1870</v>
      </c>
      <c r="C826" s="5" t="s">
        <v>1871</v>
      </c>
      <c r="D826" s="5"/>
      <c r="E826" s="5"/>
      <c r="F826" s="5"/>
      <c r="G826" s="9" t="s">
        <v>1872</v>
      </c>
      <c r="H826" s="5" t="n">
        <f aca="false">(COUNTIF(J826:EC826,"=0")+COUNTIF(J826:EC826,"=1"))</f>
        <v>5</v>
      </c>
      <c r="I826" s="13" t="n">
        <f aca="false">IFERROR(ROUND(10-AVERAGE(J826:EC826)*10,0),0)</f>
        <v>2</v>
      </c>
      <c r="J826" s="11" t="n">
        <v>1</v>
      </c>
      <c r="K826" s="11" t="n">
        <v>1</v>
      </c>
      <c r="L826" s="5"/>
      <c r="M826" s="5"/>
      <c r="N826" s="5"/>
      <c r="O826" s="5"/>
      <c r="P826" s="11" t="n">
        <v>1</v>
      </c>
      <c r="Q826" s="5"/>
      <c r="R826" s="5"/>
      <c r="S826" s="5"/>
      <c r="T826" s="11" t="n">
        <v>1</v>
      </c>
      <c r="U826" s="5"/>
      <c r="V826" s="5"/>
      <c r="W826" s="5"/>
      <c r="X826" s="5"/>
      <c r="Y826" s="5"/>
      <c r="Z826" s="11" t="n">
        <v>0</v>
      </c>
      <c r="AA826" s="5"/>
      <c r="AB826" s="5"/>
    </row>
    <row r="827" customFormat="false" ht="15.75" hidden="false" customHeight="false" outlineLevel="0" collapsed="false">
      <c r="A827" s="5" t="s">
        <v>1793</v>
      </c>
      <c r="B827" s="5" t="s">
        <v>1870</v>
      </c>
      <c r="C827" s="5" t="s">
        <v>960</v>
      </c>
      <c r="D827" s="5"/>
      <c r="E827" s="5"/>
      <c r="F827" s="5"/>
      <c r="G827" s="9" t="s">
        <v>1873</v>
      </c>
      <c r="H827" s="5" t="n">
        <f aca="false">(COUNTIF(J827:EC827,"=0")+COUNTIF(J827:EC827,"=1"))</f>
        <v>6</v>
      </c>
      <c r="I827" s="19" t="n">
        <f aca="false">IFERROR(ROUND(10-AVERAGE(J827:EC827)*10,0),0)</f>
        <v>5</v>
      </c>
      <c r="J827" s="11" t="n">
        <v>1</v>
      </c>
      <c r="K827" s="11" t="n">
        <v>0</v>
      </c>
      <c r="L827" s="5"/>
      <c r="M827" s="5"/>
      <c r="N827" s="5"/>
      <c r="O827" s="11" t="n">
        <v>0</v>
      </c>
      <c r="P827" s="11" t="n">
        <v>1</v>
      </c>
      <c r="Q827" s="11" t="n">
        <v>1</v>
      </c>
      <c r="R827" s="5"/>
      <c r="S827" s="5"/>
      <c r="T827" s="11" t="n">
        <v>0</v>
      </c>
      <c r="U827" s="5"/>
      <c r="V827" s="5"/>
      <c r="W827" s="5"/>
      <c r="X827" s="5"/>
      <c r="Y827" s="5"/>
      <c r="Z827" s="5"/>
      <c r="AA827" s="5"/>
      <c r="AB827" s="5"/>
    </row>
    <row r="828" customFormat="false" ht="15.75" hidden="false" customHeight="false" outlineLevel="0" collapsed="false">
      <c r="A828" s="5" t="s">
        <v>1793</v>
      </c>
      <c r="B828" s="5" t="s">
        <v>1870</v>
      </c>
      <c r="C828" s="5" t="s">
        <v>1874</v>
      </c>
      <c r="D828" s="5" t="s">
        <v>1875</v>
      </c>
      <c r="E828" s="5"/>
      <c r="F828" s="5"/>
      <c r="G828" s="5"/>
      <c r="H828" s="5" t="n">
        <f aca="false">(COUNTIF(J828:EC828,"=0")+COUNTIF(J828:EC828,"=1"))</f>
        <v>5</v>
      </c>
      <c r="I828" s="15" t="n">
        <f aca="false">IFERROR(ROUND(10-AVERAGE(J828:EC828)*10,0),0)</f>
        <v>6</v>
      </c>
      <c r="J828" s="11" t="n">
        <v>1</v>
      </c>
      <c r="K828" s="11" t="n">
        <v>0</v>
      </c>
      <c r="L828" s="5"/>
      <c r="M828" s="5"/>
      <c r="N828" s="5"/>
      <c r="O828" s="5"/>
      <c r="P828" s="11" t="n">
        <v>1</v>
      </c>
      <c r="Q828" s="5"/>
      <c r="R828" s="5"/>
      <c r="S828" s="5"/>
      <c r="T828" s="11" t="n">
        <v>0</v>
      </c>
      <c r="U828" s="5"/>
      <c r="V828" s="5"/>
      <c r="W828" s="5"/>
      <c r="X828" s="5"/>
      <c r="Y828" s="5"/>
      <c r="Z828" s="11" t="n">
        <v>0</v>
      </c>
      <c r="AA828" s="5"/>
      <c r="AB828" s="5"/>
    </row>
    <row r="829" customFormat="false" ht="15.75" hidden="false" customHeight="false" outlineLevel="0" collapsed="false">
      <c r="A829" s="5" t="s">
        <v>1793</v>
      </c>
      <c r="B829" s="5" t="s">
        <v>1870</v>
      </c>
      <c r="C829" s="5" t="s">
        <v>1876</v>
      </c>
      <c r="D829" s="5"/>
      <c r="E829" s="5"/>
      <c r="F829" s="5"/>
      <c r="G829" s="9" t="s">
        <v>1877</v>
      </c>
      <c r="H829" s="5" t="n">
        <f aca="false">(COUNTIF(J829:EC829,"=0")+COUNTIF(J829:EC829,"=1"))</f>
        <v>6</v>
      </c>
      <c r="I829" s="21" t="n">
        <f aca="false">IFERROR(ROUND(10-AVERAGE(J829:EC829)*10,0),0)</f>
        <v>3</v>
      </c>
      <c r="J829" s="11" t="n">
        <v>1</v>
      </c>
      <c r="K829" s="11" t="n">
        <v>0</v>
      </c>
      <c r="L829" s="5"/>
      <c r="M829" s="5"/>
      <c r="N829" s="5"/>
      <c r="O829" s="11" t="n">
        <v>0</v>
      </c>
      <c r="P829" s="11" t="n">
        <v>1</v>
      </c>
      <c r="Q829" s="11" t="n">
        <v>1</v>
      </c>
      <c r="R829" s="5"/>
      <c r="S829" s="5"/>
      <c r="T829" s="11" t="n">
        <v>1</v>
      </c>
      <c r="U829" s="5"/>
      <c r="V829" s="5"/>
      <c r="W829" s="5"/>
      <c r="X829" s="5"/>
      <c r="Y829" s="5"/>
      <c r="Z829" s="5"/>
      <c r="AA829" s="5"/>
      <c r="AB829" s="5"/>
    </row>
    <row r="830" customFormat="false" ht="15.75" hidden="false" customHeight="false" outlineLevel="0" collapsed="false">
      <c r="A830" s="5" t="s">
        <v>1793</v>
      </c>
      <c r="B830" s="5" t="s">
        <v>1870</v>
      </c>
      <c r="C830" s="5" t="s">
        <v>1878</v>
      </c>
      <c r="D830" s="5"/>
      <c r="E830" s="5"/>
      <c r="F830" s="5"/>
      <c r="G830" s="9" t="s">
        <v>1879</v>
      </c>
      <c r="H830" s="5" t="n">
        <f aca="false">(COUNTIF(J830:EC830,"=0")+COUNTIF(J830:EC830,"=1"))</f>
        <v>6</v>
      </c>
      <c r="I830" s="13" t="n">
        <f aca="false">IFERROR(ROUND(10-AVERAGE(J830:EC830)*10,0),0)</f>
        <v>2</v>
      </c>
      <c r="J830" s="11" t="n">
        <v>1</v>
      </c>
      <c r="K830" s="11" t="n">
        <v>1</v>
      </c>
      <c r="L830" s="5"/>
      <c r="M830" s="5"/>
      <c r="N830" s="5"/>
      <c r="O830" s="11" t="n">
        <v>0</v>
      </c>
      <c r="P830" s="11" t="n">
        <v>1</v>
      </c>
      <c r="Q830" s="11" t="n">
        <v>1</v>
      </c>
      <c r="R830" s="5"/>
      <c r="S830" s="5"/>
      <c r="T830" s="11" t="n">
        <v>1</v>
      </c>
      <c r="U830" s="5"/>
      <c r="V830" s="5"/>
      <c r="W830" s="5"/>
      <c r="X830" s="5"/>
      <c r="Y830" s="5"/>
      <c r="Z830" s="5"/>
      <c r="AA830" s="5"/>
      <c r="AB830" s="5"/>
    </row>
    <row r="831" customFormat="false" ht="15.75" hidden="false" customHeight="false" outlineLevel="0" collapsed="false">
      <c r="A831" s="5" t="s">
        <v>1793</v>
      </c>
      <c r="B831" s="5" t="s">
        <v>1870</v>
      </c>
      <c r="C831" s="5" t="s">
        <v>1880</v>
      </c>
      <c r="D831" s="5"/>
      <c r="E831" s="5"/>
      <c r="F831" s="5"/>
      <c r="G831" s="9" t="s">
        <v>1881</v>
      </c>
      <c r="H831" s="5" t="n">
        <f aca="false">(COUNTIF(J831:EC831,"=0")+COUNTIF(J831:EC831,"=1"))</f>
        <v>4</v>
      </c>
      <c r="I831" s="19" t="n">
        <f aca="false">IFERROR(ROUND(10-AVERAGE(J831:EC831)*10,0),0)</f>
        <v>5</v>
      </c>
      <c r="J831" s="11" t="n">
        <v>1</v>
      </c>
      <c r="K831" s="11" t="n">
        <v>0</v>
      </c>
      <c r="L831" s="5"/>
      <c r="M831" s="5"/>
      <c r="N831" s="5"/>
      <c r="O831" s="5"/>
      <c r="P831" s="11" t="n">
        <v>1</v>
      </c>
      <c r="Q831" s="5"/>
      <c r="R831" s="5"/>
      <c r="S831" s="5"/>
      <c r="T831" s="5"/>
      <c r="U831" s="5"/>
      <c r="V831" s="5"/>
      <c r="W831" s="5"/>
      <c r="X831" s="5"/>
      <c r="Y831" s="5"/>
      <c r="Z831" s="11" t="n">
        <v>0</v>
      </c>
      <c r="AA831" s="5"/>
      <c r="AB831" s="5"/>
    </row>
    <row r="832" customFormat="false" ht="15.75" hidden="false" customHeight="false" outlineLevel="0" collapsed="false">
      <c r="A832" s="5" t="s">
        <v>1793</v>
      </c>
      <c r="B832" s="5" t="s">
        <v>1870</v>
      </c>
      <c r="C832" s="5" t="s">
        <v>1882</v>
      </c>
      <c r="D832" s="5"/>
      <c r="E832" s="5"/>
      <c r="F832" s="5"/>
      <c r="G832" s="9" t="s">
        <v>1883</v>
      </c>
      <c r="H832" s="5" t="n">
        <f aca="false">(COUNTIF(J832:EC832,"=0")+COUNTIF(J832:EC832,"=1"))</f>
        <v>4</v>
      </c>
      <c r="I832" s="12" t="n">
        <f aca="false">IFERROR(ROUND(10-AVERAGE(J832:EC832)*10,0),0)</f>
        <v>8</v>
      </c>
      <c r="J832" s="11" t="n">
        <v>0</v>
      </c>
      <c r="K832" s="11" t="n">
        <v>0</v>
      </c>
      <c r="L832" s="5"/>
      <c r="M832" s="5"/>
      <c r="N832" s="5"/>
      <c r="O832" s="5"/>
      <c r="P832" s="11" t="n">
        <v>1</v>
      </c>
      <c r="Q832" s="5"/>
      <c r="R832" s="5"/>
      <c r="S832" s="5"/>
      <c r="T832" s="5"/>
      <c r="U832" s="5"/>
      <c r="V832" s="5"/>
      <c r="W832" s="5"/>
      <c r="X832" s="5"/>
      <c r="Y832" s="5"/>
      <c r="Z832" s="11" t="n">
        <v>0</v>
      </c>
      <c r="AA832" s="5"/>
      <c r="AB832" s="5"/>
    </row>
    <row r="833" customFormat="false" ht="15.75" hidden="false" customHeight="false" outlineLevel="0" collapsed="false">
      <c r="A833" s="5" t="s">
        <v>1793</v>
      </c>
      <c r="B833" s="5" t="s">
        <v>1870</v>
      </c>
      <c r="C833" s="5" t="s">
        <v>1884</v>
      </c>
      <c r="D833" s="5" t="s">
        <v>1885</v>
      </c>
      <c r="E833" s="5"/>
      <c r="F833" s="5"/>
      <c r="G833" s="9" t="s">
        <v>1886</v>
      </c>
      <c r="H833" s="5" t="n">
        <f aca="false">(COUNTIF(J833:EC833,"=0")+COUNTIF(J833:EC833,"=1"))</f>
        <v>5</v>
      </c>
      <c r="I833" s="13" t="n">
        <f aca="false">IFERROR(ROUND(10-AVERAGE(J833:EC833)*10,0),0)</f>
        <v>2</v>
      </c>
      <c r="J833" s="11" t="n">
        <v>1</v>
      </c>
      <c r="K833" s="11" t="n">
        <v>1</v>
      </c>
      <c r="L833" s="5"/>
      <c r="M833" s="5"/>
      <c r="N833" s="5"/>
      <c r="O833" s="5"/>
      <c r="P833" s="11" t="n">
        <v>1</v>
      </c>
      <c r="Q833" s="5"/>
      <c r="R833" s="5"/>
      <c r="S833" s="5"/>
      <c r="T833" s="11" t="n">
        <v>1</v>
      </c>
      <c r="U833" s="5"/>
      <c r="V833" s="5"/>
      <c r="W833" s="5"/>
      <c r="X833" s="5"/>
      <c r="Y833" s="5"/>
      <c r="Z833" s="11" t="n">
        <v>0</v>
      </c>
      <c r="AA833" s="5"/>
      <c r="AB833" s="5"/>
    </row>
    <row r="834" customFormat="false" ht="15.75" hidden="false" customHeight="false" outlineLevel="0" collapsed="false">
      <c r="A834" s="5" t="s">
        <v>1793</v>
      </c>
      <c r="B834" s="5" t="s">
        <v>1870</v>
      </c>
      <c r="C834" s="5" t="s">
        <v>1887</v>
      </c>
      <c r="D834" s="5"/>
      <c r="E834" s="5"/>
      <c r="F834" s="5"/>
      <c r="G834" s="9" t="s">
        <v>1888</v>
      </c>
      <c r="H834" s="11" t="n">
        <f aca="false">(COUNTIF(J834:EJ834,"=0")+COUNTIF(J834:EJ834,"=1"))</f>
        <v>5</v>
      </c>
      <c r="I834" s="15" t="n">
        <f aca="false">ROUND(10-AVERAGE(J834:EJ834)*10,0)</f>
        <v>6</v>
      </c>
      <c r="J834" s="11" t="n">
        <v>1</v>
      </c>
      <c r="K834" s="11" t="n">
        <v>0</v>
      </c>
      <c r="L834" s="5"/>
      <c r="M834" s="5"/>
      <c r="N834" s="5"/>
      <c r="O834" s="5"/>
      <c r="P834" s="11" t="n">
        <v>1</v>
      </c>
      <c r="Q834" s="5"/>
      <c r="R834" s="5"/>
      <c r="S834" s="5"/>
      <c r="T834" s="11" t="n">
        <v>0</v>
      </c>
      <c r="U834" s="5"/>
      <c r="V834" s="5"/>
      <c r="W834" s="5"/>
      <c r="X834" s="5"/>
      <c r="Y834" s="5"/>
      <c r="Z834" s="11" t="n">
        <v>0</v>
      </c>
      <c r="AA834" s="5"/>
      <c r="AB834" s="5"/>
      <c r="AC834" s="5"/>
      <c r="AD834" s="5"/>
      <c r="AE834" s="5"/>
      <c r="AF834" s="5"/>
      <c r="AG834" s="5"/>
    </row>
    <row r="835" customFormat="false" ht="15.75" hidden="false" customHeight="false" outlineLevel="0" collapsed="false">
      <c r="A835" s="5" t="s">
        <v>1793</v>
      </c>
      <c r="B835" s="5" t="s">
        <v>1870</v>
      </c>
      <c r="C835" s="5" t="s">
        <v>1889</v>
      </c>
      <c r="D835" s="5"/>
      <c r="E835" s="5"/>
      <c r="F835" s="5"/>
      <c r="G835" s="5"/>
      <c r="H835" s="5" t="n">
        <f aca="false">(COUNTIF(J835:EC835,"=0")+COUNTIF(J835:EC835,"=1"))</f>
        <v>4</v>
      </c>
      <c r="I835" s="21" t="n">
        <f aca="false">IFERROR(ROUND(10-AVERAGE(J835:EC835)*10,0),0)</f>
        <v>3</v>
      </c>
      <c r="J835" s="11" t="n">
        <v>1</v>
      </c>
      <c r="K835" s="11" t="n">
        <v>1</v>
      </c>
      <c r="L835" s="5"/>
      <c r="M835" s="5"/>
      <c r="N835" s="5"/>
      <c r="O835" s="11"/>
      <c r="P835" s="11" t="n">
        <v>1</v>
      </c>
      <c r="Q835" s="11" t="n">
        <v>0</v>
      </c>
      <c r="R835" s="5"/>
      <c r="S835" s="5"/>
      <c r="T835" s="11"/>
      <c r="U835" s="5"/>
      <c r="V835" s="5"/>
      <c r="W835" s="5"/>
      <c r="X835" s="5"/>
      <c r="Y835" s="5"/>
      <c r="Z835" s="5"/>
      <c r="AA835" s="5"/>
      <c r="AB835" s="5"/>
    </row>
    <row r="836" customFormat="false" ht="15.75" hidden="false" customHeight="false" outlineLevel="0" collapsed="false">
      <c r="A836" s="5" t="s">
        <v>1793</v>
      </c>
      <c r="B836" s="5" t="s">
        <v>1870</v>
      </c>
      <c r="C836" s="5" t="s">
        <v>72</v>
      </c>
      <c r="D836" s="5"/>
      <c r="E836" s="5"/>
      <c r="F836" s="5"/>
      <c r="G836" s="9" t="s">
        <v>1890</v>
      </c>
      <c r="H836" s="5" t="n">
        <f aca="false">(COUNTIF(J836:EC836,"=0")+COUNTIF(J836:EC836,"=1"))</f>
        <v>6</v>
      </c>
      <c r="I836" s="21" t="n">
        <f aca="false">IFERROR(ROUND(10-AVERAGE(J836:EC836)*10,0),0)</f>
        <v>3</v>
      </c>
      <c r="J836" s="11" t="n">
        <v>1</v>
      </c>
      <c r="K836" s="11" t="n">
        <v>0</v>
      </c>
      <c r="L836" s="5"/>
      <c r="M836" s="5"/>
      <c r="N836" s="5"/>
      <c r="O836" s="11" t="n">
        <v>0</v>
      </c>
      <c r="P836" s="11" t="n">
        <v>1</v>
      </c>
      <c r="Q836" s="11" t="n">
        <v>1</v>
      </c>
      <c r="R836" s="5"/>
      <c r="S836" s="5"/>
      <c r="T836" s="11" t="n">
        <v>1</v>
      </c>
      <c r="U836" s="5"/>
      <c r="V836" s="5"/>
      <c r="W836" s="5"/>
      <c r="X836" s="5"/>
      <c r="Y836" s="5"/>
      <c r="Z836" s="5"/>
      <c r="AA836" s="5"/>
      <c r="AB836" s="5"/>
    </row>
    <row r="837" customFormat="false" ht="15.75" hidden="false" customHeight="false" outlineLevel="0" collapsed="false">
      <c r="A837" s="5" t="s">
        <v>1793</v>
      </c>
      <c r="B837" s="5" t="s">
        <v>1870</v>
      </c>
      <c r="C837" s="5" t="s">
        <v>1891</v>
      </c>
      <c r="D837" s="5"/>
      <c r="E837" s="5"/>
      <c r="F837" s="5"/>
      <c r="G837" s="5"/>
      <c r="H837" s="5" t="n">
        <f aca="false">(COUNTIF(J837:EC837,"=0")+COUNTIF(J837:EC837,"=1"))</f>
        <v>4</v>
      </c>
      <c r="I837" s="19" t="n">
        <f aca="false">IFERROR(ROUND(10-AVERAGE(J837:EC837)*10,0),0)</f>
        <v>0</v>
      </c>
      <c r="J837" s="11" t="n">
        <v>1</v>
      </c>
      <c r="K837" s="11" t="n">
        <v>1</v>
      </c>
      <c r="L837" s="5"/>
      <c r="M837" s="5"/>
      <c r="N837" s="5"/>
      <c r="O837" s="11"/>
      <c r="P837" s="11" t="n">
        <v>1</v>
      </c>
      <c r="Q837" s="11" t="n">
        <v>1</v>
      </c>
      <c r="R837" s="5"/>
      <c r="S837" s="5"/>
      <c r="T837" s="11"/>
      <c r="U837" s="5"/>
      <c r="V837" s="5"/>
      <c r="W837" s="5"/>
      <c r="X837" s="5"/>
      <c r="Y837" s="5"/>
      <c r="Z837" s="5"/>
      <c r="AA837" s="5"/>
      <c r="AB837" s="5"/>
    </row>
    <row r="838" customFormat="false" ht="15.75" hidden="false" customHeight="false" outlineLevel="0" collapsed="false">
      <c r="A838" s="5" t="s">
        <v>1793</v>
      </c>
      <c r="B838" s="5" t="s">
        <v>1892</v>
      </c>
      <c r="C838" s="5" t="s">
        <v>1838</v>
      </c>
      <c r="D838" s="5"/>
      <c r="E838" s="5"/>
      <c r="F838" s="5"/>
      <c r="G838" s="9" t="s">
        <v>1893</v>
      </c>
      <c r="H838" s="5" t="n">
        <f aca="false">(COUNTIF(J838:EC838,"=0")+COUNTIF(J838:EC838,"=1"))</f>
        <v>6</v>
      </c>
      <c r="I838" s="12" t="n">
        <f aca="false">IFERROR(ROUND(10-AVERAGE(J838:EC838)*10,0),0)</f>
        <v>8</v>
      </c>
      <c r="J838" s="11" t="n">
        <v>1</v>
      </c>
      <c r="K838" s="11" t="n">
        <v>0</v>
      </c>
      <c r="L838" s="5"/>
      <c r="M838" s="5"/>
      <c r="N838" s="5"/>
      <c r="O838" s="11" t="n">
        <v>0</v>
      </c>
      <c r="P838" s="11" t="n">
        <v>0</v>
      </c>
      <c r="Q838" s="11" t="n">
        <v>0</v>
      </c>
      <c r="R838" s="5"/>
      <c r="S838" s="5"/>
      <c r="T838" s="11" t="n">
        <v>0</v>
      </c>
      <c r="U838" s="5"/>
      <c r="V838" s="5"/>
      <c r="W838" s="5"/>
      <c r="X838" s="5"/>
      <c r="Y838" s="5"/>
      <c r="Z838" s="5"/>
      <c r="AA838" s="5"/>
      <c r="AB838" s="5"/>
    </row>
    <row r="839" customFormat="false" ht="15.75" hidden="false" customHeight="false" outlineLevel="0" collapsed="false">
      <c r="A839" s="5" t="s">
        <v>1793</v>
      </c>
      <c r="B839" s="5" t="s">
        <v>1894</v>
      </c>
      <c r="C839" s="5" t="s">
        <v>1895</v>
      </c>
      <c r="D839" s="5"/>
      <c r="E839" s="5"/>
      <c r="F839" s="5"/>
      <c r="G839" s="9" t="s">
        <v>1896</v>
      </c>
      <c r="H839" s="5" t="n">
        <f aca="false">(COUNTIF(J839:EC839,"=0")+COUNTIF(J839:EC839,"=1"))</f>
        <v>6</v>
      </c>
      <c r="I839" s="15" t="n">
        <f aca="false">IFERROR(ROUND(10-AVERAGE(J839:EC839)*10,0),0)</f>
        <v>5</v>
      </c>
      <c r="J839" s="11" t="n">
        <v>1</v>
      </c>
      <c r="K839" s="11" t="n">
        <v>0</v>
      </c>
      <c r="L839" s="5"/>
      <c r="M839" s="5"/>
      <c r="N839" s="5"/>
      <c r="O839" s="5"/>
      <c r="P839" s="11" t="n">
        <v>1</v>
      </c>
      <c r="Q839" s="5" t="n">
        <v>1</v>
      </c>
      <c r="R839" s="5"/>
      <c r="S839" s="5"/>
      <c r="T839" s="5"/>
      <c r="U839" s="5"/>
      <c r="V839" s="5"/>
      <c r="W839" s="5"/>
      <c r="X839" s="5"/>
      <c r="Y839" s="5"/>
      <c r="Z839" s="11" t="n">
        <v>0</v>
      </c>
      <c r="AA839" s="11" t="n">
        <v>0</v>
      </c>
      <c r="AB839" s="5"/>
    </row>
    <row r="840" customFormat="false" ht="15.75" hidden="false" customHeight="false" outlineLevel="0" collapsed="false">
      <c r="A840" s="5" t="s">
        <v>1793</v>
      </c>
      <c r="B840" s="5" t="s">
        <v>1894</v>
      </c>
      <c r="C840" s="5" t="s">
        <v>1838</v>
      </c>
      <c r="D840" s="5"/>
      <c r="E840" s="5"/>
      <c r="F840" s="5"/>
      <c r="G840" s="9" t="s">
        <v>1897</v>
      </c>
      <c r="H840" s="5" t="n">
        <f aca="false">(COUNTIF(J840:EC840,"=0")+COUNTIF(J840:EC840,"=1"))</f>
        <v>6</v>
      </c>
      <c r="I840" s="16" t="n">
        <f aca="false">IFERROR(ROUND(10-AVERAGE(J840:EC840)*10,0),0)</f>
        <v>7</v>
      </c>
      <c r="J840" s="11" t="n">
        <v>1</v>
      </c>
      <c r="K840" s="11" t="n">
        <v>0</v>
      </c>
      <c r="L840" s="5"/>
      <c r="M840" s="5"/>
      <c r="N840" s="5"/>
      <c r="O840" s="11" t="n">
        <v>1</v>
      </c>
      <c r="P840" s="11" t="n">
        <v>0</v>
      </c>
      <c r="Q840" s="11" t="n">
        <v>0</v>
      </c>
      <c r="R840" s="5"/>
      <c r="S840" s="5"/>
      <c r="T840" s="11" t="n">
        <v>0</v>
      </c>
      <c r="U840" s="5"/>
      <c r="V840" s="5"/>
      <c r="W840" s="5"/>
      <c r="X840" s="5"/>
      <c r="Y840" s="5"/>
      <c r="Z840" s="5"/>
      <c r="AA840" s="5"/>
      <c r="AB840" s="5"/>
    </row>
    <row r="841" customFormat="false" ht="15.75" hidden="false" customHeight="false" outlineLevel="0" collapsed="false">
      <c r="A841" s="5" t="s">
        <v>1793</v>
      </c>
      <c r="B841" s="5" t="s">
        <v>1898</v>
      </c>
      <c r="C841" s="5" t="s">
        <v>1899</v>
      </c>
      <c r="D841" s="5"/>
      <c r="E841" s="5"/>
      <c r="F841" s="5"/>
      <c r="G841" s="9" t="s">
        <v>1900</v>
      </c>
      <c r="H841" s="5" t="n">
        <f aca="false">(COUNTIF(J841:EC841,"=0")+COUNTIF(J841:EC841,"=1"))</f>
        <v>7</v>
      </c>
      <c r="I841" s="16" t="n">
        <f aca="false">IFERROR(ROUND(10-AVERAGE(J841:EC841)*10,0),0)</f>
        <v>7</v>
      </c>
      <c r="J841" s="11" t="n">
        <v>0</v>
      </c>
      <c r="K841" s="11" t="n">
        <v>0</v>
      </c>
      <c r="L841" s="5"/>
      <c r="M841" s="5"/>
      <c r="N841" s="5"/>
      <c r="O841" s="11" t="n">
        <v>0</v>
      </c>
      <c r="P841" s="11" t="n">
        <v>1</v>
      </c>
      <c r="Q841" s="11" t="n">
        <v>0</v>
      </c>
      <c r="R841" s="5"/>
      <c r="S841" s="11" t="n">
        <v>0</v>
      </c>
      <c r="T841" s="11" t="n">
        <v>1</v>
      </c>
      <c r="U841" s="5"/>
      <c r="V841" s="5"/>
      <c r="W841" s="5"/>
      <c r="X841" s="5"/>
      <c r="Y841" s="5"/>
      <c r="Z841" s="5"/>
      <c r="AA841" s="5"/>
      <c r="AB841" s="5"/>
    </row>
    <row r="842" customFormat="false" ht="15.75" hidden="false" customHeight="false" outlineLevel="0" collapsed="false">
      <c r="A842" s="5" t="s">
        <v>1793</v>
      </c>
      <c r="B842" s="5" t="s">
        <v>1898</v>
      </c>
      <c r="C842" s="5" t="s">
        <v>1901</v>
      </c>
      <c r="D842" s="5"/>
      <c r="E842" s="5"/>
      <c r="F842" s="5"/>
      <c r="G842" s="9" t="s">
        <v>1902</v>
      </c>
      <c r="H842" s="5" t="n">
        <f aca="false">(COUNTIF(J842:EC842,"=0")+COUNTIF(J842:EC842,"=1"))</f>
        <v>7</v>
      </c>
      <c r="I842" s="17" t="n">
        <f aca="false">IFERROR(ROUND(10-AVERAGE(J842:EC842)*10,0),0)</f>
        <v>9</v>
      </c>
      <c r="J842" s="11" t="n">
        <v>0</v>
      </c>
      <c r="K842" s="11" t="n">
        <v>0</v>
      </c>
      <c r="L842" s="5"/>
      <c r="M842" s="5"/>
      <c r="N842" s="5"/>
      <c r="O842" s="11" t="n">
        <v>0</v>
      </c>
      <c r="P842" s="11" t="n">
        <v>1</v>
      </c>
      <c r="Q842" s="11" t="n">
        <v>0</v>
      </c>
      <c r="R842" s="5"/>
      <c r="S842" s="11" t="n">
        <v>0</v>
      </c>
      <c r="T842" s="11" t="n">
        <v>0</v>
      </c>
      <c r="U842" s="5"/>
      <c r="V842" s="5"/>
      <c r="W842" s="5"/>
      <c r="X842" s="5"/>
      <c r="Y842" s="5"/>
      <c r="Z842" s="5"/>
      <c r="AA842" s="5"/>
      <c r="AB842" s="5"/>
    </row>
    <row r="843" customFormat="false" ht="15.75" hidden="false" customHeight="false" outlineLevel="0" collapsed="false">
      <c r="A843" s="5" t="s">
        <v>1793</v>
      </c>
      <c r="B843" s="5" t="s">
        <v>1898</v>
      </c>
      <c r="C843" s="5" t="s">
        <v>1903</v>
      </c>
      <c r="D843" s="5"/>
      <c r="E843" s="5"/>
      <c r="F843" s="5"/>
      <c r="G843" s="9" t="s">
        <v>1904</v>
      </c>
      <c r="H843" s="5" t="n">
        <f aca="false">(COUNTIF(J843:EC843,"=0")+COUNTIF(J843:EC843,"=1"))</f>
        <v>4</v>
      </c>
      <c r="I843" s="12" t="n">
        <f aca="false">IFERROR(ROUND(10-AVERAGE(J843:EC843)*10,0),0)</f>
        <v>8</v>
      </c>
      <c r="J843" s="11" t="n">
        <v>0</v>
      </c>
      <c r="K843" s="11" t="n">
        <v>0</v>
      </c>
      <c r="L843" s="5"/>
      <c r="M843" s="5"/>
      <c r="N843" s="5"/>
      <c r="O843" s="5"/>
      <c r="P843" s="11" t="n">
        <v>1</v>
      </c>
      <c r="Q843" s="5"/>
      <c r="R843" s="5"/>
      <c r="S843" s="5"/>
      <c r="T843" s="5"/>
      <c r="U843" s="5"/>
      <c r="V843" s="5"/>
      <c r="W843" s="5"/>
      <c r="X843" s="5"/>
      <c r="Y843" s="5"/>
      <c r="Z843" s="11" t="n">
        <v>0</v>
      </c>
      <c r="AA843" s="5"/>
      <c r="AB843" s="5"/>
    </row>
    <row r="844" customFormat="false" ht="15.75" hidden="false" customHeight="false" outlineLevel="0" collapsed="false">
      <c r="A844" s="5" t="s">
        <v>1793</v>
      </c>
      <c r="B844" s="5" t="s">
        <v>1905</v>
      </c>
      <c r="C844" s="5" t="s">
        <v>1906</v>
      </c>
      <c r="D844" s="5" t="s">
        <v>1907</v>
      </c>
      <c r="E844" s="5"/>
      <c r="F844" s="5"/>
      <c r="G844" s="9" t="s">
        <v>1908</v>
      </c>
      <c r="H844" s="5" t="n">
        <f aca="false">(COUNTIF(J844:EC844,"=0")+COUNTIF(J844:EC844,"=1"))</f>
        <v>7</v>
      </c>
      <c r="I844" s="17" t="n">
        <f aca="false">IFERROR(ROUND(10-AVERAGE(J844:EC844)*10,0),0)</f>
        <v>9</v>
      </c>
      <c r="J844" s="11" t="n">
        <v>0</v>
      </c>
      <c r="K844" s="11" t="n">
        <v>0</v>
      </c>
      <c r="L844" s="5"/>
      <c r="M844" s="5"/>
      <c r="N844" s="5"/>
      <c r="O844" s="11" t="n">
        <v>0</v>
      </c>
      <c r="P844" s="11" t="n">
        <v>1</v>
      </c>
      <c r="Q844" s="11" t="n">
        <v>0</v>
      </c>
      <c r="R844" s="5"/>
      <c r="S844" s="11" t="n">
        <v>0</v>
      </c>
      <c r="T844" s="11" t="n">
        <v>0</v>
      </c>
      <c r="U844" s="5"/>
      <c r="V844" s="5"/>
      <c r="W844" s="5"/>
      <c r="X844" s="5"/>
      <c r="Y844" s="5"/>
      <c r="Z844" s="5"/>
      <c r="AA844" s="5"/>
      <c r="AB844" s="5"/>
    </row>
    <row r="845" customFormat="false" ht="15.75" hidden="false" customHeight="false" outlineLevel="0" collapsed="false">
      <c r="A845" s="5" t="s">
        <v>1793</v>
      </c>
      <c r="B845" s="5" t="s">
        <v>1905</v>
      </c>
      <c r="C845" s="5" t="s">
        <v>1909</v>
      </c>
      <c r="D845" s="5"/>
      <c r="E845" s="5"/>
      <c r="F845" s="5"/>
      <c r="G845" s="9" t="s">
        <v>1910</v>
      </c>
      <c r="H845" s="5" t="n">
        <f aca="false">(COUNTIF(J845:EC845,"=0")+COUNTIF(J845:EC845,"=1"))</f>
        <v>7</v>
      </c>
      <c r="I845" s="17" t="n">
        <f aca="false">IFERROR(ROUND(10-AVERAGE(J845:EC845)*10,0),0)</f>
        <v>9</v>
      </c>
      <c r="J845" s="11" t="n">
        <v>0</v>
      </c>
      <c r="K845" s="11" t="n">
        <v>0</v>
      </c>
      <c r="L845" s="5"/>
      <c r="M845" s="5"/>
      <c r="N845" s="5"/>
      <c r="O845" s="11" t="n">
        <v>0</v>
      </c>
      <c r="P845" s="11" t="n">
        <v>1</v>
      </c>
      <c r="Q845" s="11" t="n">
        <v>0</v>
      </c>
      <c r="R845" s="5"/>
      <c r="S845" s="11" t="n">
        <v>0</v>
      </c>
      <c r="T845" s="11" t="n">
        <v>0</v>
      </c>
      <c r="U845" s="5"/>
      <c r="V845" s="5"/>
      <c r="W845" s="5"/>
      <c r="X845" s="5"/>
      <c r="Y845" s="5"/>
      <c r="Z845" s="5"/>
      <c r="AA845" s="5"/>
      <c r="AB845" s="5"/>
    </row>
    <row r="846" customFormat="false" ht="15.75" hidden="false" customHeight="false" outlineLevel="0" collapsed="false">
      <c r="A846" s="5" t="s">
        <v>1793</v>
      </c>
      <c r="B846" s="5" t="s">
        <v>1905</v>
      </c>
      <c r="C846" s="5" t="s">
        <v>1911</v>
      </c>
      <c r="D846" s="5"/>
      <c r="E846" s="5"/>
      <c r="F846" s="5"/>
      <c r="G846" s="9" t="s">
        <v>1912</v>
      </c>
      <c r="H846" s="5" t="n">
        <f aca="false">(COUNTIF(J846:EC846,"=0")+COUNTIF(J846:EC846,"=1"))</f>
        <v>7</v>
      </c>
      <c r="I846" s="17" t="n">
        <f aca="false">IFERROR(ROUND(10-AVERAGE(J846:EC846)*10,0),0)</f>
        <v>9</v>
      </c>
      <c r="J846" s="11" t="n">
        <v>0</v>
      </c>
      <c r="K846" s="11" t="n">
        <v>0</v>
      </c>
      <c r="L846" s="5"/>
      <c r="M846" s="5"/>
      <c r="N846" s="5"/>
      <c r="O846" s="11" t="n">
        <v>0</v>
      </c>
      <c r="P846" s="11" t="n">
        <v>1</v>
      </c>
      <c r="Q846" s="11" t="n">
        <v>0</v>
      </c>
      <c r="R846" s="5"/>
      <c r="S846" s="11" t="n">
        <v>0</v>
      </c>
      <c r="T846" s="11" t="n">
        <v>0</v>
      </c>
      <c r="U846" s="5"/>
      <c r="V846" s="5"/>
      <c r="W846" s="5"/>
      <c r="X846" s="5"/>
      <c r="Y846" s="5"/>
      <c r="Z846" s="5"/>
      <c r="AA846" s="5"/>
      <c r="AB846" s="5"/>
    </row>
    <row r="847" customFormat="false" ht="15.75" hidden="false" customHeight="false" outlineLevel="0" collapsed="false">
      <c r="A847" s="5" t="s">
        <v>1793</v>
      </c>
      <c r="B847" s="5" t="s">
        <v>1913</v>
      </c>
      <c r="C847" s="5" t="s">
        <v>1914</v>
      </c>
      <c r="D847" s="5" t="s">
        <v>1915</v>
      </c>
      <c r="E847" s="5"/>
      <c r="F847" s="5"/>
      <c r="G847" s="9" t="s">
        <v>1916</v>
      </c>
      <c r="H847" s="5" t="n">
        <f aca="false">(COUNTIF(J847:EC847,"=0")+COUNTIF(J847:EC847,"=1"))</f>
        <v>5</v>
      </c>
      <c r="I847" s="15" t="n">
        <f aca="false">IFERROR(ROUND(10-AVERAGE(J847:EC847)*10,0),0)</f>
        <v>6</v>
      </c>
      <c r="J847" s="11" t="n">
        <v>0</v>
      </c>
      <c r="K847" s="11" t="n">
        <v>0</v>
      </c>
      <c r="L847" s="5"/>
      <c r="M847" s="5"/>
      <c r="N847" s="5"/>
      <c r="O847" s="5"/>
      <c r="P847" s="11" t="n">
        <v>1</v>
      </c>
      <c r="Q847" s="11" t="n">
        <v>1</v>
      </c>
      <c r="R847" s="5"/>
      <c r="S847" s="5"/>
      <c r="T847" s="11" t="n">
        <v>0</v>
      </c>
      <c r="U847" s="5"/>
      <c r="V847" s="5"/>
      <c r="W847" s="5"/>
      <c r="X847" s="5"/>
      <c r="Y847" s="5"/>
      <c r="Z847" s="5"/>
      <c r="AA847" s="5"/>
      <c r="AB847" s="5"/>
    </row>
    <row r="848" customFormat="false" ht="15.75" hidden="false" customHeight="false" outlineLevel="0" collapsed="false">
      <c r="A848" s="5" t="s">
        <v>1793</v>
      </c>
      <c r="B848" s="5" t="s">
        <v>1913</v>
      </c>
      <c r="C848" s="5" t="s">
        <v>1917</v>
      </c>
      <c r="D848" s="5"/>
      <c r="E848" s="5"/>
      <c r="F848" s="5"/>
      <c r="G848" s="9" t="s">
        <v>1918</v>
      </c>
      <c r="H848" s="5" t="n">
        <f aca="false">(COUNTIF(J848:EC848,"=0")+COUNTIF(J848:EC848,"=1"))</f>
        <v>5</v>
      </c>
      <c r="I848" s="23" t="n">
        <f aca="false">IFERROR(ROUND(10-AVERAGE(J848:EC848)*10,0),0)</f>
        <v>4</v>
      </c>
      <c r="J848" s="11" t="n">
        <v>0</v>
      </c>
      <c r="K848" s="11" t="n">
        <v>0</v>
      </c>
      <c r="L848" s="5"/>
      <c r="M848" s="5"/>
      <c r="N848" s="5"/>
      <c r="O848" s="5"/>
      <c r="P848" s="11" t="n">
        <v>1</v>
      </c>
      <c r="Q848" s="11" t="n">
        <v>1</v>
      </c>
      <c r="R848" s="5"/>
      <c r="S848" s="5"/>
      <c r="T848" s="11" t="n">
        <v>1</v>
      </c>
      <c r="U848" s="5"/>
      <c r="V848" s="5"/>
      <c r="W848" s="5"/>
      <c r="X848" s="5"/>
      <c r="Y848" s="5"/>
      <c r="Z848" s="5"/>
      <c r="AA848" s="5"/>
      <c r="AB848" s="5"/>
    </row>
    <row r="849" customFormat="false" ht="15.75" hidden="false" customHeight="false" outlineLevel="0" collapsed="false">
      <c r="A849" s="5" t="s">
        <v>1793</v>
      </c>
      <c r="B849" s="5" t="s">
        <v>1919</v>
      </c>
      <c r="C849" s="5" t="s">
        <v>1920</v>
      </c>
      <c r="D849" s="5"/>
      <c r="E849" s="5"/>
      <c r="F849" s="5"/>
      <c r="G849" s="9" t="s">
        <v>1921</v>
      </c>
      <c r="H849" s="5" t="n">
        <f aca="false">(COUNTIF(J849:EC849,"=0")+COUNTIF(J849:EC849,"=1"))</f>
        <v>8</v>
      </c>
      <c r="I849" s="17" t="n">
        <f aca="false">IFERROR(ROUND(10-AVERAGE(J849:EC849)*10,0),0)</f>
        <v>9</v>
      </c>
      <c r="J849" s="11" t="n">
        <v>1</v>
      </c>
      <c r="K849" s="11" t="n">
        <v>0</v>
      </c>
      <c r="L849" s="5"/>
      <c r="M849" s="5"/>
      <c r="N849" s="5"/>
      <c r="O849" s="11" t="n">
        <v>0</v>
      </c>
      <c r="P849" s="11" t="n">
        <v>0</v>
      </c>
      <c r="Q849" s="11" t="n">
        <v>0</v>
      </c>
      <c r="R849" s="5"/>
      <c r="S849" s="11" t="n">
        <v>0</v>
      </c>
      <c r="T849" s="11" t="n">
        <v>0</v>
      </c>
      <c r="U849" s="5"/>
      <c r="V849" s="5"/>
      <c r="W849" s="5" t="n">
        <v>0</v>
      </c>
      <c r="X849" s="5"/>
      <c r="Y849" s="5"/>
      <c r="Z849" s="5"/>
      <c r="AA849" s="5"/>
      <c r="AB849" s="5"/>
    </row>
    <row r="850" customFormat="false" ht="15.75" hidden="false" customHeight="false" outlineLevel="0" collapsed="false">
      <c r="A850" s="5" t="s">
        <v>1793</v>
      </c>
      <c r="B850" s="5" t="s">
        <v>1919</v>
      </c>
      <c r="C850" s="5" t="s">
        <v>1922</v>
      </c>
      <c r="D850" s="5"/>
      <c r="E850" s="5"/>
      <c r="F850" s="5"/>
      <c r="G850" s="9" t="s">
        <v>1923</v>
      </c>
      <c r="H850" s="5" t="n">
        <f aca="false">(COUNTIF(J850:EC850,"=0")+COUNTIF(J850:EC850,"=1"))</f>
        <v>7</v>
      </c>
      <c r="I850" s="17" t="n">
        <f aca="false">IFERROR(ROUND(10-AVERAGE(J850:EC850)*10,0),0)</f>
        <v>9</v>
      </c>
      <c r="J850" s="11" t="n">
        <v>1</v>
      </c>
      <c r="K850" s="11" t="n">
        <v>0</v>
      </c>
      <c r="L850" s="5"/>
      <c r="M850" s="5"/>
      <c r="N850" s="5"/>
      <c r="O850" s="11" t="n">
        <v>0</v>
      </c>
      <c r="P850" s="11" t="n">
        <v>0</v>
      </c>
      <c r="Q850" s="11" t="n">
        <v>0</v>
      </c>
      <c r="R850" s="5"/>
      <c r="S850" s="11" t="n">
        <v>0</v>
      </c>
      <c r="T850" s="11" t="n">
        <v>0</v>
      </c>
      <c r="U850" s="5"/>
      <c r="V850" s="5"/>
      <c r="W850" s="5"/>
      <c r="X850" s="5"/>
      <c r="Y850" s="5"/>
      <c r="Z850" s="5"/>
      <c r="AA850" s="5"/>
      <c r="AB850" s="5"/>
    </row>
    <row r="851" customFormat="false" ht="15.75" hidden="false" customHeight="false" outlineLevel="0" collapsed="false">
      <c r="A851" s="5" t="s">
        <v>1793</v>
      </c>
      <c r="B851" s="5" t="s">
        <v>1919</v>
      </c>
      <c r="C851" s="5" t="s">
        <v>478</v>
      </c>
      <c r="D851" s="5"/>
      <c r="E851" s="5"/>
      <c r="F851" s="5"/>
      <c r="G851" s="9" t="s">
        <v>1924</v>
      </c>
      <c r="H851" s="5" t="n">
        <f aca="false">(COUNTIF(J851:EC851,"=0")+COUNTIF(J851:EC851,"=1"))</f>
        <v>7</v>
      </c>
      <c r="I851" s="17" t="n">
        <f aca="false">IFERROR(ROUND(10-AVERAGE(J851:EC851)*10,0),0)</f>
        <v>9</v>
      </c>
      <c r="J851" s="11" t="n">
        <v>1</v>
      </c>
      <c r="K851" s="11" t="n">
        <v>0</v>
      </c>
      <c r="L851" s="5"/>
      <c r="M851" s="5"/>
      <c r="N851" s="5"/>
      <c r="O851" s="11" t="n">
        <v>0</v>
      </c>
      <c r="P851" s="11" t="n">
        <v>0</v>
      </c>
      <c r="Q851" s="11" t="n">
        <v>0</v>
      </c>
      <c r="R851" s="5"/>
      <c r="S851" s="11" t="n">
        <v>0</v>
      </c>
      <c r="T851" s="11" t="n">
        <v>0</v>
      </c>
      <c r="U851" s="5"/>
      <c r="V851" s="5"/>
      <c r="W851" s="5"/>
      <c r="X851" s="5"/>
      <c r="Y851" s="5"/>
      <c r="Z851" s="5"/>
      <c r="AA851" s="5"/>
      <c r="AB851" s="5"/>
    </row>
    <row r="852" customFormat="false" ht="15.75" hidden="false" customHeight="false" outlineLevel="0" collapsed="false">
      <c r="A852" s="5" t="s">
        <v>1793</v>
      </c>
      <c r="B852" s="5" t="s">
        <v>1925</v>
      </c>
      <c r="C852" s="5" t="s">
        <v>1926</v>
      </c>
      <c r="D852" s="5"/>
      <c r="E852" s="5"/>
      <c r="F852" s="5"/>
      <c r="G852" s="9" t="s">
        <v>1927</v>
      </c>
      <c r="H852" s="5" t="n">
        <f aca="false">(COUNTIF(J852:EC852,"=0")+COUNTIF(J852:EC852,"=1"))</f>
        <v>8</v>
      </c>
      <c r="I852" s="17" t="n">
        <f aca="false">IFERROR(ROUND(10-AVERAGE(J852:EC852)*10,0),0)</f>
        <v>9</v>
      </c>
      <c r="J852" s="11" t="n">
        <v>1</v>
      </c>
      <c r="K852" s="11" t="n">
        <v>0</v>
      </c>
      <c r="L852" s="5"/>
      <c r="M852" s="5"/>
      <c r="N852" s="5"/>
      <c r="O852" s="11" t="n">
        <v>0</v>
      </c>
      <c r="P852" s="11" t="n">
        <v>0</v>
      </c>
      <c r="Q852" s="11" t="n">
        <v>0</v>
      </c>
      <c r="R852" s="5"/>
      <c r="S852" s="11" t="n">
        <v>0</v>
      </c>
      <c r="T852" s="11" t="n">
        <v>0</v>
      </c>
      <c r="U852" s="5"/>
      <c r="V852" s="5"/>
      <c r="W852" s="5"/>
      <c r="X852" s="5"/>
      <c r="Y852" s="5"/>
      <c r="Z852" s="5"/>
      <c r="AA852" s="11" t="n">
        <v>0</v>
      </c>
      <c r="AB852" s="5"/>
    </row>
    <row r="853" customFormat="false" ht="15.75" hidden="false" customHeight="false" outlineLevel="0" collapsed="false">
      <c r="A853" s="5" t="s">
        <v>1793</v>
      </c>
      <c r="B853" s="5" t="s">
        <v>1925</v>
      </c>
      <c r="C853" s="5" t="s">
        <v>1928</v>
      </c>
      <c r="D853" s="5"/>
      <c r="E853" s="5"/>
      <c r="F853" s="5"/>
      <c r="G853" s="9" t="s">
        <v>1929</v>
      </c>
      <c r="H853" s="5" t="n">
        <f aca="false">(COUNTIF(J853:EC853,"=0")+COUNTIF(J853:EC853,"=1"))</f>
        <v>7</v>
      </c>
      <c r="I853" s="17" t="n">
        <f aca="false">IFERROR(ROUND(10-AVERAGE(J853:EC853)*10,0),0)</f>
        <v>9</v>
      </c>
      <c r="J853" s="11" t="n">
        <v>1</v>
      </c>
      <c r="K853" s="11" t="n">
        <v>0</v>
      </c>
      <c r="L853" s="5"/>
      <c r="M853" s="5"/>
      <c r="N853" s="5"/>
      <c r="O853" s="11" t="n">
        <v>0</v>
      </c>
      <c r="P853" s="11" t="n">
        <v>0</v>
      </c>
      <c r="Q853" s="11" t="n">
        <v>0</v>
      </c>
      <c r="R853" s="5"/>
      <c r="S853" s="11" t="n">
        <v>0</v>
      </c>
      <c r="T853" s="11" t="n">
        <v>0</v>
      </c>
      <c r="U853" s="5"/>
      <c r="V853" s="5"/>
      <c r="W853" s="5"/>
      <c r="X853" s="5"/>
      <c r="Y853" s="5"/>
      <c r="Z853" s="5"/>
      <c r="AA853" s="5"/>
      <c r="AB853" s="5"/>
    </row>
    <row r="854" customFormat="false" ht="15.75" hidden="false" customHeight="false" outlineLevel="0" collapsed="false">
      <c r="A854" s="5" t="s">
        <v>1930</v>
      </c>
      <c r="B854" s="5" t="s">
        <v>1931</v>
      </c>
      <c r="C854" s="5" t="s">
        <v>1932</v>
      </c>
      <c r="D854" s="5"/>
      <c r="E854" s="14" t="s">
        <v>1933</v>
      </c>
      <c r="F854" s="5"/>
      <c r="G854" s="5"/>
      <c r="H854" s="5" t="n">
        <f aca="false">(COUNTIF(J854:EC854,"=0")+COUNTIF(J854:EC854,"=1"))</f>
        <v>2</v>
      </c>
      <c r="I854" s="12" t="n">
        <f aca="false">IFERROR(ROUND(10-AVERAGE(J854:EC854)*10,0),0)</f>
        <v>5</v>
      </c>
      <c r="J854" s="5"/>
      <c r="K854" s="5"/>
      <c r="L854" s="5"/>
      <c r="M854" s="5"/>
      <c r="N854" s="5"/>
      <c r="O854" s="5"/>
      <c r="P854" s="5" t="n">
        <v>0</v>
      </c>
      <c r="Q854" s="5"/>
      <c r="R854" s="5"/>
      <c r="S854" s="11" t="n">
        <v>1</v>
      </c>
      <c r="T854" s="5"/>
      <c r="U854" s="5"/>
      <c r="V854" s="5"/>
      <c r="W854" s="5"/>
      <c r="X854" s="5"/>
      <c r="Y854" s="5"/>
      <c r="Z854" s="5"/>
      <c r="AA854" s="5"/>
      <c r="AB854" s="5"/>
    </row>
    <row r="855" customFormat="false" ht="15.75" hidden="false" customHeight="false" outlineLevel="0" collapsed="false">
      <c r="A855" s="5" t="s">
        <v>1930</v>
      </c>
      <c r="B855" s="5" t="s">
        <v>1931</v>
      </c>
      <c r="C855" s="5" t="s">
        <v>1934</v>
      </c>
      <c r="D855" s="5"/>
      <c r="E855" s="14" t="s">
        <v>1935</v>
      </c>
      <c r="F855" s="5"/>
      <c r="G855" s="5"/>
      <c r="H855" s="5" t="n">
        <f aca="false">(COUNTIF(J855:EC855,"=0")+COUNTIF(J855:EC855,"=1"))</f>
        <v>2</v>
      </c>
      <c r="I855" s="20" t="n">
        <f aca="false">IFERROR(ROUND(10-AVERAGE(J855:EC855)*10,0),0)</f>
        <v>5</v>
      </c>
      <c r="J855" s="5"/>
      <c r="K855" s="5"/>
      <c r="L855" s="5"/>
      <c r="M855" s="5"/>
      <c r="N855" s="5"/>
      <c r="O855" s="5"/>
      <c r="P855" s="5" t="n">
        <v>0</v>
      </c>
      <c r="Q855" s="5"/>
      <c r="R855" s="5"/>
      <c r="S855" s="11" t="n">
        <v>1</v>
      </c>
      <c r="T855" s="5"/>
      <c r="U855" s="5"/>
      <c r="V855" s="5"/>
      <c r="W855" s="5"/>
      <c r="X855" s="5"/>
      <c r="Y855" s="5"/>
      <c r="Z855" s="5"/>
      <c r="AA855" s="5"/>
      <c r="AB855" s="5"/>
    </row>
    <row r="856" customFormat="false" ht="15.75" hidden="false" customHeight="false" outlineLevel="0" collapsed="false">
      <c r="A856" s="5" t="s">
        <v>1930</v>
      </c>
      <c r="B856" s="5" t="s">
        <v>1931</v>
      </c>
      <c r="C856" s="5" t="s">
        <v>1936</v>
      </c>
      <c r="D856" s="5"/>
      <c r="E856" s="14" t="s">
        <v>1937</v>
      </c>
      <c r="F856" s="5"/>
      <c r="G856" s="5"/>
      <c r="H856" s="5" t="n">
        <f aca="false">(COUNTIF(J856:EC856,"=0")+COUNTIF(J856:EC856,"=1"))</f>
        <v>2</v>
      </c>
      <c r="I856" s="20" t="n">
        <f aca="false">IFERROR(ROUND(10-AVERAGE(J856:EC856)*10,0),0)</f>
        <v>5</v>
      </c>
      <c r="J856" s="5"/>
      <c r="K856" s="5"/>
      <c r="L856" s="5"/>
      <c r="M856" s="5"/>
      <c r="N856" s="5"/>
      <c r="O856" s="5"/>
      <c r="P856" s="5" t="n">
        <v>0</v>
      </c>
      <c r="Q856" s="5"/>
      <c r="R856" s="5"/>
      <c r="S856" s="11" t="n">
        <v>1</v>
      </c>
      <c r="T856" s="5"/>
      <c r="U856" s="5"/>
      <c r="V856" s="5"/>
      <c r="W856" s="5"/>
      <c r="X856" s="5"/>
      <c r="Y856" s="5"/>
      <c r="Z856" s="5"/>
      <c r="AA856" s="5"/>
      <c r="AB856" s="5"/>
    </row>
    <row r="857" customFormat="false" ht="15.75" hidden="false" customHeight="false" outlineLevel="0" collapsed="false">
      <c r="A857" s="5" t="s">
        <v>1930</v>
      </c>
      <c r="B857" s="5" t="s">
        <v>1931</v>
      </c>
      <c r="C857" s="5" t="s">
        <v>1938</v>
      </c>
      <c r="D857" s="5"/>
      <c r="E857" s="14" t="s">
        <v>1939</v>
      </c>
      <c r="F857" s="5"/>
      <c r="G857" s="5"/>
      <c r="H857" s="5" t="n">
        <f aca="false">(COUNTIF(J857:EC857,"=0")+COUNTIF(J857:EC857,"=1"))</f>
        <v>2</v>
      </c>
      <c r="I857" s="23" t="n">
        <f aca="false">IFERROR(ROUND(10-AVERAGE(J857:EC857)*10,0),0)</f>
        <v>5</v>
      </c>
      <c r="J857" s="5"/>
      <c r="K857" s="5"/>
      <c r="L857" s="5"/>
      <c r="M857" s="5"/>
      <c r="N857" s="5"/>
      <c r="O857" s="5"/>
      <c r="P857" s="5" t="n">
        <v>0</v>
      </c>
      <c r="Q857" s="5"/>
      <c r="R857" s="5"/>
      <c r="S857" s="11" t="n">
        <v>1</v>
      </c>
      <c r="T857" s="5"/>
      <c r="U857" s="5"/>
      <c r="V857" s="5"/>
      <c r="W857" s="5"/>
      <c r="X857" s="5"/>
      <c r="Y857" s="5"/>
      <c r="Z857" s="5"/>
      <c r="AA857" s="5"/>
      <c r="AB857" s="5"/>
    </row>
    <row r="858" customFormat="false" ht="15.75" hidden="false" customHeight="false" outlineLevel="0" collapsed="false">
      <c r="A858" s="5" t="s">
        <v>1930</v>
      </c>
      <c r="B858" s="5" t="s">
        <v>1931</v>
      </c>
      <c r="C858" s="5" t="s">
        <v>1940</v>
      </c>
      <c r="D858" s="5"/>
      <c r="E858" s="14" t="s">
        <v>1941</v>
      </c>
      <c r="F858" s="5"/>
      <c r="G858" s="5"/>
      <c r="H858" s="5" t="n">
        <f aca="false">(COUNTIF(J858:EC858,"=0")+COUNTIF(J858:EC858,"=1"))</f>
        <v>2</v>
      </c>
      <c r="I858" s="12" t="n">
        <f aca="false">IFERROR(ROUND(10-AVERAGE(J858:EC858)*10,0),0)</f>
        <v>5</v>
      </c>
      <c r="J858" s="5"/>
      <c r="K858" s="5"/>
      <c r="L858" s="5"/>
      <c r="M858" s="5"/>
      <c r="N858" s="5"/>
      <c r="O858" s="5"/>
      <c r="P858" s="5" t="n">
        <v>0</v>
      </c>
      <c r="Q858" s="5"/>
      <c r="R858" s="5"/>
      <c r="S858" s="11" t="n">
        <v>1</v>
      </c>
      <c r="T858" s="5"/>
      <c r="U858" s="5"/>
      <c r="V858" s="5"/>
      <c r="W858" s="5"/>
      <c r="X858" s="5"/>
      <c r="Y858" s="5"/>
      <c r="Z858" s="5"/>
      <c r="AA858" s="5"/>
      <c r="AB858" s="5"/>
    </row>
    <row r="859" customFormat="false" ht="15.75" hidden="false" customHeight="false" outlineLevel="0" collapsed="false">
      <c r="A859" s="5" t="s">
        <v>1930</v>
      </c>
      <c r="B859" s="5" t="s">
        <v>1931</v>
      </c>
      <c r="C859" s="5" t="s">
        <v>1318</v>
      </c>
      <c r="D859" s="5"/>
      <c r="E859" s="14" t="s">
        <v>1942</v>
      </c>
      <c r="F859" s="5"/>
      <c r="G859" s="5"/>
      <c r="H859" s="5" t="n">
        <f aca="false">(COUNTIF(J859:EC859,"=0")+COUNTIF(J859:EC859,"=1"))</f>
        <v>2</v>
      </c>
      <c r="I859" s="15" t="n">
        <f aca="false">IFERROR(ROUND(10-AVERAGE(J859:EC859)*10,0),0)</f>
        <v>5</v>
      </c>
      <c r="J859" s="5"/>
      <c r="K859" s="5"/>
      <c r="L859" s="5"/>
      <c r="M859" s="5"/>
      <c r="N859" s="5"/>
      <c r="O859" s="5"/>
      <c r="P859" s="5" t="n">
        <v>0</v>
      </c>
      <c r="Q859" s="5"/>
      <c r="R859" s="5"/>
      <c r="S859" s="11" t="n">
        <v>1</v>
      </c>
      <c r="T859" s="5"/>
      <c r="U859" s="5"/>
      <c r="V859" s="5"/>
      <c r="W859" s="5"/>
      <c r="X859" s="5"/>
      <c r="Y859" s="5"/>
      <c r="Z859" s="5"/>
      <c r="AA859" s="5"/>
      <c r="AB859" s="5"/>
    </row>
    <row r="860" customFormat="false" ht="15.75" hidden="false" customHeight="false" outlineLevel="0" collapsed="false">
      <c r="A860" s="5" t="s">
        <v>1943</v>
      </c>
      <c r="B860" s="5" t="s">
        <v>1944</v>
      </c>
      <c r="C860" s="5" t="s">
        <v>1945</v>
      </c>
      <c r="D860" s="5"/>
      <c r="E860" s="14" t="s">
        <v>1946</v>
      </c>
      <c r="F860" s="5"/>
      <c r="G860" s="5"/>
      <c r="H860" s="5" t="n">
        <f aca="false">(COUNTIF(J860:EC860,"=0")+COUNTIF(J860:EC860,"=1"))</f>
        <v>1</v>
      </c>
      <c r="I860" s="12" t="n">
        <f aca="false">IFERROR(ROUND(10-AVERAGE(J860:EC860)*10,0),0)</f>
        <v>0</v>
      </c>
      <c r="J860" s="5"/>
      <c r="K860" s="5"/>
      <c r="L860" s="5"/>
      <c r="M860" s="5"/>
      <c r="N860" s="5"/>
      <c r="O860" s="5"/>
      <c r="P860" s="5" t="n">
        <v>1</v>
      </c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customFormat="false" ht="15.75" hidden="false" customHeight="false" outlineLevel="0" collapsed="false">
      <c r="A861" s="5" t="s">
        <v>1943</v>
      </c>
      <c r="B861" s="5" t="s">
        <v>1944</v>
      </c>
      <c r="C861" s="5" t="s">
        <v>1947</v>
      </c>
      <c r="E861" s="14" t="s">
        <v>1948</v>
      </c>
      <c r="F861" s="5"/>
      <c r="G861" s="5"/>
      <c r="H861" s="5" t="n">
        <f aca="false">(COUNTIF(J861:EC861,"=0")+COUNTIF(J861:EC861,"=1"))</f>
        <v>1</v>
      </c>
      <c r="I861" s="12" t="n">
        <f aca="false">IFERROR(ROUND(10-AVERAGE(J861:EC861)*10,0),0)</f>
        <v>0</v>
      </c>
      <c r="J861" s="5"/>
      <c r="K861" s="5"/>
      <c r="L861" s="5"/>
      <c r="M861" s="5"/>
      <c r="N861" s="5"/>
      <c r="O861" s="5"/>
      <c r="P861" s="5" t="n">
        <v>1</v>
      </c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customFormat="false" ht="15.75" hidden="false" customHeight="false" outlineLevel="0" collapsed="false">
      <c r="A862" s="5" t="s">
        <v>1943</v>
      </c>
      <c r="B862" s="5" t="s">
        <v>1944</v>
      </c>
      <c r="C862" s="5" t="s">
        <v>1949</v>
      </c>
      <c r="D862" s="5"/>
      <c r="E862" s="14" t="s">
        <v>1950</v>
      </c>
      <c r="F862" s="5"/>
      <c r="G862" s="5"/>
      <c r="H862" s="5" t="n">
        <f aca="false">(COUNTIF(J862:EC862,"=0")+COUNTIF(J862:EC862,"=1"))</f>
        <v>1</v>
      </c>
      <c r="I862" s="12" t="n">
        <f aca="false">IFERROR(ROUND(10-AVERAGE(J862:EC862)*10,0),0)</f>
        <v>0</v>
      </c>
      <c r="J862" s="5"/>
      <c r="K862" s="5"/>
      <c r="L862" s="5"/>
      <c r="M862" s="5"/>
      <c r="N862" s="5"/>
      <c r="O862" s="5"/>
      <c r="P862" s="5" t="n">
        <v>1</v>
      </c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customFormat="false" ht="15.75" hidden="false" customHeight="false" outlineLevel="0" collapsed="false">
      <c r="A863" s="5" t="s">
        <v>1943</v>
      </c>
      <c r="B863" s="5" t="s">
        <v>1951</v>
      </c>
      <c r="C863" s="5" t="s">
        <v>1952</v>
      </c>
      <c r="D863" s="5"/>
      <c r="E863" s="5"/>
      <c r="F863" s="5"/>
      <c r="G863" s="5"/>
      <c r="H863" s="5" t="n">
        <f aca="false">(COUNTIF(J863:EC863,"=0")+COUNTIF(J863:EC863,"=1"))</f>
        <v>4</v>
      </c>
      <c r="I863" s="10" t="n">
        <f aca="false">IFERROR(ROUND(10-AVERAGE(J863:EC863)*10,0),0)</f>
        <v>8</v>
      </c>
      <c r="J863" s="5" t="n">
        <v>1</v>
      </c>
      <c r="K863" s="11" t="n">
        <v>0</v>
      </c>
      <c r="L863" s="5"/>
      <c r="M863" s="5"/>
      <c r="N863" s="5"/>
      <c r="O863" s="5"/>
      <c r="P863" s="11" t="n">
        <v>0</v>
      </c>
      <c r="Q863" s="5"/>
      <c r="R863" s="5"/>
      <c r="S863" s="5"/>
      <c r="T863" s="5"/>
      <c r="U863" s="5"/>
      <c r="V863" s="5"/>
      <c r="W863" s="5"/>
      <c r="X863" s="5"/>
      <c r="Y863" s="5"/>
      <c r="Z863" s="11" t="n">
        <v>0</v>
      </c>
      <c r="AA863" s="5"/>
      <c r="AB863" s="5"/>
    </row>
    <row r="864" customFormat="false" ht="15.75" hidden="false" customHeight="false" outlineLevel="0" collapsed="false">
      <c r="A864" s="5" t="s">
        <v>1943</v>
      </c>
      <c r="B864" s="5" t="s">
        <v>1953</v>
      </c>
      <c r="C864" s="5" t="s">
        <v>1954</v>
      </c>
      <c r="D864" s="5"/>
      <c r="E864" s="5"/>
      <c r="F864" s="5"/>
      <c r="G864" s="5"/>
      <c r="H864" s="5" t="n">
        <f aca="false">(COUNTIF(J864:EC864,"=0")+COUNTIF(J864:EC864,"=1"))</f>
        <v>4</v>
      </c>
      <c r="I864" s="16" t="n">
        <f aca="false">IFERROR(ROUND(10-AVERAGE(J864:EC864)*10,0),0)</f>
        <v>8</v>
      </c>
      <c r="J864" s="5" t="n">
        <v>0</v>
      </c>
      <c r="K864" s="11" t="n">
        <v>0</v>
      </c>
      <c r="L864" s="5"/>
      <c r="M864" s="5"/>
      <c r="N864" s="5"/>
      <c r="O864" s="5"/>
      <c r="P864" s="11" t="n">
        <v>1</v>
      </c>
      <c r="Q864" s="5"/>
      <c r="R864" s="5"/>
      <c r="S864" s="5"/>
      <c r="T864" s="5"/>
      <c r="U864" s="5"/>
      <c r="V864" s="5"/>
      <c r="W864" s="5"/>
      <c r="X864" s="5"/>
      <c r="Y864" s="5"/>
      <c r="Z864" s="11" t="n">
        <v>0</v>
      </c>
      <c r="AA864" s="5"/>
      <c r="AB864" s="5"/>
    </row>
    <row r="865" customFormat="false" ht="15.75" hidden="false" customHeight="false" outlineLevel="0" collapsed="false">
      <c r="A865" s="5" t="s">
        <v>1943</v>
      </c>
      <c r="B865" s="5" t="s">
        <v>1953</v>
      </c>
      <c r="C865" s="5" t="s">
        <v>1949</v>
      </c>
      <c r="D865" s="5"/>
      <c r="E865" s="5"/>
      <c r="F865" s="5"/>
      <c r="G865" s="9" t="s">
        <v>1955</v>
      </c>
      <c r="H865" s="5" t="n">
        <f aca="false">(COUNTIF(J865:EC865,"=0")+COUNTIF(J865:EC865,"=1"))</f>
        <v>4</v>
      </c>
      <c r="I865" s="12" t="n">
        <f aca="false">IFERROR(ROUND(10-AVERAGE(J865:EC865)*10,0),0)</f>
        <v>8</v>
      </c>
      <c r="J865" s="11" t="n">
        <v>0</v>
      </c>
      <c r="K865" s="11" t="n">
        <v>0</v>
      </c>
      <c r="L865" s="5"/>
      <c r="M865" s="5"/>
      <c r="N865" s="5"/>
      <c r="O865" s="5"/>
      <c r="P865" s="11" t="n">
        <v>1</v>
      </c>
      <c r="Q865" s="5"/>
      <c r="R865" s="5"/>
      <c r="S865" s="5"/>
      <c r="T865" s="5"/>
      <c r="U865" s="5"/>
      <c r="V865" s="5"/>
      <c r="W865" s="5"/>
      <c r="X865" s="5"/>
      <c r="Y865" s="5"/>
      <c r="Z865" s="11" t="n">
        <v>0</v>
      </c>
      <c r="AA865" s="5"/>
      <c r="AB865" s="5"/>
    </row>
    <row r="866" customFormat="false" ht="15.75" hidden="false" customHeight="false" outlineLevel="0" collapsed="false">
      <c r="A866" s="5" t="s">
        <v>1943</v>
      </c>
      <c r="B866" s="5" t="s">
        <v>1956</v>
      </c>
      <c r="C866" s="5" t="s">
        <v>478</v>
      </c>
      <c r="D866" s="5"/>
      <c r="E866" s="5"/>
      <c r="F866" s="5"/>
      <c r="G866" s="5"/>
      <c r="H866" s="5" t="n">
        <f aca="false">(COUNTIF(J866:EC866,"=0")+COUNTIF(J866:EC866,"=1"))</f>
        <v>4</v>
      </c>
      <c r="I866" s="10" t="n">
        <f aca="false">IFERROR(ROUND(10-AVERAGE(J866:EC866)*10,0),0)</f>
        <v>8</v>
      </c>
      <c r="J866" s="5" t="n">
        <v>1</v>
      </c>
      <c r="K866" s="11" t="n">
        <v>0</v>
      </c>
      <c r="L866" s="5"/>
      <c r="M866" s="5"/>
      <c r="N866" s="5"/>
      <c r="O866" s="5"/>
      <c r="P866" s="11" t="n">
        <v>0</v>
      </c>
      <c r="Q866" s="5"/>
      <c r="R866" s="5"/>
      <c r="S866" s="5"/>
      <c r="T866" s="5"/>
      <c r="U866" s="5"/>
      <c r="V866" s="5"/>
      <c r="W866" s="5"/>
      <c r="X866" s="5"/>
      <c r="Y866" s="5"/>
      <c r="Z866" s="11" t="n">
        <v>0</v>
      </c>
      <c r="AA866" s="5"/>
      <c r="AB866" s="5"/>
    </row>
    <row r="867" customFormat="false" ht="15.75" hidden="false" customHeight="false" outlineLevel="0" collapsed="false">
      <c r="A867" s="5" t="s">
        <v>1957</v>
      </c>
      <c r="B867" s="5" t="s">
        <v>1958</v>
      </c>
      <c r="C867" s="5" t="s">
        <v>1361</v>
      </c>
      <c r="D867" s="5"/>
      <c r="E867" s="14" t="s">
        <v>1959</v>
      </c>
      <c r="F867" s="5"/>
      <c r="G867" s="5"/>
      <c r="H867" s="5" t="n">
        <f aca="false">(COUNTIF(J867:EC867,"=0")+COUNTIF(J867:EC867,"=1"))</f>
        <v>2</v>
      </c>
      <c r="I867" s="15" t="n">
        <f aca="false">IFERROR(ROUND(10-AVERAGE(J867:EC867)*10,0),0)</f>
        <v>5</v>
      </c>
      <c r="J867" s="5"/>
      <c r="K867" s="5"/>
      <c r="L867" s="5"/>
      <c r="M867" s="5"/>
      <c r="N867" s="5"/>
      <c r="O867" s="5"/>
      <c r="P867" s="5" t="n">
        <v>0</v>
      </c>
      <c r="Q867" s="5"/>
      <c r="R867" s="5"/>
      <c r="S867" s="5" t="n">
        <v>1</v>
      </c>
      <c r="T867" s="5"/>
      <c r="U867" s="5"/>
      <c r="V867" s="5"/>
      <c r="W867" s="5"/>
      <c r="X867" s="5"/>
      <c r="Y867" s="5"/>
      <c r="Z867" s="5"/>
      <c r="AA867" s="5"/>
      <c r="AB867" s="5"/>
    </row>
    <row r="868" customFormat="false" ht="15.75" hidden="false" customHeight="false" outlineLevel="0" collapsed="false">
      <c r="A868" s="5" t="s">
        <v>1957</v>
      </c>
      <c r="B868" s="5" t="s">
        <v>1958</v>
      </c>
      <c r="C868" s="5" t="s">
        <v>1960</v>
      </c>
      <c r="D868" s="5"/>
      <c r="E868" s="14" t="s">
        <v>1961</v>
      </c>
      <c r="F868" s="5"/>
      <c r="G868" s="5"/>
      <c r="H868" s="5" t="n">
        <f aca="false">(COUNTIF(J868:EC868,"=0")+COUNTIF(J868:EC868,"=1"))</f>
        <v>2</v>
      </c>
      <c r="I868" s="15" t="n">
        <f aca="false">IFERROR(ROUND(10-AVERAGE(J868:EC868)*10,0),0)</f>
        <v>5</v>
      </c>
      <c r="J868" s="5"/>
      <c r="K868" s="5"/>
      <c r="L868" s="5"/>
      <c r="M868" s="5"/>
      <c r="N868" s="5"/>
      <c r="O868" s="5"/>
      <c r="P868" s="5" t="n">
        <v>0</v>
      </c>
      <c r="Q868" s="5"/>
      <c r="R868" s="5"/>
      <c r="S868" s="11" t="n">
        <v>1</v>
      </c>
      <c r="T868" s="5"/>
      <c r="U868" s="5"/>
      <c r="V868" s="5"/>
      <c r="W868" s="5"/>
      <c r="X868" s="5"/>
      <c r="Y868" s="5"/>
      <c r="Z868" s="5"/>
      <c r="AA868" s="5"/>
      <c r="AB868" s="5"/>
    </row>
    <row r="869" customFormat="false" ht="15.75" hidden="false" customHeight="false" outlineLevel="0" collapsed="false">
      <c r="A869" s="5" t="s">
        <v>1957</v>
      </c>
      <c r="B869" s="5" t="s">
        <v>1958</v>
      </c>
      <c r="C869" s="5" t="s">
        <v>1962</v>
      </c>
      <c r="D869" s="5"/>
      <c r="E869" s="14" t="s">
        <v>1963</v>
      </c>
      <c r="F869" s="5"/>
      <c r="G869" s="5"/>
      <c r="H869" s="5" t="n">
        <f aca="false">(COUNTIF(J869:EC869,"=0")+COUNTIF(J869:EC869,"=1"))</f>
        <v>2</v>
      </c>
      <c r="I869" s="15" t="n">
        <f aca="false">IFERROR(ROUND(10-AVERAGE(J869:EC869)*10,0),0)</f>
        <v>5</v>
      </c>
      <c r="J869" s="5"/>
      <c r="K869" s="5"/>
      <c r="L869" s="5"/>
      <c r="M869" s="5"/>
      <c r="N869" s="5"/>
      <c r="O869" s="5"/>
      <c r="P869" s="5" t="n">
        <v>0</v>
      </c>
      <c r="Q869" s="5"/>
      <c r="R869" s="5"/>
      <c r="S869" s="11" t="n">
        <v>1</v>
      </c>
      <c r="T869" s="5"/>
      <c r="U869" s="5"/>
      <c r="V869" s="5"/>
      <c r="W869" s="5"/>
      <c r="X869" s="5"/>
      <c r="Y869" s="5"/>
      <c r="Z869" s="5"/>
      <c r="AA869" s="5"/>
      <c r="AB869" s="5"/>
    </row>
    <row r="870" customFormat="false" ht="15.75" hidden="false" customHeight="false" outlineLevel="0" collapsed="false">
      <c r="A870" s="5" t="s">
        <v>1957</v>
      </c>
      <c r="B870" s="5" t="s">
        <v>1958</v>
      </c>
      <c r="C870" s="5" t="s">
        <v>1964</v>
      </c>
      <c r="D870" s="5"/>
      <c r="E870" s="14" t="s">
        <v>1965</v>
      </c>
      <c r="F870" s="5"/>
      <c r="G870" s="5"/>
      <c r="H870" s="5" t="n">
        <f aca="false">(COUNTIF(J870:EC870,"=0")+COUNTIF(J870:EC870,"=1"))</f>
        <v>2</v>
      </c>
      <c r="I870" s="15" t="n">
        <f aca="false">IFERROR(ROUND(10-AVERAGE(J870:EC870)*10,0),0)</f>
        <v>5</v>
      </c>
      <c r="J870" s="5"/>
      <c r="K870" s="5"/>
      <c r="L870" s="5"/>
      <c r="M870" s="5"/>
      <c r="N870" s="5"/>
      <c r="O870" s="5"/>
      <c r="P870" s="5" t="n">
        <v>0</v>
      </c>
      <c r="Q870" s="5"/>
      <c r="R870" s="5"/>
      <c r="S870" s="11" t="n">
        <v>1</v>
      </c>
      <c r="T870" s="5"/>
      <c r="U870" s="5"/>
      <c r="V870" s="5"/>
      <c r="W870" s="5"/>
      <c r="X870" s="5"/>
      <c r="Y870" s="5"/>
      <c r="Z870" s="5"/>
      <c r="AA870" s="5"/>
      <c r="AB870" s="5"/>
    </row>
    <row r="871" customFormat="false" ht="15.75" hidden="false" customHeight="false" outlineLevel="0" collapsed="false">
      <c r="A871" s="5" t="s">
        <v>1957</v>
      </c>
      <c r="B871" s="5" t="s">
        <v>1958</v>
      </c>
      <c r="C871" s="5" t="s">
        <v>1966</v>
      </c>
      <c r="D871" s="5"/>
      <c r="E871" s="14" t="s">
        <v>1967</v>
      </c>
      <c r="F871" s="5"/>
      <c r="G871" s="5"/>
      <c r="H871" s="5" t="n">
        <f aca="false">(COUNTIF(J871:EC871,"=0")+COUNTIF(J871:EC871,"=1"))</f>
        <v>2</v>
      </c>
      <c r="I871" s="15" t="n">
        <f aca="false">IFERROR(ROUND(10-AVERAGE(J871:EC871)*10,0),0)</f>
        <v>5</v>
      </c>
      <c r="J871" s="5"/>
      <c r="K871" s="5"/>
      <c r="L871" s="5"/>
      <c r="M871" s="5"/>
      <c r="N871" s="5"/>
      <c r="O871" s="5"/>
      <c r="P871" s="5" t="n">
        <v>0</v>
      </c>
      <c r="Q871" s="5"/>
      <c r="R871" s="5"/>
      <c r="S871" s="11" t="n">
        <v>1</v>
      </c>
      <c r="T871" s="5"/>
      <c r="U871" s="5"/>
      <c r="V871" s="5"/>
      <c r="W871" s="5"/>
      <c r="X871" s="5"/>
      <c r="Y871" s="5"/>
      <c r="Z871" s="5"/>
      <c r="AA871" s="5"/>
      <c r="AB871" s="5"/>
    </row>
    <row r="872" customFormat="false" ht="15.75" hidden="false" customHeight="false" outlineLevel="0" collapsed="false">
      <c r="A872" s="5" t="s">
        <v>1968</v>
      </c>
      <c r="B872" s="5" t="s">
        <v>1968</v>
      </c>
      <c r="C872" s="5" t="s">
        <v>1969</v>
      </c>
      <c r="D872" s="5"/>
      <c r="E872" s="5"/>
      <c r="F872" s="5"/>
      <c r="G872" s="9" t="s">
        <v>1970</v>
      </c>
      <c r="H872" s="5" t="n">
        <f aca="false">(COUNTIF(J872:EC872,"=0")+COUNTIF(J872:EC872,"=1"))</f>
        <v>8</v>
      </c>
      <c r="I872" s="23" t="n">
        <f aca="false">IFERROR(ROUND(10-AVERAGE(J872:EC872)*10,0),0)</f>
        <v>4</v>
      </c>
      <c r="J872" s="11" t="n">
        <v>0</v>
      </c>
      <c r="K872" s="11" t="n">
        <v>1</v>
      </c>
      <c r="L872" s="11" t="n">
        <v>1</v>
      </c>
      <c r="M872" s="5"/>
      <c r="N872" s="5"/>
      <c r="O872" s="11" t="n">
        <v>1</v>
      </c>
      <c r="P872" s="11" t="n">
        <v>1</v>
      </c>
      <c r="Q872" s="11" t="n">
        <v>1</v>
      </c>
      <c r="R872" s="5"/>
      <c r="S872" s="11" t="n">
        <v>0</v>
      </c>
      <c r="T872" s="11" t="n">
        <v>0</v>
      </c>
      <c r="U872" s="5"/>
      <c r="V872" s="5"/>
      <c r="W872" s="5"/>
      <c r="X872" s="5"/>
      <c r="Y872" s="5"/>
      <c r="Z872" s="5"/>
      <c r="AA872" s="5"/>
      <c r="AB872" s="5"/>
    </row>
    <row r="873" customFormat="false" ht="15.75" hidden="false" customHeight="false" outlineLevel="0" collapsed="false">
      <c r="A873" s="5" t="s">
        <v>1968</v>
      </c>
      <c r="B873" s="5" t="s">
        <v>1971</v>
      </c>
      <c r="C873" s="5" t="s">
        <v>1972</v>
      </c>
      <c r="D873" s="5"/>
      <c r="E873" s="5"/>
      <c r="F873" s="5"/>
      <c r="G873" s="9" t="s">
        <v>1973</v>
      </c>
      <c r="H873" s="5" t="n">
        <f aca="false">(COUNTIF(J873:EC873,"=0")+COUNTIF(J873:EC873,"=1"))</f>
        <v>2</v>
      </c>
      <c r="I873" s="19" t="n">
        <f aca="false">IFERROR(ROUND(10-AVERAGE(J873:EC873)*10,0),0)</f>
        <v>5</v>
      </c>
      <c r="J873" s="11"/>
      <c r="K873" s="11"/>
      <c r="L873" s="11" t="n">
        <v>1</v>
      </c>
      <c r="M873" s="5"/>
      <c r="N873" s="5"/>
      <c r="O873" s="11"/>
      <c r="P873" s="11" t="n">
        <v>0</v>
      </c>
      <c r="Q873" s="11"/>
      <c r="R873" s="5"/>
      <c r="S873" s="11"/>
      <c r="T873" s="11"/>
      <c r="U873" s="5"/>
      <c r="V873" s="5"/>
      <c r="W873" s="5"/>
      <c r="X873" s="5"/>
      <c r="Y873" s="5"/>
      <c r="Z873" s="5"/>
      <c r="AA873" s="5"/>
      <c r="AB873" s="5"/>
    </row>
    <row r="874" customFormat="false" ht="15.75" hidden="false" customHeight="false" outlineLevel="0" collapsed="false">
      <c r="A874" s="5" t="s">
        <v>1968</v>
      </c>
      <c r="B874" s="5" t="s">
        <v>1971</v>
      </c>
      <c r="C874" s="5" t="s">
        <v>1974</v>
      </c>
      <c r="D874" s="5"/>
      <c r="E874" s="5"/>
      <c r="F874" s="5"/>
      <c r="G874" s="9" t="s">
        <v>1975</v>
      </c>
      <c r="H874" s="5" t="n">
        <f aca="false">(COUNTIF(J874:EC874,"=0")+COUNTIF(J874:EC874,"=1"))</f>
        <v>10</v>
      </c>
      <c r="I874" s="15" t="n">
        <f aca="false">IFERROR(ROUND(10-AVERAGE(J874:EC874)*10,0),0)</f>
        <v>7</v>
      </c>
      <c r="J874" s="11" t="n">
        <v>0</v>
      </c>
      <c r="K874" s="11" t="n">
        <v>0</v>
      </c>
      <c r="L874" s="11" t="n">
        <v>1</v>
      </c>
      <c r="M874" s="5"/>
      <c r="N874" s="5"/>
      <c r="O874" s="11" t="n">
        <v>0</v>
      </c>
      <c r="P874" s="11" t="n">
        <v>1</v>
      </c>
      <c r="Q874" s="11" t="n">
        <v>1</v>
      </c>
      <c r="R874" s="5"/>
      <c r="S874" s="11" t="n">
        <v>0</v>
      </c>
      <c r="T874" s="11" t="n">
        <v>0</v>
      </c>
      <c r="U874" s="5"/>
      <c r="V874" s="5"/>
      <c r="W874" s="5" t="n">
        <v>0</v>
      </c>
      <c r="X874" s="5"/>
      <c r="Y874" s="5"/>
      <c r="Z874" s="5"/>
      <c r="AA874" s="5"/>
      <c r="AB874" s="5"/>
      <c r="AF874" s="5" t="n">
        <v>0</v>
      </c>
    </row>
    <row r="875" customFormat="false" ht="15.75" hidden="false" customHeight="false" outlineLevel="0" collapsed="false">
      <c r="A875" s="5" t="s">
        <v>1968</v>
      </c>
      <c r="B875" s="5" t="s">
        <v>1971</v>
      </c>
      <c r="C875" s="5" t="s">
        <v>1976</v>
      </c>
      <c r="D875" s="5"/>
      <c r="E875" s="5"/>
      <c r="F875" s="5"/>
      <c r="G875" s="9" t="s">
        <v>1977</v>
      </c>
      <c r="H875" s="5" t="n">
        <f aca="false">(COUNTIF(J875:EC875,"=0")+COUNTIF(J875:EC875,"=1"))</f>
        <v>2</v>
      </c>
      <c r="I875" s="19" t="n">
        <f aca="false">IFERROR(ROUND(10-AVERAGE(J875:EC875)*10,0),0)</f>
        <v>0</v>
      </c>
      <c r="J875" s="11"/>
      <c r="K875" s="11"/>
      <c r="L875" s="11" t="n">
        <v>1</v>
      </c>
      <c r="M875" s="5"/>
      <c r="N875" s="5"/>
      <c r="O875" s="11"/>
      <c r="P875" s="11" t="n">
        <v>1</v>
      </c>
      <c r="Q875" s="11"/>
      <c r="R875" s="5"/>
      <c r="S875" s="11"/>
      <c r="T875" s="11"/>
      <c r="U875" s="5"/>
      <c r="V875" s="5"/>
      <c r="W875" s="5"/>
      <c r="X875" s="5"/>
      <c r="Y875" s="5"/>
      <c r="Z875" s="5"/>
      <c r="AA875" s="5"/>
      <c r="AB875" s="5"/>
    </row>
    <row r="876" customFormat="false" ht="15.75" hidden="false" customHeight="false" outlineLevel="0" collapsed="false">
      <c r="A876" s="5" t="s">
        <v>1968</v>
      </c>
      <c r="B876" s="5" t="s">
        <v>1971</v>
      </c>
      <c r="C876" s="5" t="s">
        <v>1978</v>
      </c>
      <c r="D876" s="5"/>
      <c r="E876" s="5"/>
      <c r="F876" s="5"/>
      <c r="G876" s="9" t="s">
        <v>1979</v>
      </c>
      <c r="H876" s="5" t="n">
        <f aca="false">(COUNTIF(J876:EC876,"=0")+COUNTIF(J876:EC876,"=1"))</f>
        <v>8</v>
      </c>
      <c r="I876" s="19" t="n">
        <f aca="false">IFERROR(ROUND(10-AVERAGE(J876:EC876)*10,0),0)</f>
        <v>5</v>
      </c>
      <c r="J876" s="11" t="n">
        <v>0</v>
      </c>
      <c r="K876" s="11" t="n">
        <v>1</v>
      </c>
      <c r="L876" s="11" t="n">
        <v>1</v>
      </c>
      <c r="M876" s="5"/>
      <c r="N876" s="5"/>
      <c r="O876" s="11" t="n">
        <v>0</v>
      </c>
      <c r="P876" s="11" t="n">
        <v>1</v>
      </c>
      <c r="Q876" s="11" t="n">
        <v>1</v>
      </c>
      <c r="R876" s="5"/>
      <c r="S876" s="11" t="n">
        <v>0</v>
      </c>
      <c r="T876" s="11" t="n">
        <v>0</v>
      </c>
      <c r="U876" s="5"/>
      <c r="V876" s="5"/>
      <c r="W876" s="5"/>
      <c r="X876" s="5"/>
      <c r="Y876" s="5"/>
      <c r="Z876" s="5"/>
      <c r="AA876" s="5"/>
      <c r="AB876" s="5"/>
    </row>
    <row r="877" customFormat="false" ht="15.75" hidden="false" customHeight="false" outlineLevel="0" collapsed="false">
      <c r="A877" s="5" t="s">
        <v>1980</v>
      </c>
      <c r="B877" s="5" t="s">
        <v>1980</v>
      </c>
      <c r="C877" s="5" t="s">
        <v>1981</v>
      </c>
      <c r="D877" s="5"/>
      <c r="E877" s="5"/>
      <c r="F877" s="5"/>
      <c r="G877" s="9" t="s">
        <v>1982</v>
      </c>
      <c r="H877" s="5" t="n">
        <f aca="false">(COUNTIF(J877:EC877,"=0")+COUNTIF(J877:EC877,"=1"))</f>
        <v>10</v>
      </c>
      <c r="I877" s="16" t="n">
        <f aca="false">IFERROR(ROUND(10-AVERAGE(J877:EC877)*10,0),0)</f>
        <v>8</v>
      </c>
      <c r="J877" s="11" t="n">
        <v>0</v>
      </c>
      <c r="K877" s="11" t="n">
        <v>0</v>
      </c>
      <c r="L877" s="5"/>
      <c r="M877" s="5"/>
      <c r="N877" s="5"/>
      <c r="O877" s="11" t="n">
        <v>0</v>
      </c>
      <c r="P877" s="11" t="n">
        <v>1</v>
      </c>
      <c r="Q877" s="11" t="n">
        <v>1</v>
      </c>
      <c r="R877" s="5"/>
      <c r="S877" s="11" t="n">
        <v>0</v>
      </c>
      <c r="T877" s="11" t="n">
        <v>0</v>
      </c>
      <c r="U877" s="5"/>
      <c r="V877" s="5"/>
      <c r="W877" s="5" t="n">
        <v>0</v>
      </c>
      <c r="X877" s="5"/>
      <c r="Y877" s="5"/>
      <c r="Z877" s="5"/>
      <c r="AA877" s="5"/>
      <c r="AB877" s="5"/>
      <c r="AC877" s="5" t="n">
        <v>0</v>
      </c>
      <c r="AF877" s="5" t="n">
        <v>0</v>
      </c>
    </row>
    <row r="878" customFormat="false" ht="15.75" hidden="false" customHeight="false" outlineLevel="0" collapsed="false">
      <c r="A878" s="5" t="s">
        <v>1983</v>
      </c>
      <c r="B878" s="5" t="s">
        <v>1984</v>
      </c>
      <c r="C878" s="5" t="s">
        <v>87</v>
      </c>
      <c r="D878" s="5"/>
      <c r="E878" s="5"/>
      <c r="F878" s="5"/>
      <c r="G878" s="9" t="s">
        <v>1985</v>
      </c>
      <c r="H878" s="5" t="n">
        <f aca="false">(COUNTIF(J878:EC878,"=0")+COUNTIF(J878:EC878,"=1"))</f>
        <v>6</v>
      </c>
      <c r="I878" s="12" t="n">
        <f aca="false">IFERROR(ROUND(10-AVERAGE(J878:EC878)*10,0),0)</f>
        <v>8</v>
      </c>
      <c r="J878" s="11" t="n">
        <v>0</v>
      </c>
      <c r="K878" s="11" t="n">
        <v>0</v>
      </c>
      <c r="L878" s="5"/>
      <c r="M878" s="5"/>
      <c r="N878" s="5"/>
      <c r="O878" s="5"/>
      <c r="P878" s="11" t="n">
        <v>1</v>
      </c>
      <c r="Q878" s="11" t="n">
        <v>0</v>
      </c>
      <c r="R878" s="5"/>
      <c r="S878" s="5"/>
      <c r="T878" s="11" t="n">
        <v>0</v>
      </c>
      <c r="U878" s="5"/>
      <c r="V878" s="5"/>
      <c r="W878" s="5" t="n">
        <v>0</v>
      </c>
      <c r="X878" s="5"/>
      <c r="Y878" s="5"/>
      <c r="Z878" s="5"/>
      <c r="AA878" s="5"/>
      <c r="AB878" s="5"/>
    </row>
    <row r="879" customFormat="false" ht="15.75" hidden="false" customHeight="false" outlineLevel="0" collapsed="false">
      <c r="A879" s="5" t="s">
        <v>1986</v>
      </c>
      <c r="B879" s="5" t="s">
        <v>1987</v>
      </c>
      <c r="C879" s="5" t="s">
        <v>1988</v>
      </c>
      <c r="D879" s="5"/>
      <c r="E879" s="5"/>
      <c r="F879" s="5"/>
      <c r="G879" s="9" t="s">
        <v>1989</v>
      </c>
      <c r="H879" s="5" t="n">
        <f aca="false">(COUNTIF(J879:EC879,"=0")+COUNTIF(J879:EC879,"=1"))</f>
        <v>7</v>
      </c>
      <c r="I879" s="12" t="n">
        <f aca="false">IFERROR(ROUND(10-AVERAGE(J879:EC879)*10,0),0)</f>
        <v>9</v>
      </c>
      <c r="J879" s="11" t="n">
        <v>0</v>
      </c>
      <c r="K879" s="11" t="n">
        <v>0</v>
      </c>
      <c r="L879" s="5"/>
      <c r="M879" s="5"/>
      <c r="N879" s="5"/>
      <c r="O879" s="5"/>
      <c r="P879" s="11" t="n">
        <v>1</v>
      </c>
      <c r="Q879" s="5" t="n">
        <v>0</v>
      </c>
      <c r="R879" s="5"/>
      <c r="S879" s="5"/>
      <c r="T879" s="5"/>
      <c r="U879" s="5"/>
      <c r="V879" s="5"/>
      <c r="W879" s="5"/>
      <c r="X879" s="5"/>
      <c r="Y879" s="5"/>
      <c r="Z879" s="11" t="n">
        <v>0</v>
      </c>
      <c r="AA879" s="5"/>
      <c r="AB879" s="5"/>
      <c r="AC879" s="5" t="n">
        <v>0</v>
      </c>
      <c r="AF879" s="5" t="n">
        <v>0</v>
      </c>
    </row>
    <row r="880" customFormat="false" ht="15.75" hidden="false" customHeight="false" outlineLevel="0" collapsed="false">
      <c r="A880" s="5" t="s">
        <v>1990</v>
      </c>
      <c r="B880" s="5" t="s">
        <v>1991</v>
      </c>
      <c r="C880" s="5" t="s">
        <v>1992</v>
      </c>
      <c r="D880" s="5"/>
      <c r="E880" s="5"/>
      <c r="F880" s="5"/>
      <c r="G880" s="9" t="s">
        <v>1993</v>
      </c>
      <c r="H880" s="5" t="n">
        <f aca="false">(COUNTIF(J880:EC880,"=0")+COUNTIF(J880:EC880,"=1"))</f>
        <v>5</v>
      </c>
      <c r="I880" s="15" t="n">
        <f aca="false">IFERROR(ROUND(10-AVERAGE(J880:EC880)*10,0),0)</f>
        <v>6</v>
      </c>
      <c r="J880" s="11" t="n">
        <v>0</v>
      </c>
      <c r="K880" s="11" t="n">
        <v>0</v>
      </c>
      <c r="L880" s="5"/>
      <c r="M880" s="5"/>
      <c r="N880" s="5"/>
      <c r="O880" s="5"/>
      <c r="P880" s="11" t="n">
        <v>1</v>
      </c>
      <c r="Q880" s="11" t="n">
        <v>1</v>
      </c>
      <c r="R880" s="5"/>
      <c r="S880" s="5"/>
      <c r="T880" s="11" t="n">
        <v>0</v>
      </c>
      <c r="U880" s="5"/>
      <c r="V880" s="5"/>
      <c r="W880" s="5"/>
      <c r="X880" s="5"/>
      <c r="Y880" s="5"/>
      <c r="Z880" s="5"/>
      <c r="AA880" s="5"/>
      <c r="AB880" s="5"/>
    </row>
    <row r="881" customFormat="false" ht="15.75" hidden="false" customHeight="false" outlineLevel="0" collapsed="false">
      <c r="A881" s="5" t="s">
        <v>1990</v>
      </c>
      <c r="B881" s="5" t="s">
        <v>1991</v>
      </c>
      <c r="C881" s="5" t="s">
        <v>1994</v>
      </c>
      <c r="D881" s="25"/>
      <c r="E881" s="5"/>
      <c r="F881" s="5"/>
      <c r="G881" s="14" t="s">
        <v>1995</v>
      </c>
      <c r="H881" s="5" t="n">
        <f aca="false">(COUNTIF(J881:EC881,"=0")+COUNTIF(J881:EC881,"=1"))</f>
        <v>6</v>
      </c>
      <c r="I881" s="21" t="n">
        <f aca="false">IFERROR(ROUND(10-AVERAGE(J881:EC881)*10,0),0)</f>
        <v>5</v>
      </c>
      <c r="J881" s="5" t="n">
        <v>0</v>
      </c>
      <c r="K881" s="11" t="n">
        <v>0</v>
      </c>
      <c r="L881" s="5"/>
      <c r="M881" s="5"/>
      <c r="N881" s="5"/>
      <c r="O881" s="5"/>
      <c r="P881" s="11" t="n">
        <v>1</v>
      </c>
      <c r="Q881" s="5" t="n">
        <v>1</v>
      </c>
      <c r="R881" s="5"/>
      <c r="S881" s="5"/>
      <c r="T881" s="5"/>
      <c r="U881" s="5"/>
      <c r="V881" s="5"/>
      <c r="W881" s="5"/>
      <c r="X881" s="5"/>
      <c r="Y881" s="5"/>
      <c r="Z881" s="11" t="n">
        <v>1</v>
      </c>
      <c r="AA881" s="5"/>
      <c r="AB881" s="5"/>
      <c r="AD881" s="5" t="n">
        <v>0</v>
      </c>
    </row>
    <row r="882" customFormat="false" ht="15.75" hidden="false" customHeight="false" outlineLevel="0" collapsed="false">
      <c r="A882" s="5" t="s">
        <v>1990</v>
      </c>
      <c r="B882" s="5" t="s">
        <v>1996</v>
      </c>
      <c r="C882" s="5" t="s">
        <v>1997</v>
      </c>
      <c r="D882" s="5" t="s">
        <v>1998</v>
      </c>
      <c r="E882" s="5"/>
      <c r="F882" s="5"/>
      <c r="G882" s="9" t="s">
        <v>1999</v>
      </c>
      <c r="H882" s="5" t="n">
        <f aca="false">(COUNTIF(J882:EC882,"=0")+COUNTIF(J882:EC882,"=1"))</f>
        <v>5</v>
      </c>
      <c r="I882" s="16" t="n">
        <f aca="false">IFERROR(ROUND(10-AVERAGE(J882:EC882)*10,0),0)</f>
        <v>6</v>
      </c>
      <c r="J882" s="5" t="n">
        <v>0</v>
      </c>
      <c r="K882" s="11" t="n">
        <v>0</v>
      </c>
      <c r="L882" s="5"/>
      <c r="M882" s="5"/>
      <c r="N882" s="5"/>
      <c r="O882" s="5"/>
      <c r="P882" s="11" t="n">
        <v>1</v>
      </c>
      <c r="Q882" s="5" t="n">
        <v>1</v>
      </c>
      <c r="R882" s="5"/>
      <c r="S882" s="5"/>
      <c r="T882" s="5"/>
      <c r="U882" s="5"/>
      <c r="V882" s="5"/>
      <c r="W882" s="5"/>
      <c r="X882" s="5"/>
      <c r="Y882" s="5"/>
      <c r="Z882" s="11" t="n">
        <v>0</v>
      </c>
      <c r="AA882" s="5"/>
      <c r="AB882" s="5"/>
    </row>
    <row r="883" customFormat="false" ht="15.75" hidden="false" customHeight="false" outlineLevel="0" collapsed="false">
      <c r="A883" s="5" t="s">
        <v>1990</v>
      </c>
      <c r="B883" s="5" t="s">
        <v>2000</v>
      </c>
      <c r="C883" s="5" t="s">
        <v>2001</v>
      </c>
      <c r="D883" s="5"/>
      <c r="E883" s="5"/>
      <c r="F883" s="5"/>
      <c r="G883" s="9" t="s">
        <v>2002</v>
      </c>
      <c r="H883" s="5" t="n">
        <f aca="false">(COUNTIF(J883:EC883,"=0")+COUNTIF(J883:EC883,"=1"))</f>
        <v>2</v>
      </c>
      <c r="I883" s="16" t="n">
        <f aca="false">IFERROR(ROUND(10-AVERAGE(J883:EC883)*10,0),0)</f>
        <v>0</v>
      </c>
      <c r="J883" s="5"/>
      <c r="K883" s="11"/>
      <c r="L883" s="5" t="n">
        <v>1</v>
      </c>
      <c r="M883" s="5"/>
      <c r="N883" s="5"/>
      <c r="O883" s="5"/>
      <c r="P883" s="11" t="n">
        <v>1</v>
      </c>
      <c r="Q883" s="5"/>
      <c r="R883" s="5"/>
      <c r="S883" s="5"/>
      <c r="T883" s="5"/>
      <c r="U883" s="5"/>
      <c r="V883" s="5"/>
      <c r="W883" s="5"/>
      <c r="X883" s="5"/>
      <c r="Y883" s="5"/>
      <c r="Z883" s="11"/>
      <c r="AA883" s="5"/>
      <c r="AB883" s="5"/>
    </row>
    <row r="884" customFormat="false" ht="15.75" hidden="false" customHeight="false" outlineLevel="0" collapsed="false">
      <c r="A884" s="5" t="s">
        <v>2003</v>
      </c>
      <c r="B884" s="5" t="s">
        <v>2003</v>
      </c>
      <c r="C884" s="5" t="s">
        <v>2004</v>
      </c>
      <c r="D884" s="5"/>
      <c r="E884" s="5"/>
      <c r="F884" s="5"/>
      <c r="G884" s="9" t="s">
        <v>2005</v>
      </c>
      <c r="H884" s="5" t="n">
        <f aca="false">(COUNTIF(J884:EC884,"=0")+COUNTIF(J884:EC884,"=1"))</f>
        <v>8</v>
      </c>
      <c r="I884" s="12" t="n">
        <f aca="false">IFERROR(ROUND(10-AVERAGE(J884:EC884)*10,0),0)</f>
        <v>9</v>
      </c>
      <c r="J884" s="11" t="n">
        <v>0</v>
      </c>
      <c r="K884" s="11" t="n">
        <v>0</v>
      </c>
      <c r="L884" s="5"/>
      <c r="M884" s="5"/>
      <c r="N884" s="5"/>
      <c r="O884" s="11" t="n">
        <v>0</v>
      </c>
      <c r="P884" s="11" t="n">
        <v>1</v>
      </c>
      <c r="Q884" s="11" t="n">
        <v>0</v>
      </c>
      <c r="R884" s="5"/>
      <c r="S884" s="5" t="n">
        <v>0</v>
      </c>
      <c r="T884" s="11" t="n">
        <v>0</v>
      </c>
      <c r="U884" s="5"/>
      <c r="V884" s="5"/>
      <c r="W884" s="5" t="n">
        <v>0</v>
      </c>
      <c r="X884" s="5"/>
      <c r="Y884" s="5"/>
      <c r="Z884" s="5"/>
      <c r="AA884" s="5"/>
      <c r="AB884" s="5"/>
    </row>
    <row r="885" customFormat="false" ht="15.75" hidden="false" customHeight="false" outlineLevel="0" collapsed="false">
      <c r="A885" s="5" t="s">
        <v>2006</v>
      </c>
      <c r="B885" s="5" t="s">
        <v>2007</v>
      </c>
      <c r="C885" s="36" t="s">
        <v>2008</v>
      </c>
      <c r="D885" s="5"/>
      <c r="E885" s="5"/>
      <c r="F885" s="5"/>
      <c r="G885" s="5"/>
      <c r="H885" s="5" t="n">
        <f aca="false">(COUNTIF(J885:EC885,"=0")+COUNTIF(J885:EC885,"=1"))</f>
        <v>5</v>
      </c>
      <c r="I885" s="12" t="n">
        <f aca="false">IFERROR(ROUND(10-AVERAGE(J885:EC885)*10,0),0)</f>
        <v>8</v>
      </c>
      <c r="J885" s="11" t="n">
        <v>0</v>
      </c>
      <c r="K885" s="11" t="n">
        <v>0</v>
      </c>
      <c r="L885" s="5"/>
      <c r="M885" s="5"/>
      <c r="N885" s="5"/>
      <c r="O885" s="5"/>
      <c r="P885" s="11" t="n">
        <v>0</v>
      </c>
      <c r="Q885" s="5"/>
      <c r="R885" s="5"/>
      <c r="S885" s="5"/>
      <c r="T885" s="5"/>
      <c r="U885" s="5"/>
      <c r="V885" s="5"/>
      <c r="W885" s="11" t="n">
        <v>1</v>
      </c>
      <c r="X885" s="5"/>
      <c r="Y885" s="5"/>
      <c r="Z885" s="11" t="n">
        <v>0</v>
      </c>
      <c r="AA885" s="5"/>
      <c r="AB885" s="5"/>
    </row>
    <row r="886" customFormat="false" ht="15.75" hidden="false" customHeight="false" outlineLevel="0" collapsed="false">
      <c r="A886" s="5" t="s">
        <v>2006</v>
      </c>
      <c r="B886" s="5" t="s">
        <v>2007</v>
      </c>
      <c r="C886" s="36" t="s">
        <v>2009</v>
      </c>
      <c r="D886" s="5"/>
      <c r="E886" s="5"/>
      <c r="F886" s="5"/>
      <c r="G886" s="5"/>
      <c r="H886" s="5" t="n">
        <f aca="false">(COUNTIF(J886:EC886,"=0")+COUNTIF(J886:EC886,"=1"))</f>
        <v>5</v>
      </c>
      <c r="I886" s="12" t="n">
        <f aca="false">IFERROR(ROUND(10-AVERAGE(J886:EC886)*10,0),0)</f>
        <v>8</v>
      </c>
      <c r="J886" s="11" t="n">
        <v>0</v>
      </c>
      <c r="K886" s="11" t="n">
        <v>0</v>
      </c>
      <c r="L886" s="5"/>
      <c r="M886" s="5"/>
      <c r="N886" s="5"/>
      <c r="O886" s="5"/>
      <c r="P886" s="11" t="n">
        <v>0</v>
      </c>
      <c r="Q886" s="5"/>
      <c r="R886" s="5"/>
      <c r="S886" s="5"/>
      <c r="T886" s="5"/>
      <c r="U886" s="5"/>
      <c r="V886" s="5"/>
      <c r="W886" s="11" t="n">
        <v>1</v>
      </c>
      <c r="X886" s="5"/>
      <c r="Y886" s="5"/>
      <c r="Z886" s="11" t="n">
        <v>0</v>
      </c>
      <c r="AA886" s="5"/>
      <c r="AB886" s="5"/>
    </row>
    <row r="887" customFormat="false" ht="15.75" hidden="false" customHeight="false" outlineLevel="0" collapsed="false">
      <c r="A887" s="5" t="s">
        <v>2006</v>
      </c>
      <c r="B887" s="5" t="s">
        <v>2007</v>
      </c>
      <c r="C887" s="36" t="s">
        <v>2010</v>
      </c>
      <c r="D887" s="5"/>
      <c r="E887" s="5"/>
      <c r="F887" s="5"/>
      <c r="G887" s="5"/>
      <c r="H887" s="5" t="n">
        <f aca="false">(COUNTIF(J887:EC887,"=0")+COUNTIF(J887:EC887,"=1"))</f>
        <v>5</v>
      </c>
      <c r="I887" s="12" t="n">
        <f aca="false">IFERROR(ROUND(10-AVERAGE(J887:EC887)*10,0),0)</f>
        <v>8</v>
      </c>
      <c r="J887" s="11" t="n">
        <v>0</v>
      </c>
      <c r="K887" s="11" t="n">
        <v>0</v>
      </c>
      <c r="L887" s="5"/>
      <c r="M887" s="5"/>
      <c r="N887" s="5"/>
      <c r="O887" s="5"/>
      <c r="P887" s="11" t="n">
        <v>0</v>
      </c>
      <c r="Q887" s="5"/>
      <c r="R887" s="5"/>
      <c r="S887" s="5"/>
      <c r="T887" s="5"/>
      <c r="U887" s="5"/>
      <c r="V887" s="5"/>
      <c r="W887" s="11" t="n">
        <v>1</v>
      </c>
      <c r="X887" s="5"/>
      <c r="Y887" s="5"/>
      <c r="Z887" s="11" t="n">
        <v>0</v>
      </c>
      <c r="AA887" s="5"/>
      <c r="AB887" s="5"/>
    </row>
    <row r="888" customFormat="false" ht="15.75" hidden="false" customHeight="false" outlineLevel="0" collapsed="false">
      <c r="A888" s="5" t="s">
        <v>2006</v>
      </c>
      <c r="B888" s="5" t="s">
        <v>2007</v>
      </c>
      <c r="C888" s="36" t="s">
        <v>2011</v>
      </c>
      <c r="D888" s="5"/>
      <c r="E888" s="5"/>
      <c r="F888" s="5"/>
      <c r="G888" s="5"/>
      <c r="H888" s="5" t="n">
        <f aca="false">(COUNTIF(J888:EC888,"=0")+COUNTIF(J888:EC888,"=1"))</f>
        <v>5</v>
      </c>
      <c r="I888" s="12" t="n">
        <f aca="false">IFERROR(ROUND(10-AVERAGE(J888:EC888)*10,0),0)</f>
        <v>8</v>
      </c>
      <c r="J888" s="11" t="n">
        <v>0</v>
      </c>
      <c r="K888" s="11" t="n">
        <v>0</v>
      </c>
      <c r="L888" s="5"/>
      <c r="M888" s="5"/>
      <c r="N888" s="5"/>
      <c r="O888" s="5"/>
      <c r="P888" s="11" t="n">
        <v>0</v>
      </c>
      <c r="Q888" s="5"/>
      <c r="R888" s="5"/>
      <c r="S888" s="5"/>
      <c r="T888" s="5"/>
      <c r="U888" s="5"/>
      <c r="V888" s="5"/>
      <c r="W888" s="11" t="n">
        <v>1</v>
      </c>
      <c r="X888" s="5"/>
      <c r="Y888" s="5"/>
      <c r="Z888" s="11" t="n">
        <v>0</v>
      </c>
      <c r="AA888" s="5"/>
      <c r="AB888" s="5"/>
    </row>
    <row r="889" customFormat="false" ht="15.75" hidden="false" customHeight="false" outlineLevel="0" collapsed="false">
      <c r="A889" s="5" t="s">
        <v>2006</v>
      </c>
      <c r="B889" s="5" t="s">
        <v>2007</v>
      </c>
      <c r="C889" s="36" t="s">
        <v>2012</v>
      </c>
      <c r="D889" s="5"/>
      <c r="E889" s="5"/>
      <c r="F889" s="5"/>
      <c r="G889" s="5"/>
      <c r="H889" s="5" t="n">
        <f aca="false">(COUNTIF(J889:EC889,"=0")+COUNTIF(J889:EC889,"=1"))</f>
        <v>6</v>
      </c>
      <c r="I889" s="12" t="n">
        <f aca="false">IFERROR(ROUND(10-AVERAGE(J889:EC889)*10,0),0)</f>
        <v>8</v>
      </c>
      <c r="J889" s="11" t="n">
        <v>0</v>
      </c>
      <c r="K889" s="11" t="n">
        <v>0</v>
      </c>
      <c r="L889" s="5"/>
      <c r="M889" s="5"/>
      <c r="N889" s="5"/>
      <c r="O889" s="5"/>
      <c r="P889" s="11" t="n">
        <v>0</v>
      </c>
      <c r="Q889" s="5" t="n">
        <v>0</v>
      </c>
      <c r="R889" s="5"/>
      <c r="S889" s="5"/>
      <c r="T889" s="5"/>
      <c r="U889" s="5"/>
      <c r="V889" s="5"/>
      <c r="W889" s="11" t="n">
        <v>1</v>
      </c>
      <c r="X889" s="5"/>
      <c r="Y889" s="5"/>
      <c r="Z889" s="11" t="n">
        <v>0</v>
      </c>
      <c r="AA889" s="5"/>
      <c r="AB889" s="5"/>
    </row>
    <row r="890" customFormat="false" ht="15.75" hidden="false" customHeight="false" outlineLevel="0" collapsed="false">
      <c r="A890" s="5" t="s">
        <v>2013</v>
      </c>
      <c r="D890" s="5"/>
      <c r="E890" s="5"/>
      <c r="F890" s="5"/>
      <c r="G890" s="5"/>
      <c r="H890" s="5" t="n">
        <f aca="false">(COUNTIF(J890:EC890,"=0")+COUNTIF(J890:EC890,"=1"))</f>
        <v>0</v>
      </c>
      <c r="I890" s="18" t="n">
        <f aca="false">IFERROR(ROUND(10-AVERAGE(J890:EC890)*10,0),0)</f>
        <v>0</v>
      </c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customFormat="false" ht="15.75" hidden="false" customHeight="false" outlineLevel="0" collapsed="false">
      <c r="A891" s="5" t="s">
        <v>2014</v>
      </c>
      <c r="B891" s="5" t="s">
        <v>2015</v>
      </c>
      <c r="C891" s="5" t="s">
        <v>2016</v>
      </c>
      <c r="D891" s="5"/>
      <c r="E891" s="5"/>
      <c r="F891" s="5"/>
      <c r="G891" s="9" t="s">
        <v>2017</v>
      </c>
      <c r="H891" s="5" t="n">
        <f aca="false">(COUNTIF(J891:EC891,"=0")+COUNTIF(J891:EC891,"=1"))</f>
        <v>5</v>
      </c>
      <c r="I891" s="15" t="n">
        <f aca="false">IFERROR(ROUND(10-AVERAGE(J891:EC891)*10,0),0)</f>
        <v>6</v>
      </c>
      <c r="J891" s="11" t="n">
        <v>0</v>
      </c>
      <c r="K891" s="11" t="n">
        <v>1</v>
      </c>
      <c r="L891" s="5"/>
      <c r="M891" s="5"/>
      <c r="N891" s="5"/>
      <c r="O891" s="5"/>
      <c r="P891" s="11" t="n">
        <v>1</v>
      </c>
      <c r="Q891" s="5"/>
      <c r="R891" s="5"/>
      <c r="S891" s="5"/>
      <c r="T891" s="11" t="n">
        <v>0</v>
      </c>
      <c r="U891" s="5"/>
      <c r="V891" s="5"/>
      <c r="W891" s="5"/>
      <c r="X891" s="5"/>
      <c r="Y891" s="5"/>
      <c r="Z891" s="11" t="n">
        <v>0</v>
      </c>
      <c r="AA891" s="5"/>
      <c r="AB891" s="5"/>
    </row>
    <row r="892" customFormat="false" ht="15.75" hidden="false" customHeight="false" outlineLevel="0" collapsed="false">
      <c r="A892" s="5" t="s">
        <v>2014</v>
      </c>
      <c r="B892" s="5" t="s">
        <v>2015</v>
      </c>
      <c r="C892" s="5" t="s">
        <v>2018</v>
      </c>
      <c r="D892" s="5"/>
      <c r="E892" s="5"/>
      <c r="F892" s="5"/>
      <c r="G892" s="9" t="s">
        <v>2019</v>
      </c>
      <c r="H892" s="5" t="n">
        <f aca="false">(COUNTIF(J892:EC892,"=0")+COUNTIF(J892:EC892,"=1"))</f>
        <v>5</v>
      </c>
      <c r="I892" s="12" t="n">
        <f aca="false">IFERROR(ROUND(10-AVERAGE(J892:EC892)*10,0),0)</f>
        <v>8</v>
      </c>
      <c r="J892" s="11" t="n">
        <v>0</v>
      </c>
      <c r="K892" s="11" t="n">
        <v>0</v>
      </c>
      <c r="L892" s="5"/>
      <c r="M892" s="5"/>
      <c r="N892" s="5"/>
      <c r="O892" s="5"/>
      <c r="P892" s="11" t="n">
        <v>1</v>
      </c>
      <c r="Q892" s="5"/>
      <c r="R892" s="5"/>
      <c r="S892" s="5"/>
      <c r="T892" s="11" t="n">
        <v>0</v>
      </c>
      <c r="U892" s="5"/>
      <c r="V892" s="5"/>
      <c r="W892" s="5"/>
      <c r="X892" s="5"/>
      <c r="Y892" s="5"/>
      <c r="Z892" s="11" t="n">
        <v>0</v>
      </c>
      <c r="AA892" s="5"/>
      <c r="AB892" s="5"/>
    </row>
    <row r="893" customFormat="false" ht="15.75" hidden="false" customHeight="false" outlineLevel="0" collapsed="false">
      <c r="A893" s="5" t="s">
        <v>2014</v>
      </c>
      <c r="B893" s="5" t="s">
        <v>2015</v>
      </c>
      <c r="C893" s="5" t="s">
        <v>2020</v>
      </c>
      <c r="D893" s="5"/>
      <c r="E893" s="5"/>
      <c r="F893" s="5"/>
      <c r="G893" s="9" t="s">
        <v>2021</v>
      </c>
      <c r="H893" s="5" t="n">
        <f aca="false">(COUNTIF(J893:EC893,"=0")+COUNTIF(J893:EC893,"=1"))</f>
        <v>7</v>
      </c>
      <c r="I893" s="12" t="n">
        <f aca="false">IFERROR(ROUND(10-AVERAGE(J893:EC893)*10,0),0)</f>
        <v>9</v>
      </c>
      <c r="J893" s="11" t="n">
        <v>0</v>
      </c>
      <c r="K893" s="11" t="n">
        <v>0</v>
      </c>
      <c r="L893" s="5"/>
      <c r="M893" s="5"/>
      <c r="N893" s="5"/>
      <c r="O893" s="5"/>
      <c r="P893" s="11" t="n">
        <v>1</v>
      </c>
      <c r="Q893" s="5"/>
      <c r="R893" s="5"/>
      <c r="S893" s="5"/>
      <c r="T893" s="11" t="n">
        <v>0</v>
      </c>
      <c r="U893" s="5"/>
      <c r="V893" s="5"/>
      <c r="W893" s="5"/>
      <c r="X893" s="5"/>
      <c r="Y893" s="5"/>
      <c r="Z893" s="11" t="n">
        <v>0</v>
      </c>
      <c r="AA893" s="11" t="n">
        <v>0</v>
      </c>
      <c r="AB893" s="5"/>
      <c r="AF893" s="5" t="n">
        <v>0</v>
      </c>
    </row>
    <row r="894" customFormat="false" ht="15.75" hidden="false" customHeight="false" outlineLevel="0" collapsed="false">
      <c r="A894" s="5" t="s">
        <v>2014</v>
      </c>
      <c r="B894" s="5" t="s">
        <v>2015</v>
      </c>
      <c r="C894" s="5" t="s">
        <v>2022</v>
      </c>
      <c r="D894" s="5"/>
      <c r="E894" s="5"/>
      <c r="F894" s="5"/>
      <c r="G894" s="9" t="s">
        <v>2023</v>
      </c>
      <c r="H894" s="5" t="n">
        <f aca="false">(COUNTIF(J894:EC894,"=0")+COUNTIF(J894:EC894,"=1"))</f>
        <v>5</v>
      </c>
      <c r="I894" s="12" t="n">
        <f aca="false">IFERROR(ROUND(10-AVERAGE(J894:EC894)*10,0),0)</f>
        <v>8</v>
      </c>
      <c r="J894" s="11" t="n">
        <v>0</v>
      </c>
      <c r="K894" s="11" t="n">
        <v>0</v>
      </c>
      <c r="L894" s="5"/>
      <c r="M894" s="5"/>
      <c r="N894" s="5"/>
      <c r="O894" s="5"/>
      <c r="P894" s="11" t="n">
        <v>1</v>
      </c>
      <c r="Q894" s="5"/>
      <c r="R894" s="5"/>
      <c r="S894" s="5"/>
      <c r="T894" s="11" t="n">
        <v>0</v>
      </c>
      <c r="U894" s="5"/>
      <c r="V894" s="5"/>
      <c r="W894" s="5"/>
      <c r="X894" s="5"/>
      <c r="Y894" s="5"/>
      <c r="Z894" s="11" t="n">
        <v>0</v>
      </c>
      <c r="AA894" s="5"/>
      <c r="AB894" s="5"/>
    </row>
    <row r="895" customFormat="false" ht="15.75" hidden="false" customHeight="false" outlineLevel="0" collapsed="false">
      <c r="A895" s="5" t="s">
        <v>2014</v>
      </c>
      <c r="B895" s="5" t="s">
        <v>2015</v>
      </c>
      <c r="C895" s="5" t="s">
        <v>2024</v>
      </c>
      <c r="D895" s="5"/>
      <c r="E895" s="5"/>
      <c r="F895" s="5"/>
      <c r="G895" s="9" t="s">
        <v>2025</v>
      </c>
      <c r="H895" s="5" t="n">
        <f aca="false">(COUNTIF(J895:EC895,"=0")+COUNTIF(J895:EC895,"=1"))</f>
        <v>7</v>
      </c>
      <c r="I895" s="23" t="n">
        <f aca="false">IFERROR(ROUND(10-AVERAGE(J895:EC895)*10,0),0)</f>
        <v>4</v>
      </c>
      <c r="J895" s="11" t="n">
        <v>1</v>
      </c>
      <c r="K895" s="11" t="n">
        <v>1</v>
      </c>
      <c r="L895" s="5"/>
      <c r="M895" s="5"/>
      <c r="N895" s="5"/>
      <c r="O895" s="5"/>
      <c r="P895" s="11" t="n">
        <v>1</v>
      </c>
      <c r="Q895" s="5" t="n">
        <v>0</v>
      </c>
      <c r="R895" s="5"/>
      <c r="S895" s="5"/>
      <c r="T895" s="11" t="n">
        <v>0</v>
      </c>
      <c r="U895" s="5"/>
      <c r="V895" s="5"/>
      <c r="W895" s="5"/>
      <c r="X895" s="5"/>
      <c r="Y895" s="5"/>
      <c r="Z895" s="11" t="n">
        <v>0</v>
      </c>
      <c r="AA895" s="5"/>
      <c r="AB895" s="5"/>
      <c r="AD895" s="5" t="n">
        <v>1</v>
      </c>
    </row>
    <row r="896" customFormat="false" ht="15.75" hidden="false" customHeight="false" outlineLevel="0" collapsed="false">
      <c r="A896" s="5" t="s">
        <v>2014</v>
      </c>
      <c r="B896" s="5" t="s">
        <v>203</v>
      </c>
      <c r="C896" s="5" t="s">
        <v>2026</v>
      </c>
      <c r="D896" s="5"/>
      <c r="E896" s="5"/>
      <c r="F896" s="5"/>
      <c r="G896" s="9" t="s">
        <v>2027</v>
      </c>
      <c r="H896" s="5" t="n">
        <f aca="false">(COUNTIF(J896:EC896,"=0")+COUNTIF(J896:EC896,"=1"))</f>
        <v>6</v>
      </c>
      <c r="I896" s="19" t="n">
        <f aca="false">IFERROR(ROUND(10-AVERAGE(J896:EC896)*10,0),0)</f>
        <v>7</v>
      </c>
      <c r="J896" s="11" t="n">
        <v>0</v>
      </c>
      <c r="K896" s="11" t="n">
        <v>1</v>
      </c>
      <c r="L896" s="5"/>
      <c r="M896" s="5"/>
      <c r="N896" s="5"/>
      <c r="O896" s="5"/>
      <c r="P896" s="11" t="n">
        <v>1</v>
      </c>
      <c r="Q896" s="5"/>
      <c r="R896" s="5"/>
      <c r="S896" s="5"/>
      <c r="T896" s="5"/>
      <c r="U896" s="5"/>
      <c r="V896" s="5"/>
      <c r="W896" s="5" t="n">
        <v>0</v>
      </c>
      <c r="X896" s="5"/>
      <c r="Y896" s="5"/>
      <c r="Z896" s="11" t="n">
        <v>0</v>
      </c>
      <c r="AA896" s="5"/>
      <c r="AB896" s="5"/>
      <c r="AD896" s="5" t="n">
        <v>0</v>
      </c>
    </row>
    <row r="897" customFormat="false" ht="15.75" hidden="false" customHeight="false" outlineLevel="0" collapsed="false">
      <c r="A897" s="5" t="s">
        <v>2014</v>
      </c>
      <c r="B897" s="5" t="s">
        <v>203</v>
      </c>
      <c r="C897" s="5" t="s">
        <v>2028</v>
      </c>
      <c r="D897" s="5"/>
      <c r="E897" s="5"/>
      <c r="F897" s="5"/>
      <c r="G897" s="9" t="s">
        <v>2029</v>
      </c>
      <c r="H897" s="5" t="n">
        <f aca="false">(COUNTIF(J897:EC897,"=0")+COUNTIF(J897:EC897,"=1"))</f>
        <v>8</v>
      </c>
      <c r="I897" s="19" t="n">
        <f aca="false">IFERROR(ROUND(10-AVERAGE(J897:EC897)*10,0),0)</f>
        <v>6</v>
      </c>
      <c r="J897" s="11" t="n">
        <v>0</v>
      </c>
      <c r="K897" s="11" t="n">
        <v>1</v>
      </c>
      <c r="L897" s="5"/>
      <c r="M897" s="5"/>
      <c r="N897" s="5"/>
      <c r="O897" s="5"/>
      <c r="P897" s="11" t="n">
        <v>1</v>
      </c>
      <c r="Q897" s="5" t="n">
        <v>0</v>
      </c>
      <c r="R897" s="5"/>
      <c r="S897" s="5"/>
      <c r="T897" s="5"/>
      <c r="U897" s="5"/>
      <c r="V897" s="5"/>
      <c r="W897" s="5" t="n">
        <v>1</v>
      </c>
      <c r="X897" s="5"/>
      <c r="Y897" s="5"/>
      <c r="Z897" s="11" t="n">
        <v>0</v>
      </c>
      <c r="AA897" s="5"/>
      <c r="AB897" s="5"/>
      <c r="AD897" s="5" t="n">
        <v>0</v>
      </c>
      <c r="AF897" s="5" t="n">
        <v>0</v>
      </c>
    </row>
    <row r="898" customFormat="false" ht="15.75" hidden="false" customHeight="false" outlineLevel="0" collapsed="false">
      <c r="A898" s="5" t="s">
        <v>2014</v>
      </c>
      <c r="B898" s="5" t="s">
        <v>2030</v>
      </c>
      <c r="C898" s="5" t="s">
        <v>79</v>
      </c>
      <c r="D898" s="5"/>
      <c r="E898" s="5"/>
      <c r="F898" s="5"/>
      <c r="G898" s="14" t="s">
        <v>2031</v>
      </c>
      <c r="H898" s="5" t="n">
        <f aca="false">(COUNTIF(J898:EC898,"=0")+COUNTIF(J898:EC898,"=1"))</f>
        <v>2</v>
      </c>
      <c r="I898" s="15" t="n">
        <f aca="false">IFERROR(ROUND(10-AVERAGE(J898:EC898)*10,0),0)</f>
        <v>5</v>
      </c>
      <c r="J898" s="5"/>
      <c r="K898" s="5"/>
      <c r="L898" s="5"/>
      <c r="M898" s="5"/>
      <c r="N898" s="5"/>
      <c r="O898" s="5"/>
      <c r="P898" s="5" t="n">
        <v>0</v>
      </c>
      <c r="Q898" s="5"/>
      <c r="R898" s="5"/>
      <c r="S898" s="5" t="n">
        <v>1</v>
      </c>
      <c r="T898" s="5"/>
      <c r="U898" s="5"/>
      <c r="V898" s="5"/>
      <c r="W898" s="5"/>
      <c r="X898" s="5"/>
      <c r="Y898" s="5"/>
      <c r="Z898" s="5"/>
      <c r="AA898" s="5"/>
      <c r="AB898" s="5"/>
    </row>
    <row r="899" customFormat="false" ht="15.75" hidden="false" customHeight="false" outlineLevel="0" collapsed="false">
      <c r="A899" s="5" t="s">
        <v>2032</v>
      </c>
      <c r="B899" s="5" t="s">
        <v>2033</v>
      </c>
      <c r="C899" s="5" t="s">
        <v>2034</v>
      </c>
      <c r="D899" s="5"/>
      <c r="E899" s="5"/>
      <c r="F899" s="5"/>
      <c r="G899" s="9" t="s">
        <v>2035</v>
      </c>
      <c r="H899" s="5" t="n">
        <f aca="false">(COUNTIF(J899:EC899,"=0")+COUNTIF(J899:EC899,"=1"))</f>
        <v>6</v>
      </c>
      <c r="I899" s="12" t="n">
        <f aca="false">IFERROR(ROUND(10-AVERAGE(J899:EC899)*10,0),0)</f>
        <v>8</v>
      </c>
      <c r="J899" s="11" t="n">
        <v>0</v>
      </c>
      <c r="K899" s="11" t="n">
        <v>0</v>
      </c>
      <c r="L899" s="5"/>
      <c r="M899" s="5"/>
      <c r="N899" s="5"/>
      <c r="O899" s="5"/>
      <c r="P899" s="11" t="n">
        <v>0</v>
      </c>
      <c r="Q899" s="11" t="n">
        <v>0</v>
      </c>
      <c r="R899" s="5"/>
      <c r="S899" s="11" t="n">
        <v>1</v>
      </c>
      <c r="T899" s="11" t="n">
        <v>0</v>
      </c>
      <c r="U899" s="5"/>
      <c r="V899" s="5"/>
      <c r="W899" s="5"/>
      <c r="X899" s="5"/>
      <c r="Y899" s="5"/>
      <c r="Z899" s="5"/>
      <c r="AA899" s="5"/>
      <c r="AB899" s="5"/>
    </row>
    <row r="900" customFormat="false" ht="15.75" hidden="false" customHeight="false" outlineLevel="0" collapsed="false">
      <c r="A900" s="5" t="s">
        <v>2036</v>
      </c>
      <c r="B900" s="5" t="s">
        <v>2037</v>
      </c>
      <c r="C900" s="5" t="s">
        <v>2038</v>
      </c>
      <c r="D900" s="5"/>
      <c r="E900" s="5"/>
      <c r="F900" s="5"/>
      <c r="G900" s="9" t="s">
        <v>2039</v>
      </c>
      <c r="H900" s="5" t="n">
        <f aca="false">(COUNTIF(J900:EC900,"=0")+COUNTIF(J900:EC900,"=1"))</f>
        <v>8</v>
      </c>
      <c r="I900" s="16" t="n">
        <f aca="false">IFERROR(ROUND(10-AVERAGE(J900:EC900)*10,0),0)</f>
        <v>8</v>
      </c>
      <c r="J900" s="11" t="n">
        <v>1</v>
      </c>
      <c r="K900" s="11" t="n">
        <v>0</v>
      </c>
      <c r="L900" s="5"/>
      <c r="M900" s="5"/>
      <c r="N900" s="5"/>
      <c r="O900" s="11" t="n">
        <v>0</v>
      </c>
      <c r="P900" s="11" t="n">
        <v>1</v>
      </c>
      <c r="Q900" s="11" t="n">
        <v>0</v>
      </c>
      <c r="R900" s="5"/>
      <c r="S900" s="5" t="n">
        <v>0</v>
      </c>
      <c r="T900" s="11" t="n">
        <v>0</v>
      </c>
      <c r="U900" s="5"/>
      <c r="V900" s="5"/>
      <c r="W900" s="5"/>
      <c r="X900" s="5"/>
      <c r="Y900" s="5"/>
      <c r="Z900" s="5"/>
      <c r="AA900" s="5"/>
      <c r="AB900" s="5"/>
      <c r="AD900" s="5" t="n">
        <v>0</v>
      </c>
    </row>
    <row r="901" customFormat="false" ht="15.75" hidden="false" customHeight="false" outlineLevel="0" collapsed="false">
      <c r="A901" s="5" t="s">
        <v>2036</v>
      </c>
      <c r="B901" s="5" t="s">
        <v>2040</v>
      </c>
      <c r="C901" s="5" t="s">
        <v>2041</v>
      </c>
      <c r="D901" s="5"/>
      <c r="E901" s="5"/>
      <c r="F901" s="5"/>
      <c r="G901" s="5"/>
      <c r="H901" s="5" t="n">
        <f aca="false">(COUNTIF(J901:EC901,"=0")+COUNTIF(J901:EC901,"=1"))</f>
        <v>7</v>
      </c>
      <c r="I901" s="12" t="n">
        <f aca="false">IFERROR(ROUND(10-AVERAGE(J901:EC901)*10,0),0)</f>
        <v>9</v>
      </c>
      <c r="J901" s="11" t="n">
        <v>0</v>
      </c>
      <c r="K901" s="11" t="n">
        <v>0</v>
      </c>
      <c r="L901" s="5"/>
      <c r="M901" s="5"/>
      <c r="N901" s="5"/>
      <c r="O901" s="11" t="n">
        <v>0</v>
      </c>
      <c r="P901" s="11" t="n">
        <v>1</v>
      </c>
      <c r="Q901" s="11" t="n">
        <v>0</v>
      </c>
      <c r="R901" s="5"/>
      <c r="S901" s="5"/>
      <c r="T901" s="11" t="n">
        <v>0</v>
      </c>
      <c r="U901" s="5"/>
      <c r="V901" s="5"/>
      <c r="W901" s="5"/>
      <c r="X901" s="5"/>
      <c r="Y901" s="5"/>
      <c r="Z901" s="5"/>
      <c r="AA901" s="5"/>
      <c r="AB901" s="5"/>
      <c r="AF901" s="5" t="n">
        <v>0</v>
      </c>
    </row>
    <row r="902" customFormat="false" ht="15.75" hidden="false" customHeight="false" outlineLevel="0" collapsed="false">
      <c r="A902" s="5" t="s">
        <v>2036</v>
      </c>
      <c r="B902" s="5" t="s">
        <v>2042</v>
      </c>
      <c r="C902" s="5" t="s">
        <v>2043</v>
      </c>
      <c r="D902" s="5"/>
      <c r="E902" s="5"/>
      <c r="F902" s="5"/>
      <c r="G902" s="9" t="s">
        <v>2044</v>
      </c>
      <c r="H902" s="5" t="n">
        <f aca="false">(COUNTIF(J902:EC902,"=0")+COUNTIF(J902:EC902,"=1"))</f>
        <v>7</v>
      </c>
      <c r="I902" s="12" t="n">
        <f aca="false">IFERROR(ROUND(10-AVERAGE(J902:EC902)*10,0),0)</f>
        <v>7</v>
      </c>
      <c r="J902" s="11" t="n">
        <v>0</v>
      </c>
      <c r="K902" s="11" t="n">
        <v>0</v>
      </c>
      <c r="L902" s="5"/>
      <c r="M902" s="5"/>
      <c r="N902" s="5"/>
      <c r="O902" s="11" t="n">
        <v>0</v>
      </c>
      <c r="P902" s="11" t="n">
        <v>1</v>
      </c>
      <c r="Q902" s="11" t="n">
        <v>0</v>
      </c>
      <c r="R902" s="5"/>
      <c r="S902" s="5"/>
      <c r="T902" s="11" t="n">
        <v>0</v>
      </c>
      <c r="U902" s="5"/>
      <c r="V902" s="5"/>
      <c r="W902" s="5"/>
      <c r="X902" s="5"/>
      <c r="Y902" s="5"/>
      <c r="Z902" s="5"/>
      <c r="AA902" s="5"/>
      <c r="AB902" s="5"/>
      <c r="AF902" s="5" t="n">
        <v>1</v>
      </c>
    </row>
    <row r="903" customFormat="false" ht="15.75" hidden="false" customHeight="false" outlineLevel="0" collapsed="false">
      <c r="A903" s="5" t="s">
        <v>2045</v>
      </c>
      <c r="B903" s="5" t="s">
        <v>2045</v>
      </c>
      <c r="C903" s="5" t="s">
        <v>2046</v>
      </c>
      <c r="D903" s="5"/>
      <c r="E903" s="5"/>
      <c r="F903" s="5"/>
      <c r="G903" s="9" t="s">
        <v>2047</v>
      </c>
      <c r="H903" s="5" t="n">
        <f aca="false">(COUNTIF(J903:EC903,"=0")+COUNTIF(J903:EC903,"=1"))</f>
        <v>5</v>
      </c>
      <c r="I903" s="10" t="n">
        <f aca="false">IFERROR(ROUND(10-AVERAGE(J903:EC903)*10,0),0)</f>
        <v>10</v>
      </c>
      <c r="J903" s="5" t="n">
        <v>0</v>
      </c>
      <c r="K903" s="11" t="n">
        <v>0</v>
      </c>
      <c r="L903" s="5"/>
      <c r="M903" s="5"/>
      <c r="N903" s="5"/>
      <c r="O903" s="5"/>
      <c r="P903" s="11" t="n">
        <v>0</v>
      </c>
      <c r="Q903" s="5"/>
      <c r="R903" s="5"/>
      <c r="S903" s="5" t="n">
        <v>0</v>
      </c>
      <c r="T903" s="5"/>
      <c r="U903" s="5"/>
      <c r="V903" s="5"/>
      <c r="W903" s="5"/>
      <c r="X903" s="5"/>
      <c r="Y903" s="5"/>
      <c r="Z903" s="11" t="n">
        <v>0</v>
      </c>
      <c r="AA903" s="5"/>
      <c r="AB903" s="5"/>
    </row>
    <row r="904" customFormat="false" ht="15.75" hidden="false" customHeight="false" outlineLevel="0" collapsed="false">
      <c r="A904" s="5" t="s">
        <v>2045</v>
      </c>
      <c r="B904" s="5" t="s">
        <v>2048</v>
      </c>
      <c r="C904" s="5" t="s">
        <v>2049</v>
      </c>
      <c r="D904" s="5"/>
      <c r="E904" s="5"/>
      <c r="F904" s="5"/>
      <c r="G904" s="9" t="s">
        <v>2050</v>
      </c>
      <c r="H904" s="5" t="n">
        <f aca="false">(COUNTIF(J904:EC904,"=0")+COUNTIF(J904:EC904,"=1"))</f>
        <v>5</v>
      </c>
      <c r="I904" s="12" t="n">
        <f aca="false">IFERROR(ROUND(10-AVERAGE(J904:EC904)*10,0),0)</f>
        <v>8</v>
      </c>
      <c r="J904" s="11" t="n">
        <v>1</v>
      </c>
      <c r="K904" s="11" t="n">
        <v>0</v>
      </c>
      <c r="L904" s="5"/>
      <c r="M904" s="5"/>
      <c r="N904" s="5"/>
      <c r="O904" s="5"/>
      <c r="P904" s="11" t="n">
        <v>0</v>
      </c>
      <c r="Q904" s="11" t="n">
        <v>0</v>
      </c>
      <c r="R904" s="5"/>
      <c r="S904" s="5"/>
      <c r="T904" s="11" t="n">
        <v>0</v>
      </c>
      <c r="U904" s="5"/>
      <c r="V904" s="5"/>
      <c r="W904" s="5"/>
      <c r="X904" s="5"/>
      <c r="Y904" s="5"/>
      <c r="Z904" s="5"/>
      <c r="AA904" s="5"/>
      <c r="AB904" s="5"/>
    </row>
    <row r="905" customFormat="false" ht="15.75" hidden="false" customHeight="false" outlineLevel="0" collapsed="false">
      <c r="A905" s="5" t="s">
        <v>2045</v>
      </c>
      <c r="B905" s="5" t="s">
        <v>2048</v>
      </c>
      <c r="C905" s="5" t="s">
        <v>2051</v>
      </c>
      <c r="D905" s="5"/>
      <c r="E905" s="5"/>
      <c r="F905" s="5"/>
      <c r="G905" s="9" t="s">
        <v>2052</v>
      </c>
      <c r="H905" s="5" t="n">
        <f aca="false">(COUNTIF(J905:EC905,"=0")+COUNTIF(J905:EC905,"=1"))</f>
        <v>5</v>
      </c>
      <c r="I905" s="12" t="n">
        <f aca="false">IFERROR(ROUND(10-AVERAGE(J905:EC905)*10,0),0)</f>
        <v>8</v>
      </c>
      <c r="J905" s="11" t="n">
        <v>1</v>
      </c>
      <c r="K905" s="11" t="n">
        <v>0</v>
      </c>
      <c r="L905" s="5"/>
      <c r="M905" s="5"/>
      <c r="N905" s="5"/>
      <c r="O905" s="5"/>
      <c r="P905" s="11" t="n">
        <v>0</v>
      </c>
      <c r="Q905" s="11" t="n">
        <v>0</v>
      </c>
      <c r="R905" s="5"/>
      <c r="S905" s="5"/>
      <c r="T905" s="11" t="n">
        <v>0</v>
      </c>
      <c r="U905" s="5"/>
      <c r="V905" s="5"/>
      <c r="W905" s="5"/>
      <c r="X905" s="5"/>
      <c r="Y905" s="5"/>
      <c r="Z905" s="5"/>
      <c r="AA905" s="5"/>
      <c r="AB905" s="5"/>
    </row>
    <row r="906" customFormat="false" ht="15.75" hidden="false" customHeight="false" outlineLevel="0" collapsed="false">
      <c r="A906" s="5" t="s">
        <v>2045</v>
      </c>
      <c r="B906" s="5" t="s">
        <v>2048</v>
      </c>
      <c r="C906" s="5" t="s">
        <v>2053</v>
      </c>
      <c r="D906" s="5"/>
      <c r="E906" s="5"/>
      <c r="F906" s="5"/>
      <c r="G906" s="9" t="s">
        <v>2054</v>
      </c>
      <c r="H906" s="5" t="n">
        <f aca="false">(COUNTIF(J906:EC906,"=0")+COUNTIF(J906:EC906,"=1"))</f>
        <v>5</v>
      </c>
      <c r="I906" s="12" t="n">
        <f aca="false">IFERROR(ROUND(10-AVERAGE(J906:EC906)*10,0),0)</f>
        <v>8</v>
      </c>
      <c r="J906" s="11" t="n">
        <v>1</v>
      </c>
      <c r="K906" s="11" t="n">
        <v>0</v>
      </c>
      <c r="L906" s="5"/>
      <c r="M906" s="5"/>
      <c r="N906" s="5"/>
      <c r="O906" s="5"/>
      <c r="P906" s="11" t="n">
        <v>0</v>
      </c>
      <c r="Q906" s="11" t="n">
        <v>0</v>
      </c>
      <c r="R906" s="5"/>
      <c r="S906" s="5"/>
      <c r="T906" s="11" t="n">
        <v>0</v>
      </c>
      <c r="U906" s="5"/>
      <c r="V906" s="5"/>
      <c r="W906" s="5"/>
      <c r="X906" s="5"/>
      <c r="Y906" s="5"/>
      <c r="Z906" s="5"/>
      <c r="AA906" s="5"/>
      <c r="AB906" s="5"/>
    </row>
    <row r="907" customFormat="false" ht="15.75" hidden="false" customHeight="false" outlineLevel="0" collapsed="false">
      <c r="A907" s="5" t="s">
        <v>2045</v>
      </c>
      <c r="B907" s="5" t="s">
        <v>2048</v>
      </c>
      <c r="C907" s="5" t="s">
        <v>2055</v>
      </c>
      <c r="D907" s="5"/>
      <c r="E907" s="5"/>
      <c r="F907" s="5"/>
      <c r="G907" s="9" t="s">
        <v>2056</v>
      </c>
      <c r="H907" s="5" t="n">
        <f aca="false">(COUNTIF(J907:EC907,"=0")+COUNTIF(J907:EC907,"=1"))</f>
        <v>5</v>
      </c>
      <c r="I907" s="12" t="n">
        <f aca="false">IFERROR(ROUND(10-AVERAGE(J907:EC907)*10,0),0)</f>
        <v>8</v>
      </c>
      <c r="J907" s="11" t="n">
        <v>1</v>
      </c>
      <c r="K907" s="11" t="n">
        <v>0</v>
      </c>
      <c r="L907" s="5"/>
      <c r="M907" s="5"/>
      <c r="N907" s="5"/>
      <c r="O907" s="5"/>
      <c r="P907" s="11" t="n">
        <v>0</v>
      </c>
      <c r="Q907" s="11" t="n">
        <v>0</v>
      </c>
      <c r="R907" s="5"/>
      <c r="S907" s="5"/>
      <c r="T907" s="11" t="n">
        <v>0</v>
      </c>
      <c r="U907" s="5"/>
      <c r="V907" s="5"/>
      <c r="W907" s="5"/>
      <c r="X907" s="5"/>
      <c r="Y907" s="5"/>
      <c r="Z907" s="5"/>
      <c r="AA907" s="5"/>
      <c r="AB907" s="5"/>
    </row>
    <row r="908" customFormat="false" ht="15.75" hidden="false" customHeight="false" outlineLevel="0" collapsed="false">
      <c r="A908" s="5" t="s">
        <v>2045</v>
      </c>
      <c r="B908" s="5" t="s">
        <v>2048</v>
      </c>
      <c r="C908" s="5" t="s">
        <v>2057</v>
      </c>
      <c r="D908" s="5"/>
      <c r="E908" s="5"/>
      <c r="F908" s="5"/>
      <c r="G908" s="9" t="s">
        <v>2058</v>
      </c>
      <c r="H908" s="5" t="n">
        <f aca="false">(COUNTIF(J908:EC908,"=0")+COUNTIF(J908:EC908,"=1"))</f>
        <v>5</v>
      </c>
      <c r="I908" s="12" t="n">
        <f aca="false">IFERROR(ROUND(10-AVERAGE(J908:EC908)*10,0),0)</f>
        <v>8</v>
      </c>
      <c r="J908" s="11" t="n">
        <v>1</v>
      </c>
      <c r="K908" s="11" t="n">
        <v>0</v>
      </c>
      <c r="L908" s="5"/>
      <c r="M908" s="5"/>
      <c r="N908" s="5"/>
      <c r="O908" s="5"/>
      <c r="P908" s="11" t="n">
        <v>0</v>
      </c>
      <c r="Q908" s="11" t="n">
        <v>0</v>
      </c>
      <c r="R908" s="5"/>
      <c r="S908" s="5"/>
      <c r="T908" s="11" t="n">
        <v>0</v>
      </c>
      <c r="U908" s="5"/>
      <c r="V908" s="5"/>
      <c r="W908" s="5"/>
      <c r="X908" s="5"/>
      <c r="Y908" s="5"/>
      <c r="Z908" s="5"/>
      <c r="AA908" s="5"/>
      <c r="AB908" s="5"/>
    </row>
    <row r="909" customFormat="false" ht="15.75" hidden="false" customHeight="false" outlineLevel="0" collapsed="false">
      <c r="A909" s="5" t="s">
        <v>2045</v>
      </c>
      <c r="B909" s="5" t="s">
        <v>2048</v>
      </c>
      <c r="C909" s="5" t="s">
        <v>2059</v>
      </c>
      <c r="D909" s="5"/>
      <c r="E909" s="5"/>
      <c r="F909" s="5"/>
      <c r="G909" s="9" t="s">
        <v>2060</v>
      </c>
      <c r="H909" s="5" t="n">
        <f aca="false">(COUNTIF(J909:EC909,"=0")+COUNTIF(J909:EC909,"=1"))</f>
        <v>5</v>
      </c>
      <c r="I909" s="12" t="n">
        <f aca="false">IFERROR(ROUND(10-AVERAGE(J909:EC909)*10,0),0)</f>
        <v>8</v>
      </c>
      <c r="J909" s="11" t="n">
        <v>1</v>
      </c>
      <c r="K909" s="11" t="n">
        <v>0</v>
      </c>
      <c r="L909" s="5"/>
      <c r="M909" s="5"/>
      <c r="N909" s="5"/>
      <c r="O909" s="5"/>
      <c r="P909" s="11" t="n">
        <v>0</v>
      </c>
      <c r="Q909" s="11" t="n">
        <v>0</v>
      </c>
      <c r="R909" s="5"/>
      <c r="S909" s="5"/>
      <c r="T909" s="11" t="n">
        <v>0</v>
      </c>
      <c r="U909" s="5"/>
      <c r="V909" s="5"/>
      <c r="W909" s="5"/>
      <c r="X909" s="5"/>
      <c r="Y909" s="5"/>
      <c r="Z909" s="5"/>
      <c r="AA909" s="5"/>
      <c r="AB909" s="5"/>
    </row>
    <row r="910" customFormat="false" ht="15.75" hidden="false" customHeight="false" outlineLevel="0" collapsed="false">
      <c r="A910" s="5" t="s">
        <v>2045</v>
      </c>
      <c r="B910" s="5" t="s">
        <v>2048</v>
      </c>
      <c r="C910" s="5" t="s">
        <v>2061</v>
      </c>
      <c r="D910" s="5"/>
      <c r="E910" s="5"/>
      <c r="F910" s="5"/>
      <c r="G910" s="9" t="s">
        <v>2062</v>
      </c>
      <c r="H910" s="5" t="n">
        <f aca="false">(COUNTIF(J910:EC910,"=0")+COUNTIF(J910:EC910,"=1"))</f>
        <v>5</v>
      </c>
      <c r="I910" s="12" t="n">
        <f aca="false">IFERROR(ROUND(10-AVERAGE(J910:EC910)*10,0),0)</f>
        <v>8</v>
      </c>
      <c r="J910" s="11" t="n">
        <v>1</v>
      </c>
      <c r="K910" s="11" t="n">
        <v>0</v>
      </c>
      <c r="L910" s="5"/>
      <c r="M910" s="5"/>
      <c r="N910" s="5"/>
      <c r="O910" s="5"/>
      <c r="P910" s="11" t="n">
        <v>0</v>
      </c>
      <c r="Q910" s="11" t="n">
        <v>0</v>
      </c>
      <c r="R910" s="5"/>
      <c r="S910" s="5"/>
      <c r="T910" s="11" t="n">
        <v>0</v>
      </c>
      <c r="U910" s="5"/>
      <c r="V910" s="5"/>
      <c r="W910" s="5"/>
      <c r="X910" s="5"/>
      <c r="Y910" s="5"/>
      <c r="Z910" s="5"/>
      <c r="AA910" s="5"/>
      <c r="AB910" s="5"/>
    </row>
    <row r="911" customFormat="false" ht="15.75" hidden="false" customHeight="false" outlineLevel="0" collapsed="false">
      <c r="A911" s="5" t="s">
        <v>2045</v>
      </c>
      <c r="B911" s="5" t="s">
        <v>2048</v>
      </c>
      <c r="C911" s="5" t="s">
        <v>2063</v>
      </c>
      <c r="D911" s="5"/>
      <c r="E911" s="5"/>
      <c r="F911" s="5"/>
      <c r="G911" s="9" t="s">
        <v>2064</v>
      </c>
      <c r="H911" s="5" t="n">
        <f aca="false">(COUNTIF(J911:EC911,"=0")+COUNTIF(J911:EC911,"=1"))</f>
        <v>5</v>
      </c>
      <c r="I911" s="12" t="n">
        <f aca="false">IFERROR(ROUND(10-AVERAGE(J911:EC911)*10,0),0)</f>
        <v>8</v>
      </c>
      <c r="J911" s="11" t="n">
        <v>1</v>
      </c>
      <c r="K911" s="11" t="n">
        <v>0</v>
      </c>
      <c r="L911" s="5"/>
      <c r="M911" s="5"/>
      <c r="N911" s="5"/>
      <c r="O911" s="5"/>
      <c r="P911" s="11" t="n">
        <v>0</v>
      </c>
      <c r="Q911" s="11" t="n">
        <v>0</v>
      </c>
      <c r="R911" s="5"/>
      <c r="S911" s="5"/>
      <c r="T911" s="11" t="n">
        <v>0</v>
      </c>
      <c r="U911" s="5"/>
      <c r="V911" s="5"/>
      <c r="W911" s="5"/>
      <c r="X911" s="5"/>
      <c r="Y911" s="5"/>
      <c r="Z911" s="5"/>
      <c r="AA911" s="5"/>
      <c r="AB911" s="5"/>
    </row>
    <row r="912" customFormat="false" ht="15.75" hidden="false" customHeight="false" outlineLevel="0" collapsed="false">
      <c r="A912" s="5" t="s">
        <v>2045</v>
      </c>
      <c r="B912" s="5" t="s">
        <v>2065</v>
      </c>
      <c r="C912" s="5" t="s">
        <v>2066</v>
      </c>
      <c r="D912" s="5"/>
      <c r="E912" s="5"/>
      <c r="F912" s="5"/>
      <c r="G912" s="9" t="s">
        <v>2067</v>
      </c>
      <c r="H912" s="5" t="n">
        <f aca="false">(COUNTIF(J912:EC912,"=0")+COUNTIF(J912:EC912,"=1"))</f>
        <v>5</v>
      </c>
      <c r="I912" s="12" t="n">
        <f aca="false">IFERROR(ROUND(10-AVERAGE(J912:EC912)*10,0),0)</f>
        <v>8</v>
      </c>
      <c r="J912" s="11" t="n">
        <v>1</v>
      </c>
      <c r="K912" s="11" t="n">
        <v>0</v>
      </c>
      <c r="L912" s="5"/>
      <c r="M912" s="5"/>
      <c r="N912" s="5"/>
      <c r="O912" s="5"/>
      <c r="P912" s="11" t="n">
        <v>0</v>
      </c>
      <c r="Q912" s="11" t="n">
        <v>0</v>
      </c>
      <c r="R912" s="5"/>
      <c r="S912" s="5"/>
      <c r="T912" s="11" t="n">
        <v>0</v>
      </c>
      <c r="U912" s="5"/>
      <c r="V912" s="5"/>
      <c r="W912" s="5"/>
      <c r="X912" s="5"/>
      <c r="Y912" s="5"/>
      <c r="Z912" s="5"/>
      <c r="AA912" s="5"/>
      <c r="AB912" s="5"/>
    </row>
    <row r="913" customFormat="false" ht="15.75" hidden="false" customHeight="false" outlineLevel="0" collapsed="false">
      <c r="A913" s="5" t="s">
        <v>2045</v>
      </c>
      <c r="B913" s="5" t="s">
        <v>2065</v>
      </c>
      <c r="C913" s="5" t="s">
        <v>2068</v>
      </c>
      <c r="D913" s="5"/>
      <c r="E913" s="5"/>
      <c r="F913" s="5"/>
      <c r="G913" s="9" t="s">
        <v>2069</v>
      </c>
      <c r="H913" s="5" t="n">
        <f aca="false">(COUNTIF(J913:EC913,"=0")+COUNTIF(J913:EC913,"=1"))</f>
        <v>5</v>
      </c>
      <c r="I913" s="12" t="n">
        <f aca="false">IFERROR(ROUND(10-AVERAGE(J913:EC913)*10,0),0)</f>
        <v>8</v>
      </c>
      <c r="J913" s="11" t="n">
        <v>1</v>
      </c>
      <c r="K913" s="11" t="n">
        <v>0</v>
      </c>
      <c r="L913" s="5"/>
      <c r="M913" s="5"/>
      <c r="N913" s="5"/>
      <c r="O913" s="5"/>
      <c r="P913" s="11" t="n">
        <v>0</v>
      </c>
      <c r="Q913" s="11" t="n">
        <v>0</v>
      </c>
      <c r="R913" s="5"/>
      <c r="S913" s="5"/>
      <c r="T913" s="11" t="n">
        <v>0</v>
      </c>
      <c r="U913" s="5"/>
      <c r="V913" s="5"/>
      <c r="W913" s="5"/>
      <c r="X913" s="5"/>
      <c r="Y913" s="5"/>
      <c r="Z913" s="5"/>
      <c r="AA913" s="5"/>
      <c r="AB913" s="5"/>
    </row>
    <row r="914" customFormat="false" ht="15.75" hidden="false" customHeight="false" outlineLevel="0" collapsed="false">
      <c r="A914" s="5" t="s">
        <v>2070</v>
      </c>
      <c r="B914" s="5" t="s">
        <v>2070</v>
      </c>
      <c r="C914" s="5" t="s">
        <v>2071</v>
      </c>
      <c r="D914" s="5"/>
      <c r="E914" s="5"/>
      <c r="F914" s="5"/>
      <c r="G914" s="9" t="s">
        <v>2072</v>
      </c>
      <c r="H914" s="5" t="n">
        <f aca="false">(COUNTIF(J914:EC914,"=0")+COUNTIF(J914:EC914,"=1"))</f>
        <v>5</v>
      </c>
      <c r="I914" s="12" t="n">
        <f aca="false">IFERROR(ROUND(10-AVERAGE(J914:EC914)*10,0),0)</f>
        <v>8</v>
      </c>
      <c r="J914" s="11" t="n">
        <v>0</v>
      </c>
      <c r="K914" s="11" t="n">
        <v>0</v>
      </c>
      <c r="L914" s="5"/>
      <c r="M914" s="5"/>
      <c r="N914" s="5"/>
      <c r="O914" s="5"/>
      <c r="P914" s="11" t="n">
        <v>1</v>
      </c>
      <c r="Q914" s="11" t="n">
        <v>0</v>
      </c>
      <c r="R914" s="5"/>
      <c r="S914" s="5"/>
      <c r="T914" s="11" t="n">
        <v>0</v>
      </c>
      <c r="U914" s="5"/>
      <c r="V914" s="5"/>
      <c r="W914" s="5"/>
      <c r="X914" s="5"/>
      <c r="Y914" s="5"/>
      <c r="Z914" s="5"/>
      <c r="AA914" s="5"/>
      <c r="AB914" s="5"/>
    </row>
    <row r="915" customFormat="false" ht="15.75" hidden="false" customHeight="false" outlineLevel="0" collapsed="false">
      <c r="A915" s="5" t="s">
        <v>2070</v>
      </c>
      <c r="B915" s="5" t="s">
        <v>2073</v>
      </c>
      <c r="C915" s="5" t="s">
        <v>2074</v>
      </c>
      <c r="D915" s="5"/>
      <c r="E915" s="5"/>
      <c r="F915" s="5"/>
      <c r="G915" s="9" t="s">
        <v>2075</v>
      </c>
      <c r="H915" s="5" t="n">
        <f aca="false">(COUNTIF(J915:EC915,"=0")+COUNTIF(J915:EC915,"=1"))</f>
        <v>6</v>
      </c>
      <c r="I915" s="12" t="n">
        <f aca="false">IFERROR(ROUND(10-AVERAGE(J915:EC915)*10,0),0)</f>
        <v>8</v>
      </c>
      <c r="J915" s="11" t="n">
        <v>0</v>
      </c>
      <c r="K915" s="11" t="n">
        <v>0</v>
      </c>
      <c r="L915" s="5"/>
      <c r="M915" s="5"/>
      <c r="N915" s="5"/>
      <c r="O915" s="5"/>
      <c r="P915" s="11" t="n">
        <v>1</v>
      </c>
      <c r="Q915" s="5"/>
      <c r="R915" s="5"/>
      <c r="S915" s="5"/>
      <c r="T915" s="11" t="n">
        <v>0</v>
      </c>
      <c r="U915" s="5"/>
      <c r="V915" s="5"/>
      <c r="W915" s="5"/>
      <c r="X915" s="5"/>
      <c r="Y915" s="5"/>
      <c r="Z915" s="11" t="n">
        <v>0</v>
      </c>
      <c r="AA915" s="11" t="n">
        <v>0</v>
      </c>
      <c r="AB915" s="5"/>
    </row>
    <row r="916" customFormat="false" ht="15.75" hidden="false" customHeight="false" outlineLevel="0" collapsed="false">
      <c r="A916" s="5" t="s">
        <v>2070</v>
      </c>
      <c r="B916" s="5" t="s">
        <v>2073</v>
      </c>
      <c r="C916" s="5" t="s">
        <v>2076</v>
      </c>
      <c r="D916" s="5"/>
      <c r="E916" s="5"/>
      <c r="F916" s="5"/>
      <c r="G916" s="9" t="s">
        <v>2077</v>
      </c>
      <c r="H916" s="5" t="n">
        <f aca="false">(COUNTIF(J916:EC916,"=0")+COUNTIF(J916:EC916,"=1"))</f>
        <v>4</v>
      </c>
      <c r="I916" s="12" t="n">
        <f aca="false">IFERROR(ROUND(10-AVERAGE(J916:EC916)*10,0),0)</f>
        <v>8</v>
      </c>
      <c r="J916" s="11" t="n">
        <v>0</v>
      </c>
      <c r="K916" s="11" t="n">
        <v>0</v>
      </c>
      <c r="L916" s="5"/>
      <c r="M916" s="5"/>
      <c r="N916" s="5"/>
      <c r="O916" s="5"/>
      <c r="P916" s="11" t="n">
        <v>1</v>
      </c>
      <c r="Q916" s="5"/>
      <c r="R916" s="5"/>
      <c r="S916" s="5"/>
      <c r="T916" s="5"/>
      <c r="U916" s="5"/>
      <c r="V916" s="5"/>
      <c r="W916" s="5"/>
      <c r="X916" s="5"/>
      <c r="Y916" s="5"/>
      <c r="Z916" s="11" t="n">
        <v>0</v>
      </c>
      <c r="AA916" s="5"/>
      <c r="AB916" s="5"/>
    </row>
    <row r="917" customFormat="false" ht="15.75" hidden="false" customHeight="false" outlineLevel="0" collapsed="false">
      <c r="A917" s="5" t="s">
        <v>2070</v>
      </c>
      <c r="B917" s="5" t="s">
        <v>2073</v>
      </c>
      <c r="C917" s="5" t="s">
        <v>551</v>
      </c>
      <c r="D917" s="5"/>
      <c r="E917" s="5"/>
      <c r="F917" s="5"/>
      <c r="G917" s="9" t="s">
        <v>2078</v>
      </c>
      <c r="H917" s="5" t="n">
        <f aca="false">(COUNTIF(J917:EC917,"=0")+COUNTIF(J917:EC917,"=1"))</f>
        <v>4</v>
      </c>
      <c r="I917" s="16" t="n">
        <f aca="false">IFERROR(ROUND(10-AVERAGE(J917:EC917)*10,0),0)</f>
        <v>8</v>
      </c>
      <c r="J917" s="5" t="n">
        <v>0</v>
      </c>
      <c r="K917" s="11" t="n">
        <v>0</v>
      </c>
      <c r="L917" s="5"/>
      <c r="M917" s="5"/>
      <c r="N917" s="5"/>
      <c r="O917" s="5"/>
      <c r="P917" s="11" t="n">
        <v>1</v>
      </c>
      <c r="Q917" s="5"/>
      <c r="R917" s="5"/>
      <c r="S917" s="5"/>
      <c r="T917" s="5"/>
      <c r="U917" s="5"/>
      <c r="V917" s="5"/>
      <c r="W917" s="5"/>
      <c r="X917" s="5"/>
      <c r="Y917" s="5"/>
      <c r="Z917" s="11" t="n">
        <v>0</v>
      </c>
      <c r="AA917" s="5"/>
      <c r="AB917" s="5"/>
    </row>
    <row r="918" customFormat="false" ht="15.75" hidden="false" customHeight="false" outlineLevel="0" collapsed="false">
      <c r="A918" s="5" t="s">
        <v>2070</v>
      </c>
      <c r="B918" s="5" t="s">
        <v>2073</v>
      </c>
      <c r="C918" s="5" t="s">
        <v>2079</v>
      </c>
      <c r="D918" s="5"/>
      <c r="E918" s="5"/>
      <c r="F918" s="5"/>
      <c r="G918" s="9" t="s">
        <v>2080</v>
      </c>
      <c r="H918" s="5" t="n">
        <f aca="false">(COUNTIF(J918:EC918,"=0")+COUNTIF(J918:EC918,"=1"))</f>
        <v>5</v>
      </c>
      <c r="I918" s="12" t="n">
        <f aca="false">IFERROR(ROUND(10-AVERAGE(J918:EC918)*10,0),0)</f>
        <v>8</v>
      </c>
      <c r="J918" s="11" t="n">
        <v>0</v>
      </c>
      <c r="K918" s="11" t="n">
        <v>0</v>
      </c>
      <c r="L918" s="5"/>
      <c r="M918" s="5"/>
      <c r="N918" s="5"/>
      <c r="O918" s="5"/>
      <c r="P918" s="11" t="n">
        <v>1</v>
      </c>
      <c r="Q918" s="11" t="n">
        <v>0</v>
      </c>
      <c r="R918" s="5"/>
      <c r="S918" s="5"/>
      <c r="T918" s="11" t="n">
        <v>0</v>
      </c>
      <c r="U918" s="5"/>
      <c r="V918" s="5"/>
      <c r="W918" s="5"/>
      <c r="X918" s="5"/>
      <c r="Y918" s="5"/>
      <c r="Z918" s="5"/>
      <c r="AA918" s="5"/>
      <c r="AB918" s="5"/>
    </row>
    <row r="919" customFormat="false" ht="15.75" hidden="false" customHeight="false" outlineLevel="0" collapsed="false">
      <c r="A919" s="5" t="s">
        <v>2081</v>
      </c>
      <c r="B919" s="5" t="s">
        <v>2081</v>
      </c>
      <c r="C919" s="5" t="s">
        <v>2082</v>
      </c>
      <c r="D919" s="5"/>
      <c r="E919" s="5"/>
      <c r="F919" s="5"/>
      <c r="G919" s="5"/>
      <c r="H919" s="5" t="n">
        <f aca="false">(COUNTIF(J919:EC919,"=0")+COUNTIF(J919:EC919,"=1"))</f>
        <v>8</v>
      </c>
      <c r="I919" s="17" t="n">
        <f aca="false">IFERROR(ROUND(10-AVERAGE(J919:EC919)*10,0),0)</f>
        <v>9</v>
      </c>
      <c r="J919" s="11" t="n">
        <v>0</v>
      </c>
      <c r="K919" s="11" t="n">
        <v>0</v>
      </c>
      <c r="L919" s="11" t="n">
        <v>0</v>
      </c>
      <c r="M919" s="5"/>
      <c r="N919" s="5"/>
      <c r="O919" s="11" t="n">
        <v>1</v>
      </c>
      <c r="P919" s="11" t="n">
        <v>0</v>
      </c>
      <c r="Q919" s="11" t="n">
        <v>0</v>
      </c>
      <c r="R919" s="5"/>
      <c r="S919" s="11" t="n">
        <v>0</v>
      </c>
      <c r="T919" s="11" t="n">
        <v>0</v>
      </c>
      <c r="U919" s="5"/>
      <c r="V919" s="5"/>
      <c r="W919" s="5"/>
      <c r="X919" s="5"/>
      <c r="Y919" s="5"/>
      <c r="Z919" s="5"/>
      <c r="AA919" s="5"/>
      <c r="AB919" s="5"/>
    </row>
    <row r="920" customFormat="false" ht="15.75" hidden="false" customHeight="false" outlineLevel="0" collapsed="false">
      <c r="A920" s="5" t="s">
        <v>2081</v>
      </c>
      <c r="B920" s="5" t="s">
        <v>2081</v>
      </c>
      <c r="C920" s="5" t="s">
        <v>2083</v>
      </c>
      <c r="D920" s="5"/>
      <c r="E920" s="5"/>
      <c r="F920" s="5"/>
      <c r="G920" s="9" t="s">
        <v>2084</v>
      </c>
      <c r="H920" s="5" t="n">
        <f aca="false">(COUNTIF(J920:EC920,"=0")+COUNTIF(J920:EC920,"=1"))</f>
        <v>8</v>
      </c>
      <c r="I920" s="12" t="n">
        <f aca="false">IFERROR(ROUND(10-AVERAGE(J920:EC920)*10,0),0)</f>
        <v>8</v>
      </c>
      <c r="J920" s="11" t="n">
        <v>1</v>
      </c>
      <c r="K920" s="11" t="n">
        <v>0</v>
      </c>
      <c r="L920" s="11" t="n">
        <v>0</v>
      </c>
      <c r="M920" s="5"/>
      <c r="N920" s="5"/>
      <c r="O920" s="11" t="n">
        <v>1</v>
      </c>
      <c r="P920" s="11" t="n">
        <v>0</v>
      </c>
      <c r="Q920" s="11" t="n">
        <v>0</v>
      </c>
      <c r="R920" s="5"/>
      <c r="S920" s="11" t="n">
        <v>0</v>
      </c>
      <c r="T920" s="11" t="n">
        <v>0</v>
      </c>
      <c r="U920" s="5"/>
      <c r="V920" s="5"/>
      <c r="W920" s="5"/>
      <c r="X920" s="5"/>
      <c r="Y920" s="5"/>
      <c r="Z920" s="5"/>
      <c r="AA920" s="5"/>
      <c r="AB920" s="5"/>
    </row>
    <row r="921" customFormat="false" ht="15.75" hidden="false" customHeight="false" outlineLevel="0" collapsed="false">
      <c r="A921" s="5" t="s">
        <v>2081</v>
      </c>
      <c r="B921" s="5" t="s">
        <v>2081</v>
      </c>
      <c r="C921" s="5" t="s">
        <v>2085</v>
      </c>
      <c r="D921" s="5"/>
      <c r="E921" s="5"/>
      <c r="F921" s="5"/>
      <c r="G921" s="5"/>
      <c r="H921" s="5" t="n">
        <f aca="false">(COUNTIF(J921:EC921,"=0")+COUNTIF(J921:EC921,"=1"))</f>
        <v>9</v>
      </c>
      <c r="I921" s="17" t="n">
        <f aca="false">IFERROR(ROUND(10-AVERAGE(J921:EC921)*10,0),0)</f>
        <v>9</v>
      </c>
      <c r="J921" s="11" t="n">
        <v>0</v>
      </c>
      <c r="K921" s="11" t="n">
        <v>0</v>
      </c>
      <c r="L921" s="11" t="n">
        <v>0</v>
      </c>
      <c r="M921" s="5"/>
      <c r="N921" s="5"/>
      <c r="O921" s="11" t="n">
        <v>1</v>
      </c>
      <c r="P921" s="11" t="n">
        <v>0</v>
      </c>
      <c r="Q921" s="11" t="n">
        <v>0</v>
      </c>
      <c r="R921" s="5"/>
      <c r="S921" s="11" t="n">
        <v>0</v>
      </c>
      <c r="T921" s="11" t="n">
        <v>0</v>
      </c>
      <c r="U921" s="5"/>
      <c r="V921" s="5"/>
      <c r="W921" s="5"/>
      <c r="X921" s="5"/>
      <c r="Y921" s="5"/>
      <c r="Z921" s="5" t="n">
        <v>0</v>
      </c>
      <c r="AA921" s="5"/>
      <c r="AB921" s="5"/>
    </row>
    <row r="922" customFormat="false" ht="15.75" hidden="false" customHeight="false" outlineLevel="0" collapsed="false">
      <c r="A922" s="5" t="s">
        <v>2081</v>
      </c>
      <c r="B922" s="5" t="s">
        <v>2081</v>
      </c>
      <c r="C922" s="5" t="s">
        <v>2086</v>
      </c>
      <c r="D922" s="5"/>
      <c r="E922" s="5"/>
      <c r="F922" s="5"/>
      <c r="G922" s="9" t="s">
        <v>2087</v>
      </c>
      <c r="H922" s="5" t="n">
        <f aca="false">(COUNTIF(J922:EC922,"=0")+COUNTIF(J922:EC922,"=1"))</f>
        <v>9</v>
      </c>
      <c r="I922" s="15" t="n">
        <f aca="false">IFERROR(ROUND(10-AVERAGE(J922:EC922)*10,0),0)</f>
        <v>6</v>
      </c>
      <c r="J922" s="11" t="n">
        <v>1</v>
      </c>
      <c r="K922" s="11" t="n">
        <v>0</v>
      </c>
      <c r="L922" s="11" t="n">
        <v>1</v>
      </c>
      <c r="M922" s="5"/>
      <c r="N922" s="5"/>
      <c r="O922" s="11" t="n">
        <v>1</v>
      </c>
      <c r="P922" s="11" t="n">
        <v>0</v>
      </c>
      <c r="Q922" s="11" t="n">
        <v>0</v>
      </c>
      <c r="R922" s="5"/>
      <c r="S922" s="11" t="n">
        <v>0</v>
      </c>
      <c r="T922" s="11" t="n">
        <v>0</v>
      </c>
      <c r="U922" s="5"/>
      <c r="V922" s="5"/>
      <c r="W922" s="5"/>
      <c r="X922" s="5"/>
      <c r="Y922" s="5"/>
      <c r="Z922" s="5"/>
      <c r="AA922" s="5"/>
      <c r="AB922" s="5"/>
      <c r="AF922" s="5" t="n">
        <v>1</v>
      </c>
    </row>
    <row r="923" customFormat="false" ht="15.75" hidden="false" customHeight="false" outlineLevel="0" collapsed="false">
      <c r="A923" s="5" t="s">
        <v>2088</v>
      </c>
      <c r="D923" s="5"/>
      <c r="E923" s="5"/>
      <c r="F923" s="5"/>
      <c r="G923" s="5"/>
      <c r="H923" s="5" t="n">
        <f aca="false">(COUNTIF(J923:EC923,"=0")+COUNTIF(J923:EC923,"=1"))</f>
        <v>0</v>
      </c>
      <c r="I923" s="18" t="n">
        <f aca="false">IFERROR(ROUND(10-AVERAGE(J923:EC923)*10,0),0)</f>
        <v>0</v>
      </c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customFormat="false" ht="15.75" hidden="false" customHeight="false" outlineLevel="0" collapsed="false">
      <c r="A924" s="5" t="s">
        <v>2089</v>
      </c>
      <c r="B924" s="5" t="s">
        <v>2089</v>
      </c>
      <c r="C924" s="5" t="s">
        <v>2090</v>
      </c>
      <c r="D924" s="5"/>
      <c r="E924" s="5"/>
      <c r="F924" s="5"/>
      <c r="G924" s="9" t="s">
        <v>2091</v>
      </c>
      <c r="H924" s="5" t="n">
        <f aca="false">(COUNTIF(J924:EC924,"=0")+COUNTIF(J924:EC924,"=1"))</f>
        <v>2</v>
      </c>
      <c r="I924" s="17" t="n">
        <f aca="false">IFERROR(ROUND(10-AVERAGE(J924:EC924)*10,0),0)</f>
        <v>5</v>
      </c>
      <c r="J924" s="11"/>
      <c r="K924" s="11" t="n">
        <v>1</v>
      </c>
      <c r="L924" s="5"/>
      <c r="M924" s="5"/>
      <c r="N924" s="5"/>
      <c r="O924" s="11"/>
      <c r="P924" s="11" t="n">
        <v>0</v>
      </c>
      <c r="Q924" s="11"/>
      <c r="R924" s="5"/>
      <c r="S924" s="11"/>
      <c r="T924" s="11"/>
      <c r="U924" s="5"/>
      <c r="V924" s="5"/>
      <c r="W924" s="5"/>
      <c r="X924" s="5"/>
      <c r="Y924" s="5"/>
      <c r="Z924" s="5"/>
      <c r="AA924" s="5"/>
      <c r="AB924" s="5"/>
    </row>
    <row r="925" customFormat="false" ht="15.75" hidden="false" customHeight="false" outlineLevel="0" collapsed="false">
      <c r="A925" s="5" t="s">
        <v>2089</v>
      </c>
      <c r="B925" s="5" t="s">
        <v>2089</v>
      </c>
      <c r="C925" s="5" t="s">
        <v>2092</v>
      </c>
      <c r="D925" s="5"/>
      <c r="E925" s="5"/>
      <c r="F925" s="5"/>
      <c r="G925" s="9" t="s">
        <v>2093</v>
      </c>
      <c r="H925" s="5" t="n">
        <f aca="false">(COUNTIF(J925:EC925,"=0")+COUNTIF(J925:EC925,"=1"))</f>
        <v>2</v>
      </c>
      <c r="I925" s="17" t="n">
        <f aca="false">IFERROR(ROUND(10-AVERAGE(J925:EC925)*10,0),0)</f>
        <v>5</v>
      </c>
      <c r="J925" s="11"/>
      <c r="K925" s="11" t="n">
        <v>1</v>
      </c>
      <c r="L925" s="5"/>
      <c r="M925" s="5"/>
      <c r="N925" s="5"/>
      <c r="O925" s="11"/>
      <c r="P925" s="11" t="n">
        <v>0</v>
      </c>
      <c r="Q925" s="11"/>
      <c r="R925" s="5"/>
      <c r="S925" s="11"/>
      <c r="T925" s="11"/>
      <c r="U925" s="5"/>
      <c r="V925" s="5"/>
      <c r="W925" s="5"/>
      <c r="X925" s="5"/>
      <c r="Y925" s="5"/>
      <c r="Z925" s="5"/>
      <c r="AA925" s="5"/>
      <c r="AB925" s="5"/>
    </row>
    <row r="926" customFormat="false" ht="15.75" hidden="false" customHeight="false" outlineLevel="0" collapsed="false">
      <c r="A926" s="5" t="s">
        <v>2094</v>
      </c>
      <c r="B926" s="5" t="s">
        <v>2094</v>
      </c>
      <c r="C926" s="5" t="s">
        <v>2095</v>
      </c>
      <c r="D926" s="5"/>
      <c r="E926" s="5"/>
      <c r="F926" s="5"/>
      <c r="G926" s="9" t="s">
        <v>2096</v>
      </c>
      <c r="H926" s="5" t="n">
        <f aca="false">(COUNTIF(J926:EC926,"=0")+COUNTIF(J926:EC926,"=1"))</f>
        <v>7</v>
      </c>
      <c r="I926" s="12" t="n">
        <f aca="false">IFERROR(ROUND(10-AVERAGE(J926:EC926)*10,0),0)</f>
        <v>9</v>
      </c>
      <c r="J926" s="11" t="n">
        <v>0</v>
      </c>
      <c r="K926" s="11" t="n">
        <v>0</v>
      </c>
      <c r="L926" s="5"/>
      <c r="M926" s="5"/>
      <c r="N926" s="5"/>
      <c r="O926" s="5"/>
      <c r="P926" s="11" t="n">
        <v>1</v>
      </c>
      <c r="Q926" s="5" t="n">
        <v>0</v>
      </c>
      <c r="R926" s="5"/>
      <c r="S926" s="5" t="n">
        <v>0</v>
      </c>
      <c r="T926" s="11" t="n">
        <v>0</v>
      </c>
      <c r="U926" s="5"/>
      <c r="V926" s="5"/>
      <c r="W926" s="5"/>
      <c r="X926" s="5"/>
      <c r="Y926" s="5"/>
      <c r="Z926" s="11" t="n">
        <v>0</v>
      </c>
      <c r="AA926" s="5"/>
      <c r="AB926" s="5"/>
    </row>
    <row r="927" customFormat="false" ht="15.75" hidden="false" customHeight="false" outlineLevel="0" collapsed="false">
      <c r="A927" s="5" t="s">
        <v>2097</v>
      </c>
      <c r="B927" s="5" t="s">
        <v>2097</v>
      </c>
      <c r="C927" s="5" t="s">
        <v>2098</v>
      </c>
      <c r="D927" s="5"/>
      <c r="E927" s="5"/>
      <c r="F927" s="5"/>
      <c r="G927" s="9" t="s">
        <v>2099</v>
      </c>
      <c r="H927" s="5" t="n">
        <f aca="false">(COUNTIF(J927:EC927,"=0")+COUNTIF(J927:EC927,"=1"))</f>
        <v>7</v>
      </c>
      <c r="I927" s="12" t="n">
        <f aca="false">IFERROR(ROUND(10-AVERAGE(J927:EC927)*10,0),0)</f>
        <v>9</v>
      </c>
      <c r="J927" s="11" t="n">
        <v>0</v>
      </c>
      <c r="K927" s="11" t="n">
        <v>0</v>
      </c>
      <c r="L927" s="5"/>
      <c r="M927" s="5"/>
      <c r="N927" s="5"/>
      <c r="O927" s="5"/>
      <c r="P927" s="11" t="n">
        <v>0</v>
      </c>
      <c r="Q927" s="5" t="n">
        <v>0</v>
      </c>
      <c r="R927" s="5"/>
      <c r="S927" s="5"/>
      <c r="T927" s="11" t="n">
        <v>0</v>
      </c>
      <c r="U927" s="5"/>
      <c r="V927" s="5"/>
      <c r="W927" s="11" t="n">
        <v>1</v>
      </c>
      <c r="X927" s="5"/>
      <c r="Y927" s="5"/>
      <c r="Z927" s="5" t="n">
        <v>0</v>
      </c>
      <c r="AA927" s="5"/>
      <c r="AB927" s="5"/>
    </row>
    <row r="928" customFormat="false" ht="15.75" hidden="false" customHeight="false" outlineLevel="0" collapsed="false">
      <c r="A928" s="5" t="s">
        <v>2097</v>
      </c>
      <c r="B928" s="5" t="s">
        <v>2097</v>
      </c>
      <c r="C928" s="5" t="s">
        <v>2097</v>
      </c>
      <c r="D928" s="5"/>
      <c r="E928" s="5"/>
      <c r="F928" s="5"/>
      <c r="G928" s="9" t="s">
        <v>2100</v>
      </c>
      <c r="H928" s="5" t="n">
        <f aca="false">(COUNTIF(J928:EC928,"=0")+COUNTIF(J928:EC928,"=1"))</f>
        <v>6</v>
      </c>
      <c r="I928" s="12" t="n">
        <f aca="false">IFERROR(ROUND(10-AVERAGE(J928:EC928)*10,0),0)</f>
        <v>8</v>
      </c>
      <c r="J928" s="11" t="n">
        <v>0</v>
      </c>
      <c r="K928" s="11" t="n">
        <v>0</v>
      </c>
      <c r="L928" s="5"/>
      <c r="M928" s="5"/>
      <c r="N928" s="5"/>
      <c r="O928" s="5"/>
      <c r="P928" s="11" t="n">
        <v>0</v>
      </c>
      <c r="Q928" s="5" t="n">
        <v>0</v>
      </c>
      <c r="R928" s="5"/>
      <c r="S928" s="5"/>
      <c r="T928" s="11" t="n">
        <v>0</v>
      </c>
      <c r="U928" s="5"/>
      <c r="V928" s="5"/>
      <c r="W928" s="11" t="n">
        <v>1</v>
      </c>
      <c r="X928" s="5"/>
      <c r="Y928" s="5"/>
      <c r="Z928" s="5"/>
      <c r="AA928" s="5"/>
      <c r="AB928" s="5"/>
    </row>
    <row r="929" customFormat="false" ht="15.75" hidden="false" customHeight="false" outlineLevel="0" collapsed="false">
      <c r="A929" s="5" t="s">
        <v>2101</v>
      </c>
      <c r="B929" s="5" t="s">
        <v>2101</v>
      </c>
      <c r="C929" s="5" t="s">
        <v>2102</v>
      </c>
      <c r="D929" s="5"/>
      <c r="E929" s="14" t="s">
        <v>2103</v>
      </c>
      <c r="F929" s="5"/>
      <c r="G929" s="14" t="s">
        <v>2104</v>
      </c>
      <c r="H929" s="5" t="n">
        <f aca="false">(COUNTIF(J929:EC929,"=0")+COUNTIF(J929:EC929,"=1"))</f>
        <v>1</v>
      </c>
      <c r="I929" s="15" t="n">
        <f aca="false">IFERROR(ROUND(10-AVERAGE(J929:EC929)*10,0),0)</f>
        <v>0</v>
      </c>
      <c r="J929" s="5"/>
      <c r="K929" s="5"/>
      <c r="L929" s="5"/>
      <c r="M929" s="5"/>
      <c r="N929" s="5"/>
      <c r="O929" s="5"/>
      <c r="P929" s="5" t="n">
        <v>1</v>
      </c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customFormat="false" ht="15.75" hidden="false" customHeight="false" outlineLevel="0" collapsed="false">
      <c r="A930" s="5" t="s">
        <v>2101</v>
      </c>
      <c r="B930" s="5" t="s">
        <v>2101</v>
      </c>
      <c r="C930" s="5" t="s">
        <v>2105</v>
      </c>
      <c r="D930" s="5"/>
      <c r="E930" s="5"/>
      <c r="F930" s="5"/>
      <c r="G930" s="14" t="s">
        <v>2106</v>
      </c>
      <c r="H930" s="5" t="n">
        <f aca="false">(COUNTIF(J930:EC930,"=0")+COUNTIF(J930:EC930,"=1"))</f>
        <v>1</v>
      </c>
      <c r="I930" s="15" t="n">
        <f aca="false">IFERROR(ROUND(10-AVERAGE(J930:EC930)*10,0),0)</f>
        <v>0</v>
      </c>
      <c r="J930" s="5"/>
      <c r="K930" s="5"/>
      <c r="L930" s="5"/>
      <c r="M930" s="5"/>
      <c r="N930" s="5"/>
      <c r="O930" s="5"/>
      <c r="P930" s="5" t="n">
        <v>1</v>
      </c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customFormat="false" ht="15.75" hidden="false" customHeight="false" outlineLevel="0" collapsed="false">
      <c r="A931" s="5" t="s">
        <v>2101</v>
      </c>
      <c r="B931" s="5" t="s">
        <v>2101</v>
      </c>
      <c r="C931" s="5" t="s">
        <v>2107</v>
      </c>
      <c r="D931" s="5"/>
      <c r="E931" s="14" t="s">
        <v>2108</v>
      </c>
      <c r="F931" s="5"/>
      <c r="G931" s="14" t="s">
        <v>2109</v>
      </c>
      <c r="H931" s="5" t="n">
        <f aca="false">(COUNTIF(J931:EC931,"=0")+COUNTIF(J931:EC931,"=1"))</f>
        <v>1</v>
      </c>
      <c r="I931" s="15" t="n">
        <f aca="false">IFERROR(ROUND(10-AVERAGE(J931:EC931)*10,0),0)</f>
        <v>0</v>
      </c>
      <c r="J931" s="5"/>
      <c r="K931" s="5"/>
      <c r="L931" s="5"/>
      <c r="M931" s="5"/>
      <c r="N931" s="5"/>
      <c r="O931" s="5"/>
      <c r="P931" s="5" t="n">
        <v>1</v>
      </c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customFormat="false" ht="15.75" hidden="false" customHeight="false" outlineLevel="0" collapsed="false">
      <c r="A932" s="5" t="s">
        <v>2101</v>
      </c>
      <c r="B932" s="5" t="s">
        <v>2101</v>
      </c>
      <c r="C932" s="5" t="s">
        <v>2110</v>
      </c>
      <c r="D932" s="5"/>
      <c r="E932" s="14" t="s">
        <v>2111</v>
      </c>
      <c r="F932" s="5"/>
      <c r="G932" s="14" t="s">
        <v>2112</v>
      </c>
      <c r="H932" s="5" t="n">
        <f aca="false">(COUNTIF(J932:EC932,"=0")+COUNTIF(J932:EC932,"=1"))</f>
        <v>1</v>
      </c>
      <c r="I932" s="15" t="n">
        <f aca="false">IFERROR(ROUND(10-AVERAGE(J932:EC932)*10,0),0)</f>
        <v>0</v>
      </c>
      <c r="J932" s="5"/>
      <c r="K932" s="5"/>
      <c r="L932" s="5"/>
      <c r="M932" s="5"/>
      <c r="N932" s="5"/>
      <c r="O932" s="5"/>
      <c r="P932" s="5" t="n">
        <v>1</v>
      </c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customFormat="false" ht="15.75" hidden="false" customHeight="false" outlineLevel="0" collapsed="false">
      <c r="A933" s="5" t="s">
        <v>2101</v>
      </c>
      <c r="B933" s="5" t="s">
        <v>2101</v>
      </c>
      <c r="C933" s="5" t="s">
        <v>2113</v>
      </c>
      <c r="D933" s="5"/>
      <c r="E933" s="14" t="s">
        <v>2114</v>
      </c>
      <c r="F933" s="5"/>
      <c r="G933" s="14" t="s">
        <v>2115</v>
      </c>
      <c r="H933" s="5" t="n">
        <f aca="false">(COUNTIF(J933:EC933,"=0")+COUNTIF(J933:EC933,"=1"))</f>
        <v>1</v>
      </c>
      <c r="I933" s="15" t="n">
        <f aca="false">IFERROR(ROUND(10-AVERAGE(J933:EC933)*10,0),0)</f>
        <v>0</v>
      </c>
      <c r="J933" s="5"/>
      <c r="K933" s="5"/>
      <c r="L933" s="5"/>
      <c r="M933" s="5"/>
      <c r="N933" s="5"/>
      <c r="O933" s="5"/>
      <c r="P933" s="5" t="n">
        <v>1</v>
      </c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customFormat="false" ht="15.75" hidden="false" customHeight="false" outlineLevel="0" collapsed="false">
      <c r="A934" s="5" t="s">
        <v>2116</v>
      </c>
      <c r="B934" s="5" t="s">
        <v>2116</v>
      </c>
      <c r="C934" s="32" t="n">
        <v>1812</v>
      </c>
      <c r="D934" s="5"/>
      <c r="E934" s="5"/>
      <c r="F934" s="5"/>
      <c r="G934" s="9" t="s">
        <v>2117</v>
      </c>
      <c r="H934" s="5" t="n">
        <f aca="false">(COUNTIF(J934:EC934,"=0")+COUNTIF(J934:EC934,"=1"))</f>
        <v>6</v>
      </c>
      <c r="I934" s="21" t="n">
        <f aca="false">IFERROR(ROUND(10-AVERAGE(J934:EC934)*10,0),0)</f>
        <v>3</v>
      </c>
      <c r="J934" s="11" t="n">
        <v>1</v>
      </c>
      <c r="K934" s="11" t="n">
        <v>1</v>
      </c>
      <c r="L934" s="5"/>
      <c r="M934" s="5"/>
      <c r="N934" s="5"/>
      <c r="O934" s="11" t="n">
        <v>0</v>
      </c>
      <c r="P934" s="11" t="n">
        <v>1</v>
      </c>
      <c r="Q934" s="11" t="n">
        <v>1</v>
      </c>
      <c r="R934" s="5"/>
      <c r="S934" s="5"/>
      <c r="T934" s="11" t="n">
        <v>0</v>
      </c>
      <c r="U934" s="5"/>
      <c r="V934" s="5"/>
      <c r="W934" s="5"/>
      <c r="X934" s="5"/>
      <c r="Y934" s="5"/>
      <c r="Z934" s="5"/>
      <c r="AA934" s="5"/>
      <c r="AB934" s="5"/>
    </row>
    <row r="935" customFormat="false" ht="15.75" hidden="false" customHeight="false" outlineLevel="0" collapsed="false">
      <c r="A935" s="5" t="s">
        <v>2116</v>
      </c>
      <c r="B935" s="5" t="s">
        <v>2116</v>
      </c>
      <c r="C935" s="32" t="s">
        <v>2118</v>
      </c>
      <c r="D935" s="5"/>
      <c r="E935" s="5"/>
      <c r="F935" s="5"/>
      <c r="G935" s="9" t="s">
        <v>2119</v>
      </c>
      <c r="H935" s="5" t="n">
        <f aca="false">(COUNTIF(J935:EC935,"=0")+COUNTIF(J935:EC935,"=1"))</f>
        <v>7</v>
      </c>
      <c r="I935" s="21" t="n">
        <f aca="false">IFERROR(ROUND(10-AVERAGE(J935:EC935)*10,0),0)</f>
        <v>4</v>
      </c>
      <c r="J935" s="11" t="n">
        <v>1</v>
      </c>
      <c r="K935" s="11" t="n">
        <v>1</v>
      </c>
      <c r="L935" s="5"/>
      <c r="M935" s="5"/>
      <c r="N935" s="5"/>
      <c r="O935" s="11" t="n">
        <v>0</v>
      </c>
      <c r="P935" s="11" t="n">
        <v>1</v>
      </c>
      <c r="Q935" s="11" t="n">
        <v>1</v>
      </c>
      <c r="R935" s="5"/>
      <c r="S935" s="5"/>
      <c r="T935" s="11" t="n">
        <v>0</v>
      </c>
      <c r="U935" s="5"/>
      <c r="V935" s="5"/>
      <c r="W935" s="5" t="n">
        <v>0</v>
      </c>
      <c r="X935" s="5"/>
      <c r="Y935" s="5"/>
      <c r="Z935" s="5"/>
      <c r="AA935" s="5"/>
      <c r="AB935" s="5"/>
    </row>
    <row r="936" customFormat="false" ht="15.75" hidden="false" customHeight="false" outlineLevel="0" collapsed="false">
      <c r="A936" s="5" t="s">
        <v>2116</v>
      </c>
      <c r="B936" s="5" t="s">
        <v>2116</v>
      </c>
      <c r="C936" s="32" t="s">
        <v>2120</v>
      </c>
      <c r="D936" s="5"/>
      <c r="E936" s="5"/>
      <c r="F936" s="5"/>
      <c r="G936" s="9" t="s">
        <v>2121</v>
      </c>
      <c r="H936" s="5" t="n">
        <f aca="false">(COUNTIF(J936:EC936,"=0")+COUNTIF(J936:EC936,"=1"))</f>
        <v>6</v>
      </c>
      <c r="I936" s="21" t="n">
        <f aca="false">IFERROR(ROUND(10-AVERAGE(J936:EC936)*10,0),0)</f>
        <v>3</v>
      </c>
      <c r="J936" s="11" t="n">
        <v>1</v>
      </c>
      <c r="K936" s="11" t="n">
        <v>1</v>
      </c>
      <c r="L936" s="5"/>
      <c r="M936" s="5"/>
      <c r="N936" s="5"/>
      <c r="O936" s="11" t="n">
        <v>0</v>
      </c>
      <c r="P936" s="11" t="n">
        <v>1</v>
      </c>
      <c r="Q936" s="11" t="n">
        <v>1</v>
      </c>
      <c r="R936" s="5"/>
      <c r="S936" s="5"/>
      <c r="T936" s="11" t="n">
        <v>0</v>
      </c>
      <c r="U936" s="5"/>
      <c r="V936" s="5"/>
      <c r="W936" s="5"/>
      <c r="X936" s="5"/>
      <c r="Y936" s="5"/>
      <c r="Z936" s="5"/>
      <c r="AA936" s="5"/>
      <c r="AB936" s="5"/>
    </row>
    <row r="937" customFormat="false" ht="15.75" hidden="false" customHeight="false" outlineLevel="0" collapsed="false">
      <c r="A937" s="5" t="s">
        <v>2116</v>
      </c>
      <c r="B937" s="5" t="s">
        <v>2116</v>
      </c>
      <c r="C937" s="5" t="s">
        <v>2122</v>
      </c>
      <c r="D937" s="5"/>
      <c r="E937" s="5"/>
      <c r="F937" s="5"/>
      <c r="G937" s="9" t="s">
        <v>2123</v>
      </c>
      <c r="H937" s="5" t="n">
        <f aca="false">(COUNTIF(J937:EC937,"=0")+COUNTIF(J937:EC937,"=1"))</f>
        <v>8</v>
      </c>
      <c r="I937" s="21" t="n">
        <f aca="false">IFERROR(ROUND(10-AVERAGE(J937:EC937)*10,0),0)</f>
        <v>3</v>
      </c>
      <c r="J937" s="11" t="n">
        <v>1</v>
      </c>
      <c r="K937" s="11" t="n">
        <v>1</v>
      </c>
      <c r="L937" s="11" t="n">
        <v>1</v>
      </c>
      <c r="M937" s="5"/>
      <c r="N937" s="5"/>
      <c r="O937" s="11" t="n">
        <v>0</v>
      </c>
      <c r="P937" s="11" t="n">
        <v>1</v>
      </c>
      <c r="Q937" s="11" t="n">
        <v>1</v>
      </c>
      <c r="R937" s="5"/>
      <c r="S937" s="11" t="n">
        <v>0</v>
      </c>
      <c r="T937" s="11" t="n">
        <v>1</v>
      </c>
      <c r="U937" s="5"/>
      <c r="V937" s="5"/>
      <c r="W937" s="5"/>
      <c r="X937" s="5"/>
      <c r="Y937" s="5"/>
      <c r="Z937" s="5"/>
      <c r="AA937" s="5"/>
      <c r="AB937" s="5"/>
    </row>
    <row r="938" customFormat="false" ht="15.75" hidden="false" customHeight="false" outlineLevel="0" collapsed="false">
      <c r="A938" s="5" t="s">
        <v>2116</v>
      </c>
      <c r="B938" s="5" t="s">
        <v>2116</v>
      </c>
      <c r="C938" s="32" t="s">
        <v>2124</v>
      </c>
      <c r="D938" s="5"/>
      <c r="E938" s="5"/>
      <c r="F938" s="5"/>
      <c r="G938" s="9" t="s">
        <v>2125</v>
      </c>
      <c r="H938" s="5" t="n">
        <f aca="false">(COUNTIF(J938:EC938,"=0")+COUNTIF(J938:EC938,"=1"))</f>
        <v>6</v>
      </c>
      <c r="I938" s="21" t="n">
        <f aca="false">IFERROR(ROUND(10-AVERAGE(J938:EC938)*10,0),0)</f>
        <v>3</v>
      </c>
      <c r="J938" s="11" t="n">
        <v>1</v>
      </c>
      <c r="K938" s="11" t="n">
        <v>1</v>
      </c>
      <c r="L938" s="5"/>
      <c r="M938" s="5"/>
      <c r="N938" s="5"/>
      <c r="O938" s="11" t="n">
        <v>0</v>
      </c>
      <c r="P938" s="11" t="n">
        <v>1</v>
      </c>
      <c r="Q938" s="11" t="n">
        <v>1</v>
      </c>
      <c r="R938" s="5"/>
      <c r="S938" s="5"/>
      <c r="T938" s="11" t="n">
        <v>0</v>
      </c>
      <c r="U938" s="5"/>
      <c r="V938" s="5"/>
      <c r="W938" s="5"/>
      <c r="X938" s="5"/>
      <c r="Y938" s="5"/>
      <c r="Z938" s="5"/>
      <c r="AA938" s="5"/>
      <c r="AB938" s="5"/>
    </row>
    <row r="939" customFormat="false" ht="15.75" hidden="false" customHeight="false" outlineLevel="0" collapsed="false">
      <c r="A939" s="5" t="s">
        <v>2116</v>
      </c>
      <c r="B939" s="5" t="s">
        <v>2116</v>
      </c>
      <c r="C939" s="32" t="s">
        <v>2126</v>
      </c>
      <c r="D939" s="5"/>
      <c r="E939" s="5"/>
      <c r="F939" s="5"/>
      <c r="G939" s="9" t="s">
        <v>2127</v>
      </c>
      <c r="H939" s="5" t="n">
        <f aca="false">(COUNTIF(J939:EC939,"=0")+COUNTIF(J939:EC939,"=1"))</f>
        <v>6</v>
      </c>
      <c r="I939" s="21" t="n">
        <f aca="false">IFERROR(ROUND(10-AVERAGE(J939:EC939)*10,0),0)</f>
        <v>3</v>
      </c>
      <c r="J939" s="11" t="n">
        <v>1</v>
      </c>
      <c r="K939" s="11" t="n">
        <v>1</v>
      </c>
      <c r="L939" s="5"/>
      <c r="M939" s="5"/>
      <c r="N939" s="5"/>
      <c r="O939" s="11" t="n">
        <v>0</v>
      </c>
      <c r="P939" s="11" t="n">
        <v>1</v>
      </c>
      <c r="Q939" s="11" t="n">
        <v>1</v>
      </c>
      <c r="R939" s="5"/>
      <c r="S939" s="5"/>
      <c r="T939" s="11" t="n">
        <v>0</v>
      </c>
      <c r="U939" s="5"/>
      <c r="V939" s="5"/>
      <c r="W939" s="5"/>
      <c r="X939" s="5"/>
      <c r="Y939" s="5"/>
      <c r="Z939" s="5"/>
      <c r="AA939" s="5"/>
      <c r="AB939" s="5"/>
    </row>
    <row r="940" customFormat="false" ht="15.75" hidden="false" customHeight="false" outlineLevel="0" collapsed="false">
      <c r="A940" s="5" t="s">
        <v>2116</v>
      </c>
      <c r="B940" s="5" t="s">
        <v>2116</v>
      </c>
      <c r="C940" s="32" t="s">
        <v>2128</v>
      </c>
      <c r="D940" s="5"/>
      <c r="E940" s="5"/>
      <c r="F940" s="5"/>
      <c r="G940" s="9" t="s">
        <v>2129</v>
      </c>
      <c r="H940" s="5" t="n">
        <f aca="false">(COUNTIF(J940:EC940,"=0")+COUNTIF(J940:EC940,"=1"))</f>
        <v>7</v>
      </c>
      <c r="I940" s="21" t="n">
        <f aca="false">IFERROR(ROUND(10-AVERAGE(J940:EC940)*10,0),0)</f>
        <v>4</v>
      </c>
      <c r="J940" s="11" t="n">
        <v>1</v>
      </c>
      <c r="K940" s="11" t="n">
        <v>1</v>
      </c>
      <c r="L940" s="5"/>
      <c r="M940" s="5"/>
      <c r="N940" s="5"/>
      <c r="O940" s="11" t="n">
        <v>0</v>
      </c>
      <c r="P940" s="11" t="n">
        <v>1</v>
      </c>
      <c r="Q940" s="11" t="n">
        <v>1</v>
      </c>
      <c r="R940" s="5"/>
      <c r="S940" s="5"/>
      <c r="T940" s="11" t="n">
        <v>0</v>
      </c>
      <c r="U940" s="5"/>
      <c r="V940" s="5"/>
      <c r="W940" s="5"/>
      <c r="X940" s="5"/>
      <c r="Y940" s="5"/>
      <c r="Z940" s="5"/>
      <c r="AA940" s="5"/>
      <c r="AB940" s="5"/>
      <c r="AF940" s="5" t="n">
        <v>0</v>
      </c>
    </row>
    <row r="941" customFormat="false" ht="15.75" hidden="false" customHeight="false" outlineLevel="0" collapsed="false">
      <c r="A941" s="5" t="s">
        <v>2116</v>
      </c>
      <c r="B941" s="5" t="s">
        <v>2116</v>
      </c>
      <c r="C941" s="32" t="s">
        <v>2130</v>
      </c>
      <c r="D941" s="5"/>
      <c r="E941" s="5"/>
      <c r="F941" s="5"/>
      <c r="G941" s="9" t="s">
        <v>2131</v>
      </c>
      <c r="H941" s="5" t="n">
        <f aca="false">(COUNTIF(J941:EC941,"=0")+COUNTIF(J941:EC941,"=1"))</f>
        <v>7</v>
      </c>
      <c r="I941" s="21" t="n">
        <f aca="false">IFERROR(ROUND(10-AVERAGE(J941:EC941)*10,0),0)</f>
        <v>3</v>
      </c>
      <c r="J941" s="11" t="n">
        <v>1</v>
      </c>
      <c r="K941" s="11" t="n">
        <v>1</v>
      </c>
      <c r="L941" s="5"/>
      <c r="M941" s="5"/>
      <c r="N941" s="5"/>
      <c r="O941" s="11" t="n">
        <v>0</v>
      </c>
      <c r="P941" s="11" t="n">
        <v>1</v>
      </c>
      <c r="Q941" s="11" t="n">
        <v>1</v>
      </c>
      <c r="R941" s="5"/>
      <c r="S941" s="5"/>
      <c r="T941" s="11" t="n">
        <v>0</v>
      </c>
      <c r="U941" s="5"/>
      <c r="V941" s="5"/>
      <c r="W941" s="5"/>
      <c r="X941" s="5"/>
      <c r="Y941" s="5"/>
      <c r="Z941" s="5"/>
      <c r="AA941" s="11" t="n">
        <v>1</v>
      </c>
      <c r="AB941" s="5"/>
    </row>
    <row r="942" customFormat="false" ht="15.75" hidden="false" customHeight="false" outlineLevel="0" collapsed="false">
      <c r="A942" s="5" t="s">
        <v>2116</v>
      </c>
      <c r="B942" s="5" t="s">
        <v>2116</v>
      </c>
      <c r="C942" s="32" t="s">
        <v>2132</v>
      </c>
      <c r="D942" s="5"/>
      <c r="E942" s="5"/>
      <c r="F942" s="5"/>
      <c r="G942" s="9" t="s">
        <v>2133</v>
      </c>
      <c r="H942" s="5" t="n">
        <f aca="false">(COUNTIF(J942:EC942,"=0")+COUNTIF(J942:EC942,"=1"))</f>
        <v>6</v>
      </c>
      <c r="I942" s="21" t="n">
        <f aca="false">IFERROR(ROUND(10-AVERAGE(J942:EC942)*10,0),0)</f>
        <v>3</v>
      </c>
      <c r="J942" s="11" t="n">
        <v>1</v>
      </c>
      <c r="K942" s="11" t="n">
        <v>1</v>
      </c>
      <c r="L942" s="5"/>
      <c r="M942" s="5"/>
      <c r="N942" s="5"/>
      <c r="O942" s="11" t="n">
        <v>0</v>
      </c>
      <c r="P942" s="11" t="n">
        <v>1</v>
      </c>
      <c r="Q942" s="11" t="n">
        <v>1</v>
      </c>
      <c r="R942" s="5"/>
      <c r="S942" s="5"/>
      <c r="T942" s="11" t="n">
        <v>0</v>
      </c>
      <c r="U942" s="5"/>
      <c r="V942" s="5"/>
      <c r="W942" s="5"/>
      <c r="X942" s="5"/>
      <c r="Y942" s="5"/>
      <c r="Z942" s="5"/>
      <c r="AA942" s="5"/>
      <c r="AB942" s="5"/>
    </row>
    <row r="943" customFormat="false" ht="15.75" hidden="false" customHeight="false" outlineLevel="0" collapsed="false">
      <c r="A943" s="5" t="s">
        <v>2134</v>
      </c>
      <c r="B943" s="5" t="s">
        <v>2134</v>
      </c>
      <c r="C943" s="5" t="s">
        <v>2135</v>
      </c>
      <c r="D943" s="5"/>
      <c r="E943" s="5"/>
      <c r="F943" s="5"/>
      <c r="G943" s="9" t="s">
        <v>2136</v>
      </c>
      <c r="H943" s="5" t="n">
        <f aca="false">(COUNTIF(J943:EC943,"=0")+COUNTIF(J943:EC943,"=1"))</f>
        <v>8</v>
      </c>
      <c r="I943" s="16" t="n">
        <f aca="false">IFERROR(ROUND(10-AVERAGE(J943:EC943)*10,0),0)</f>
        <v>6</v>
      </c>
      <c r="J943" s="5" t="n">
        <v>0</v>
      </c>
      <c r="K943" s="11" t="n">
        <v>0</v>
      </c>
      <c r="L943" s="5"/>
      <c r="M943" s="5"/>
      <c r="N943" s="5"/>
      <c r="O943" s="5"/>
      <c r="P943" s="11" t="n">
        <v>1</v>
      </c>
      <c r="Q943" s="5" t="n">
        <v>1</v>
      </c>
      <c r="R943" s="5"/>
      <c r="S943" s="11" t="n">
        <v>1</v>
      </c>
      <c r="T943" s="5"/>
      <c r="U943" s="5"/>
      <c r="V943" s="5"/>
      <c r="W943" s="5" t="n">
        <v>0</v>
      </c>
      <c r="X943" s="5"/>
      <c r="Y943" s="5"/>
      <c r="Z943" s="5"/>
      <c r="AA943" s="5"/>
      <c r="AB943" s="5"/>
      <c r="AC943" s="5" t="n">
        <v>0</v>
      </c>
      <c r="AF943" s="5" t="n">
        <v>0</v>
      </c>
    </row>
    <row r="944" customFormat="false" ht="15.75" hidden="false" customHeight="false" outlineLevel="0" collapsed="false">
      <c r="A944" s="5" t="s">
        <v>2137</v>
      </c>
      <c r="B944" s="5" t="s">
        <v>2138</v>
      </c>
      <c r="C944" s="5" t="s">
        <v>2139</v>
      </c>
      <c r="D944" s="5"/>
      <c r="E944" s="5"/>
      <c r="F944" s="5"/>
      <c r="G944" s="9" t="s">
        <v>2140</v>
      </c>
      <c r="H944" s="5" t="n">
        <f aca="false">(COUNTIF(J944:EC944,"=0")+COUNTIF(J944:EC944,"=1"))</f>
        <v>8</v>
      </c>
      <c r="I944" s="17" t="n">
        <f aca="false">IFERROR(ROUND(10-AVERAGE(J944:EC944)*10,0),0)</f>
        <v>9</v>
      </c>
      <c r="J944" s="11" t="n">
        <v>0</v>
      </c>
      <c r="K944" s="11" t="n">
        <v>0</v>
      </c>
      <c r="L944" s="5"/>
      <c r="M944" s="5"/>
      <c r="N944" s="5"/>
      <c r="O944" s="11" t="n">
        <v>0</v>
      </c>
      <c r="P944" s="11" t="n">
        <v>0</v>
      </c>
      <c r="Q944" s="11" t="n">
        <v>0</v>
      </c>
      <c r="R944" s="5"/>
      <c r="S944" s="11" t="n">
        <v>1</v>
      </c>
      <c r="T944" s="11" t="n">
        <v>0</v>
      </c>
      <c r="U944" s="5"/>
      <c r="V944" s="5"/>
      <c r="W944" s="5" t="n">
        <v>0</v>
      </c>
      <c r="X944" s="5"/>
      <c r="Y944" s="5"/>
      <c r="Z944" s="5"/>
      <c r="AA944" s="5"/>
      <c r="AB944" s="5"/>
    </row>
    <row r="945" customFormat="false" ht="15.75" hidden="false" customHeight="false" outlineLevel="0" collapsed="false">
      <c r="A945" s="5" t="s">
        <v>2141</v>
      </c>
      <c r="B945" s="5" t="s">
        <v>2141</v>
      </c>
      <c r="C945" s="5" t="s">
        <v>2142</v>
      </c>
      <c r="D945" s="5"/>
      <c r="E945" s="5"/>
      <c r="F945" s="5"/>
      <c r="G945" s="9" t="s">
        <v>2143</v>
      </c>
      <c r="H945" s="5" t="n">
        <f aca="false">(COUNTIF(J945:EC945,"=0")+COUNTIF(J945:EC945,"=1"))</f>
        <v>5</v>
      </c>
      <c r="I945" s="16" t="n">
        <f aca="false">IFERROR(ROUND(10-AVERAGE(J945:EC945)*10,0),0)</f>
        <v>8</v>
      </c>
      <c r="J945" s="5" t="n">
        <v>0</v>
      </c>
      <c r="K945" s="11" t="n">
        <v>0</v>
      </c>
      <c r="L945" s="5"/>
      <c r="M945" s="5"/>
      <c r="N945" s="5"/>
      <c r="O945" s="5"/>
      <c r="P945" s="11" t="n">
        <v>1</v>
      </c>
      <c r="Q945" s="5" t="n">
        <v>0</v>
      </c>
      <c r="R945" s="5"/>
      <c r="S945" s="5"/>
      <c r="T945" s="5"/>
      <c r="U945" s="5"/>
      <c r="V945" s="5"/>
      <c r="W945" s="5"/>
      <c r="X945" s="5"/>
      <c r="Y945" s="5"/>
      <c r="Z945" s="11" t="n">
        <v>0</v>
      </c>
      <c r="AA945" s="5"/>
      <c r="AB945" s="5"/>
    </row>
    <row r="946" customFormat="false" ht="15.75" hidden="false" customHeight="false" outlineLevel="0" collapsed="false">
      <c r="A946" s="5" t="s">
        <v>2144</v>
      </c>
      <c r="B946" s="5" t="s">
        <v>2145</v>
      </c>
      <c r="C946" s="5" t="s">
        <v>2146</v>
      </c>
      <c r="D946" s="5"/>
      <c r="E946" s="5"/>
      <c r="F946" s="5"/>
      <c r="G946" s="9" t="s">
        <v>2147</v>
      </c>
      <c r="H946" s="5" t="n">
        <f aca="false">(COUNTIF(J946:EC946,"=0")+COUNTIF(J946:EC946,"=1"))</f>
        <v>8</v>
      </c>
      <c r="I946" s="15" t="n">
        <f aca="false">IFERROR(ROUND(10-AVERAGE(J946:EC946)*10,0),0)</f>
        <v>6</v>
      </c>
      <c r="J946" s="11" t="n">
        <v>0</v>
      </c>
      <c r="K946" s="11" t="n">
        <v>0</v>
      </c>
      <c r="L946" s="5"/>
      <c r="M946" s="5"/>
      <c r="N946" s="5"/>
      <c r="O946" s="5" t="n">
        <v>0</v>
      </c>
      <c r="P946" s="11" t="n">
        <v>1</v>
      </c>
      <c r="Q946" s="5"/>
      <c r="R946" s="5"/>
      <c r="S946" s="5"/>
      <c r="T946" s="11" t="n">
        <v>0</v>
      </c>
      <c r="U946" s="5"/>
      <c r="V946" s="5"/>
      <c r="W946" s="5" t="n">
        <v>0</v>
      </c>
      <c r="X946" s="11" t="n">
        <v>1</v>
      </c>
      <c r="Y946" s="5"/>
      <c r="Z946" s="5"/>
      <c r="AA946" s="5"/>
      <c r="AB946" s="5"/>
      <c r="AF946" s="5" t="n">
        <v>1</v>
      </c>
    </row>
    <row r="947" customFormat="false" ht="15.75" hidden="false" customHeight="false" outlineLevel="0" collapsed="false">
      <c r="A947" s="5" t="s">
        <v>2144</v>
      </c>
      <c r="B947" s="5" t="s">
        <v>2148</v>
      </c>
      <c r="C947" s="5" t="s">
        <v>2149</v>
      </c>
      <c r="D947" s="5"/>
      <c r="E947" s="5"/>
      <c r="F947" s="5"/>
      <c r="G947" s="9" t="s">
        <v>2150</v>
      </c>
      <c r="H947" s="5" t="n">
        <f aca="false">(COUNTIF(J947:EC947,"=0")+COUNTIF(J947:EC947,"=1"))</f>
        <v>8</v>
      </c>
      <c r="I947" s="15" t="n">
        <f aca="false">IFERROR(ROUND(10-AVERAGE(J947:EC947)*10,0),0)</f>
        <v>8</v>
      </c>
      <c r="J947" s="11" t="n">
        <v>0</v>
      </c>
      <c r="K947" s="11" t="n">
        <v>0</v>
      </c>
      <c r="L947" s="5"/>
      <c r="M947" s="5"/>
      <c r="N947" s="5"/>
      <c r="O947" s="5" t="n">
        <v>0</v>
      </c>
      <c r="P947" s="11" t="n">
        <v>1</v>
      </c>
      <c r="Q947" s="5" t="n">
        <v>0</v>
      </c>
      <c r="R947" s="5"/>
      <c r="S947" s="5"/>
      <c r="T947" s="11" t="n">
        <v>0</v>
      </c>
      <c r="U947" s="5"/>
      <c r="V947" s="5"/>
      <c r="W947" s="11" t="n">
        <v>1</v>
      </c>
      <c r="X947" s="5"/>
      <c r="Y947" s="5"/>
      <c r="Z947" s="5"/>
      <c r="AA947" s="5"/>
      <c r="AB947" s="5"/>
      <c r="AF947" s="5" t="n">
        <v>0</v>
      </c>
    </row>
    <row r="948" customFormat="false" ht="15.75" hidden="false" customHeight="false" outlineLevel="0" collapsed="false">
      <c r="A948" s="5" t="s">
        <v>2151</v>
      </c>
      <c r="D948" s="5"/>
      <c r="E948" s="5"/>
      <c r="F948" s="5"/>
      <c r="G948" s="5"/>
      <c r="H948" s="5" t="n">
        <f aca="false">(COUNTIF(J948:EC948,"=0")+COUNTIF(J948:EC948,"=1"))</f>
        <v>0</v>
      </c>
      <c r="I948" s="18" t="n">
        <f aca="false">IFERROR(ROUND(10-AVERAGE(J948:EC948)*10,0),0)</f>
        <v>0</v>
      </c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customFormat="false" ht="15.75" hidden="false" customHeight="false" outlineLevel="0" collapsed="false">
      <c r="A949" s="5" t="s">
        <v>2152</v>
      </c>
      <c r="B949" s="5" t="s">
        <v>2153</v>
      </c>
      <c r="D949" s="5"/>
      <c r="E949" s="5"/>
      <c r="F949" s="5"/>
      <c r="G949" s="5"/>
      <c r="H949" s="5" t="n">
        <f aca="false">(COUNTIF(J949:EC949,"=0")+COUNTIF(J949:EC949,"=1"))</f>
        <v>0</v>
      </c>
      <c r="I949" s="15" t="n">
        <f aca="false">IFERROR(ROUND(10-AVERAGE(J949:EC949)*10,0),0)</f>
        <v>0</v>
      </c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customFormat="false" ht="15.75" hidden="false" customHeight="false" outlineLevel="0" collapsed="false">
      <c r="A950" s="5" t="s">
        <v>2154</v>
      </c>
      <c r="B950" s="5" t="s">
        <v>2154</v>
      </c>
      <c r="C950" s="5" t="s">
        <v>2155</v>
      </c>
      <c r="D950" s="5"/>
      <c r="E950" s="5"/>
      <c r="F950" s="5"/>
      <c r="G950" s="9" t="s">
        <v>2156</v>
      </c>
      <c r="H950" s="5" t="n">
        <f aca="false">(COUNTIF(J950:EC950,"=0")+COUNTIF(J950:EC950,"=1"))</f>
        <v>1</v>
      </c>
      <c r="I950" s="18" t="n">
        <f aca="false">IFERROR(ROUND(10-AVERAGE(J950:EC950)*10,0),0)</f>
        <v>0</v>
      </c>
      <c r="J950" s="5"/>
      <c r="K950" s="11"/>
      <c r="L950" s="5"/>
      <c r="M950" s="5"/>
      <c r="N950" s="5"/>
      <c r="O950" s="5"/>
      <c r="P950" s="11" t="n">
        <v>1</v>
      </c>
      <c r="Q950" s="5"/>
      <c r="R950" s="5"/>
      <c r="S950" s="5"/>
      <c r="T950" s="5"/>
      <c r="U950" s="5"/>
      <c r="V950" s="5"/>
      <c r="W950" s="5"/>
      <c r="X950" s="5"/>
      <c r="Y950" s="5"/>
      <c r="Z950" s="11"/>
      <c r="AA950" s="5"/>
      <c r="AB950" s="5"/>
      <c r="AD950" s="5"/>
      <c r="AF950" s="5"/>
    </row>
    <row r="951" customFormat="false" ht="15.75" hidden="false" customHeight="false" outlineLevel="0" collapsed="false">
      <c r="A951" s="5" t="s">
        <v>2154</v>
      </c>
      <c r="B951" s="5" t="s">
        <v>2157</v>
      </c>
      <c r="C951" s="5" t="s">
        <v>2158</v>
      </c>
      <c r="D951" s="5"/>
      <c r="E951" s="9" t="s">
        <v>2159</v>
      </c>
      <c r="G951" s="9" t="s">
        <v>2160</v>
      </c>
      <c r="H951" s="5" t="n">
        <f aca="false">(COUNTIF(J951:EC951,"=0")+COUNTIF(J951:EC951,"=1"))</f>
        <v>7</v>
      </c>
      <c r="I951" s="18" t="n">
        <f aca="false">IFERROR(ROUND(10-AVERAGE(J951:EC951)*10,0),0)</f>
        <v>7</v>
      </c>
      <c r="J951" s="5" t="n">
        <v>0</v>
      </c>
      <c r="K951" s="11" t="n">
        <v>0</v>
      </c>
      <c r="L951" s="5"/>
      <c r="M951" s="5"/>
      <c r="N951" s="5"/>
      <c r="O951" s="5"/>
      <c r="P951" s="11" t="n">
        <v>1</v>
      </c>
      <c r="Q951" s="5" t="n">
        <v>0</v>
      </c>
      <c r="R951" s="5"/>
      <c r="S951" s="5"/>
      <c r="T951" s="5"/>
      <c r="U951" s="5"/>
      <c r="V951" s="5"/>
      <c r="W951" s="5"/>
      <c r="X951" s="5"/>
      <c r="Y951" s="5"/>
      <c r="Z951" s="11" t="n">
        <v>0</v>
      </c>
      <c r="AA951" s="5"/>
      <c r="AB951" s="5"/>
      <c r="AD951" s="5" t="n">
        <v>0</v>
      </c>
      <c r="AF951" s="5" t="n">
        <v>1</v>
      </c>
    </row>
    <row r="952" customFormat="false" ht="15.75" hidden="false" customHeight="false" outlineLevel="0" collapsed="false">
      <c r="A952" s="5" t="s">
        <v>2154</v>
      </c>
      <c r="B952" s="5" t="s">
        <v>2157</v>
      </c>
      <c r="C952" s="5" t="s">
        <v>2161</v>
      </c>
      <c r="D952" s="5"/>
      <c r="E952" s="5"/>
      <c r="F952" s="5"/>
      <c r="G952" s="9" t="s">
        <v>2162</v>
      </c>
      <c r="H952" s="5" t="n">
        <f aca="false">(COUNTIF(J952:EC952,"=0")+COUNTIF(J952:EC952,"=1"))</f>
        <v>4</v>
      </c>
      <c r="I952" s="16" t="n">
        <f aca="false">IFERROR(ROUND(10-AVERAGE(J952:EC952)*10,0),0)</f>
        <v>8</v>
      </c>
      <c r="J952" s="5" t="n">
        <v>0</v>
      </c>
      <c r="K952" s="11" t="n">
        <v>0</v>
      </c>
      <c r="L952" s="5"/>
      <c r="M952" s="5"/>
      <c r="N952" s="5"/>
      <c r="O952" s="5"/>
      <c r="P952" s="11" t="n">
        <v>1</v>
      </c>
      <c r="Q952" s="5"/>
      <c r="R952" s="5"/>
      <c r="S952" s="5"/>
      <c r="T952" s="5"/>
      <c r="U952" s="5"/>
      <c r="V952" s="5"/>
      <c r="W952" s="5"/>
      <c r="X952" s="5"/>
      <c r="Y952" s="5"/>
      <c r="Z952" s="11" t="n">
        <v>0</v>
      </c>
      <c r="AA952" s="5"/>
      <c r="AB952" s="5"/>
    </row>
    <row r="953" customFormat="false" ht="15.75" hidden="false" customHeight="false" outlineLevel="0" collapsed="false">
      <c r="A953" s="5" t="s">
        <v>2163</v>
      </c>
      <c r="D953" s="5"/>
      <c r="E953" s="5"/>
      <c r="F953" s="5"/>
      <c r="G953" s="5"/>
      <c r="H953" s="5" t="n">
        <f aca="false">(COUNTIF(J953:EC953,"=0")+COUNTIF(J953:EC953,"=1"))</f>
        <v>0</v>
      </c>
      <c r="I953" s="10"/>
      <c r="J953" s="11"/>
      <c r="K953" s="11"/>
      <c r="L953" s="5"/>
      <c r="M953" s="5"/>
      <c r="N953" s="5"/>
      <c r="O953" s="11"/>
      <c r="P953" s="11"/>
      <c r="Q953" s="11"/>
      <c r="R953" s="5"/>
      <c r="S953" s="5"/>
      <c r="T953" s="11"/>
      <c r="U953" s="11"/>
      <c r="V953" s="5"/>
      <c r="W953" s="5"/>
      <c r="X953" s="5"/>
      <c r="Y953" s="5"/>
      <c r="Z953" s="5"/>
      <c r="AA953" s="5"/>
      <c r="AB953" s="5"/>
    </row>
    <row r="954" customFormat="false" ht="15.75" hidden="false" customHeight="false" outlineLevel="0" collapsed="false">
      <c r="A954" s="5" t="s">
        <v>2164</v>
      </c>
      <c r="B954" s="5" t="s">
        <v>2165</v>
      </c>
      <c r="C954" s="5" t="s">
        <v>2166</v>
      </c>
      <c r="D954" s="5"/>
      <c r="E954" s="5"/>
      <c r="F954" s="5"/>
      <c r="G954" s="9" t="s">
        <v>2167</v>
      </c>
      <c r="H954" s="5" t="n">
        <f aca="false">(COUNTIF(J954:EC954,"=0")+COUNTIF(J954:EC954,"=1"))</f>
        <v>8</v>
      </c>
      <c r="I954" s="16" t="n">
        <f aca="false">IFERROR(ROUND(10-AVERAGE(J954:EC954)*10,0),0)</f>
        <v>6</v>
      </c>
      <c r="J954" s="5" t="n">
        <v>1</v>
      </c>
      <c r="K954" s="11" t="n">
        <v>0</v>
      </c>
      <c r="L954" s="5"/>
      <c r="M954" s="5"/>
      <c r="N954" s="5"/>
      <c r="O954" s="5"/>
      <c r="P954" s="11" t="n">
        <v>1</v>
      </c>
      <c r="Q954" s="5" t="n">
        <v>0</v>
      </c>
      <c r="R954" s="5"/>
      <c r="S954" s="5"/>
      <c r="T954" s="5"/>
      <c r="U954" s="5"/>
      <c r="V954" s="5"/>
      <c r="W954" s="5" t="n">
        <v>1</v>
      </c>
      <c r="X954" s="5"/>
      <c r="Y954" s="5"/>
      <c r="Z954" s="11" t="n">
        <v>0</v>
      </c>
      <c r="AA954" s="5"/>
      <c r="AB954" s="5"/>
      <c r="AC954" s="5" t="n">
        <v>0</v>
      </c>
      <c r="AF954" s="5" t="n">
        <v>0</v>
      </c>
    </row>
    <row r="955" customFormat="false" ht="15.75" hidden="false" customHeight="false" outlineLevel="0" collapsed="false">
      <c r="A955" s="5" t="s">
        <v>2168</v>
      </c>
      <c r="B955" s="5" t="s">
        <v>2168</v>
      </c>
      <c r="C955" s="5" t="s">
        <v>2169</v>
      </c>
      <c r="D955" s="5"/>
      <c r="E955" s="5"/>
      <c r="F955" s="5"/>
      <c r="G955" s="9" t="s">
        <v>2170</v>
      </c>
      <c r="H955" s="5" t="n">
        <f aca="false">(COUNTIF(J955:EC955,"=0")+COUNTIF(J955:EC955,"=1"))</f>
        <v>8</v>
      </c>
      <c r="I955" s="12" t="n">
        <f aca="false">IFERROR(ROUND(10-AVERAGE(J955:EC955)*10,0),0)</f>
        <v>9</v>
      </c>
      <c r="J955" s="11" t="n">
        <v>0</v>
      </c>
      <c r="K955" s="11" t="n">
        <v>0</v>
      </c>
      <c r="L955" s="5"/>
      <c r="M955" s="5"/>
      <c r="N955" s="5"/>
      <c r="O955" s="11" t="n">
        <v>0</v>
      </c>
      <c r="P955" s="11" t="n">
        <v>1</v>
      </c>
      <c r="Q955" s="11" t="n">
        <v>0</v>
      </c>
      <c r="R955" s="5"/>
      <c r="S955" s="5"/>
      <c r="T955" s="11" t="n">
        <v>0</v>
      </c>
      <c r="U955" s="5"/>
      <c r="V955" s="5"/>
      <c r="W955" s="5" t="n">
        <v>0</v>
      </c>
      <c r="X955" s="5"/>
      <c r="Y955" s="5"/>
      <c r="Z955" s="5"/>
      <c r="AA955" s="5"/>
      <c r="AB955" s="5"/>
      <c r="AC955" s="5" t="n">
        <v>0</v>
      </c>
    </row>
    <row r="956" customFormat="false" ht="15.75" hidden="false" customHeight="false" outlineLevel="0" collapsed="false">
      <c r="A956" s="5" t="s">
        <v>2171</v>
      </c>
      <c r="B956" s="5" t="s">
        <v>2171</v>
      </c>
      <c r="C956" s="5" t="s">
        <v>657</v>
      </c>
      <c r="D956" s="5"/>
      <c r="E956" s="5"/>
      <c r="F956" s="5"/>
      <c r="G956" s="9" t="s">
        <v>2172</v>
      </c>
      <c r="H956" s="5" t="n">
        <f aca="false">(COUNTIF(J956:EC956,"=0")+COUNTIF(J956:EC956,"=1"))</f>
        <v>5</v>
      </c>
      <c r="I956" s="16" t="n">
        <f aca="false">IFERROR(ROUND(10-AVERAGE(J956:EC956)*10,0),0)</f>
        <v>8</v>
      </c>
      <c r="J956" s="5" t="n">
        <v>0</v>
      </c>
      <c r="K956" s="11" t="n">
        <v>0</v>
      </c>
      <c r="L956" s="5"/>
      <c r="M956" s="5"/>
      <c r="N956" s="5"/>
      <c r="O956" s="5"/>
      <c r="P956" s="11" t="n">
        <v>0</v>
      </c>
      <c r="Q956" s="5" t="n">
        <v>0</v>
      </c>
      <c r="R956" s="5"/>
      <c r="S956" s="11" t="n">
        <v>1</v>
      </c>
      <c r="T956" s="5"/>
      <c r="U956" s="5"/>
      <c r="V956" s="5"/>
      <c r="W956" s="5"/>
      <c r="X956" s="5"/>
      <c r="Y956" s="5"/>
      <c r="Z956" s="5"/>
      <c r="AA956" s="5"/>
      <c r="AB956" s="5"/>
    </row>
    <row r="957" customFormat="false" ht="15.75" hidden="false" customHeight="false" outlineLevel="0" collapsed="false">
      <c r="A957" s="5" t="s">
        <v>2171</v>
      </c>
      <c r="B957" s="5" t="s">
        <v>2171</v>
      </c>
      <c r="C957" s="5" t="s">
        <v>2173</v>
      </c>
      <c r="D957" s="5"/>
      <c r="E957" s="5"/>
      <c r="F957" s="5"/>
      <c r="G957" s="9" t="s">
        <v>2174</v>
      </c>
      <c r="H957" s="5" t="n">
        <f aca="false">(COUNTIF(J957:EC957,"=0")+COUNTIF(J957:EC957,"=1"))</f>
        <v>5</v>
      </c>
      <c r="I957" s="16" t="n">
        <f aca="false">IFERROR(ROUND(10-AVERAGE(J957:EC957)*10,0),0)</f>
        <v>6</v>
      </c>
      <c r="J957" s="5" t="n">
        <v>0</v>
      </c>
      <c r="K957" s="11" t="n">
        <v>0</v>
      </c>
      <c r="L957" s="5"/>
      <c r="M957" s="5"/>
      <c r="N957" s="5"/>
      <c r="O957" s="5"/>
      <c r="P957" s="11" t="n">
        <v>0</v>
      </c>
      <c r="Q957" s="5" t="n">
        <v>1</v>
      </c>
      <c r="R957" s="5"/>
      <c r="S957" s="11" t="n">
        <v>1</v>
      </c>
      <c r="T957" s="5"/>
      <c r="U957" s="5"/>
      <c r="V957" s="5"/>
      <c r="W957" s="5"/>
      <c r="X957" s="5"/>
      <c r="Y957" s="5"/>
      <c r="Z957" s="5"/>
      <c r="AA957" s="5"/>
      <c r="AB957" s="5"/>
    </row>
    <row r="958" customFormat="false" ht="15.75" hidden="false" customHeight="false" outlineLevel="0" collapsed="false">
      <c r="A958" s="5" t="s">
        <v>2171</v>
      </c>
      <c r="B958" s="5" t="s">
        <v>2171</v>
      </c>
      <c r="C958" s="5" t="s">
        <v>2175</v>
      </c>
      <c r="D958" s="5"/>
      <c r="E958" s="5"/>
      <c r="F958" s="5"/>
      <c r="G958" s="9" t="s">
        <v>2176</v>
      </c>
      <c r="H958" s="5" t="n">
        <f aca="false">(COUNTIF(J958:EC958,"=0")+COUNTIF(J958:EC958,"=1"))</f>
        <v>4</v>
      </c>
      <c r="I958" s="16" t="n">
        <f aca="false">IFERROR(ROUND(10-AVERAGE(J958:EC958)*10,0),0)</f>
        <v>8</v>
      </c>
      <c r="J958" s="5" t="n">
        <v>0</v>
      </c>
      <c r="K958" s="11" t="n">
        <v>0</v>
      </c>
      <c r="L958" s="5"/>
      <c r="M958" s="5"/>
      <c r="N958" s="5"/>
      <c r="O958" s="5"/>
      <c r="P958" s="11" t="n">
        <v>0</v>
      </c>
      <c r="Q958" s="5"/>
      <c r="R958" s="5"/>
      <c r="S958" s="11" t="n">
        <v>1</v>
      </c>
      <c r="T958" s="5"/>
      <c r="U958" s="5"/>
      <c r="V958" s="5"/>
      <c r="W958" s="5"/>
      <c r="X958" s="5"/>
      <c r="Y958" s="5"/>
      <c r="Z958" s="5"/>
      <c r="AA958" s="5"/>
      <c r="AB958" s="5"/>
    </row>
    <row r="959" customFormat="false" ht="15.75" hidden="false" customHeight="false" outlineLevel="0" collapsed="false">
      <c r="A959" s="5" t="s">
        <v>2171</v>
      </c>
      <c r="B959" s="5" t="s">
        <v>2171</v>
      </c>
      <c r="C959" s="5" t="s">
        <v>2177</v>
      </c>
      <c r="D959" s="5"/>
      <c r="E959" s="5"/>
      <c r="F959" s="5"/>
      <c r="G959" s="9" t="s">
        <v>2178</v>
      </c>
      <c r="H959" s="5" t="n">
        <f aca="false">(COUNTIF(J959:EC959,"=0")+COUNTIF(J959:EC959,"=1"))</f>
        <v>4</v>
      </c>
      <c r="I959" s="16" t="n">
        <f aca="false">IFERROR(ROUND(10-AVERAGE(J959:EC959)*10,0),0)</f>
        <v>8</v>
      </c>
      <c r="J959" s="5" t="n">
        <v>0</v>
      </c>
      <c r="K959" s="11" t="n">
        <v>0</v>
      </c>
      <c r="L959" s="5"/>
      <c r="M959" s="5"/>
      <c r="N959" s="5"/>
      <c r="O959" s="5"/>
      <c r="P959" s="11" t="n">
        <v>0</v>
      </c>
      <c r="Q959" s="5"/>
      <c r="R959" s="5"/>
      <c r="S959" s="11" t="n">
        <v>1</v>
      </c>
      <c r="T959" s="5"/>
      <c r="U959" s="5"/>
      <c r="V959" s="5"/>
      <c r="W959" s="5"/>
      <c r="X959" s="5"/>
      <c r="Y959" s="5"/>
      <c r="Z959" s="5"/>
      <c r="AA959" s="5"/>
      <c r="AB959" s="5"/>
    </row>
    <row r="960" customFormat="false" ht="15.75" hidden="false" customHeight="false" outlineLevel="0" collapsed="false">
      <c r="A960" s="5" t="s">
        <v>2171</v>
      </c>
      <c r="B960" s="5" t="s">
        <v>2171</v>
      </c>
      <c r="C960" s="5" t="s">
        <v>2179</v>
      </c>
      <c r="D960" s="5"/>
      <c r="E960" s="5"/>
      <c r="F960" s="5"/>
      <c r="G960" s="9" t="s">
        <v>2180</v>
      </c>
      <c r="H960" s="5" t="n">
        <f aca="false">(COUNTIF(J960:EC960,"=0")+COUNTIF(J960:EC960,"=1"))</f>
        <v>6</v>
      </c>
      <c r="I960" s="16" t="n">
        <f aca="false">IFERROR(ROUND(10-AVERAGE(J960:EC960)*10,0),0)</f>
        <v>8</v>
      </c>
      <c r="J960" s="5" t="n">
        <v>0</v>
      </c>
      <c r="K960" s="11" t="n">
        <v>0</v>
      </c>
      <c r="L960" s="5"/>
      <c r="M960" s="5"/>
      <c r="N960" s="5"/>
      <c r="O960" s="5"/>
      <c r="P960" s="11" t="n">
        <v>0</v>
      </c>
      <c r="Q960" s="5" t="n">
        <v>0</v>
      </c>
      <c r="R960" s="5"/>
      <c r="S960" s="11" t="n">
        <v>1</v>
      </c>
      <c r="T960" s="5"/>
      <c r="U960" s="5"/>
      <c r="V960" s="5"/>
      <c r="W960" s="5"/>
      <c r="X960" s="5"/>
      <c r="Y960" s="5"/>
      <c r="Z960" s="5"/>
      <c r="AA960" s="5"/>
      <c r="AB960" s="5"/>
      <c r="AD960" s="5" t="n">
        <v>0</v>
      </c>
    </row>
    <row r="961" customFormat="false" ht="15.75" hidden="false" customHeight="false" outlineLevel="0" collapsed="false">
      <c r="A961" s="5" t="s">
        <v>2181</v>
      </c>
      <c r="B961" s="5" t="s">
        <v>2181</v>
      </c>
      <c r="C961" s="5" t="s">
        <v>2182</v>
      </c>
      <c r="D961" s="5"/>
      <c r="E961" s="5"/>
      <c r="F961" s="5"/>
      <c r="G961" s="9" t="s">
        <v>2183</v>
      </c>
      <c r="H961" s="5" t="n">
        <f aca="false">(COUNTIF(J961:EC961,"=0")+COUNTIF(J961:EC961,"=1"))</f>
        <v>6</v>
      </c>
      <c r="I961" s="10" t="n">
        <f aca="false">IFERROR(ROUND(10-AVERAGE(J961:EC961)*10,0),0)</f>
        <v>10</v>
      </c>
      <c r="J961" s="5" t="n">
        <v>0</v>
      </c>
      <c r="K961" s="11" t="n">
        <v>0</v>
      </c>
      <c r="L961" s="5"/>
      <c r="M961" s="5"/>
      <c r="N961" s="5"/>
      <c r="O961" s="5"/>
      <c r="P961" s="11" t="n">
        <v>0</v>
      </c>
      <c r="Q961" s="5" t="n">
        <v>0</v>
      </c>
      <c r="R961" s="5"/>
      <c r="S961" s="5"/>
      <c r="T961" s="5"/>
      <c r="U961" s="5"/>
      <c r="V961" s="5"/>
      <c r="W961" s="5" t="n">
        <v>0</v>
      </c>
      <c r="X961" s="5"/>
      <c r="Y961" s="5"/>
      <c r="Z961" s="11" t="n">
        <v>0</v>
      </c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customFormat="false" ht="15.75" hidden="false" customHeight="false" outlineLevel="0" collapsed="false">
      <c r="A962" s="5" t="s">
        <v>2184</v>
      </c>
      <c r="B962" s="5" t="s">
        <v>2185</v>
      </c>
      <c r="C962" s="5" t="s">
        <v>2186</v>
      </c>
      <c r="D962" s="5"/>
      <c r="E962" s="5"/>
      <c r="F962" s="5"/>
      <c r="G962" s="5"/>
      <c r="H962" s="5" t="n">
        <f aca="false">(COUNTIF(J962:EC962,"=0")+COUNTIF(J962:EC962,"=1"))</f>
        <v>5</v>
      </c>
      <c r="I962" s="12" t="n">
        <f aca="false">IFERROR(ROUND(10-AVERAGE(J962:EC962)*10,0),0)</f>
        <v>6</v>
      </c>
      <c r="J962" s="5" t="n">
        <v>1</v>
      </c>
      <c r="K962" s="11" t="n">
        <v>0</v>
      </c>
      <c r="L962" s="5"/>
      <c r="M962" s="5"/>
      <c r="N962" s="5"/>
      <c r="O962" s="11" t="n">
        <v>1</v>
      </c>
      <c r="P962" s="11" t="n">
        <v>0</v>
      </c>
      <c r="Q962" s="5"/>
      <c r="R962" s="5"/>
      <c r="S962" s="5"/>
      <c r="T962" s="5"/>
      <c r="U962" s="5"/>
      <c r="V962" s="5"/>
      <c r="W962" s="5"/>
      <c r="X962" s="5"/>
      <c r="Y962" s="5"/>
      <c r="Z962" s="11" t="n">
        <v>0</v>
      </c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customFormat="false" ht="15.75" hidden="false" customHeight="false" outlineLevel="0" collapsed="false">
      <c r="A963" s="5" t="s">
        <v>2184</v>
      </c>
      <c r="B963" s="5" t="s">
        <v>2185</v>
      </c>
      <c r="C963" s="5" t="s">
        <v>2187</v>
      </c>
      <c r="D963" s="5"/>
      <c r="E963" s="5"/>
      <c r="F963" s="5"/>
      <c r="G963" s="5"/>
      <c r="H963" s="5" t="n">
        <f aca="false">(COUNTIF(J963:EC963,"=0")+COUNTIF(J963:EC963,"=1"))</f>
        <v>7</v>
      </c>
      <c r="I963" s="17" t="n">
        <f aca="false">IFERROR(ROUND(10-AVERAGE(J963:EC963)*10,0),0)</f>
        <v>9</v>
      </c>
      <c r="J963" s="11" t="n">
        <v>0</v>
      </c>
      <c r="K963" s="11" t="n">
        <v>0</v>
      </c>
      <c r="L963" s="5"/>
      <c r="M963" s="5"/>
      <c r="N963" s="5"/>
      <c r="O963" s="11" t="n">
        <v>1</v>
      </c>
      <c r="P963" s="11" t="n">
        <v>0</v>
      </c>
      <c r="Q963" s="11" t="n">
        <v>0</v>
      </c>
      <c r="R963" s="5"/>
      <c r="S963" s="11" t="n">
        <v>0</v>
      </c>
      <c r="T963" s="11" t="n">
        <v>0</v>
      </c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customFormat="false" ht="15.75" hidden="false" customHeight="false" outlineLevel="0" collapsed="false">
      <c r="A964" s="5" t="s">
        <v>2184</v>
      </c>
      <c r="B964" s="5" t="s">
        <v>2188</v>
      </c>
      <c r="C964" s="5" t="s">
        <v>2189</v>
      </c>
      <c r="D964" s="5"/>
      <c r="E964" s="5"/>
      <c r="F964" s="5"/>
      <c r="G964" s="9" t="s">
        <v>2190</v>
      </c>
      <c r="H964" s="5" t="n">
        <f aca="false">(COUNTIF(J964:EC964,"=0")+COUNTIF(J964:EC964,"=1"))</f>
        <v>6</v>
      </c>
      <c r="I964" s="16" t="n">
        <f aca="false">IFERROR(ROUND(10-AVERAGE(J964:EC964)*10,0),0)</f>
        <v>7</v>
      </c>
      <c r="J964" s="11" t="n">
        <v>0</v>
      </c>
      <c r="K964" s="11" t="n">
        <v>0</v>
      </c>
      <c r="L964" s="5"/>
      <c r="M964" s="5"/>
      <c r="N964" s="5"/>
      <c r="O964" s="11" t="n">
        <v>1</v>
      </c>
      <c r="P964" s="11" t="n">
        <v>0</v>
      </c>
      <c r="Q964" s="5"/>
      <c r="R964" s="5"/>
      <c r="S964" s="5"/>
      <c r="T964" s="11" t="n">
        <v>0</v>
      </c>
      <c r="U964" s="5"/>
      <c r="V964" s="5"/>
      <c r="W964" s="5"/>
      <c r="X964" s="11" t="n">
        <v>1</v>
      </c>
      <c r="Y964" s="5"/>
      <c r="Z964" s="5"/>
      <c r="AA964" s="5"/>
      <c r="AB964" s="5"/>
    </row>
    <row r="965" customFormat="false" ht="15.75" hidden="false" customHeight="false" outlineLevel="0" collapsed="false">
      <c r="A965" s="5" t="s">
        <v>2184</v>
      </c>
      <c r="B965" s="5" t="s">
        <v>2188</v>
      </c>
      <c r="C965" s="5" t="s">
        <v>2191</v>
      </c>
      <c r="D965" s="5"/>
      <c r="E965" s="5"/>
      <c r="F965" s="5"/>
      <c r="G965" s="5"/>
      <c r="H965" s="5" t="n">
        <f aca="false">(COUNTIF(J965:EC965,"=0")+COUNTIF(J965:EC965,"=1"))</f>
        <v>8</v>
      </c>
      <c r="I965" s="17" t="n">
        <f aca="false">IFERROR(ROUND(10-AVERAGE(J965:EC965)*10,0),0)</f>
        <v>9</v>
      </c>
      <c r="J965" s="11" t="n">
        <v>0</v>
      </c>
      <c r="K965" s="11" t="n">
        <v>0</v>
      </c>
      <c r="L965" s="11" t="n">
        <v>0</v>
      </c>
      <c r="M965" s="5"/>
      <c r="N965" s="5"/>
      <c r="O965" s="11" t="n">
        <v>1</v>
      </c>
      <c r="P965" s="11" t="n">
        <v>0</v>
      </c>
      <c r="Q965" s="11" t="n">
        <v>0</v>
      </c>
      <c r="R965" s="5"/>
      <c r="S965" s="11" t="n">
        <v>0</v>
      </c>
      <c r="T965" s="11" t="n">
        <v>0</v>
      </c>
      <c r="U965" s="5"/>
      <c r="V965" s="5"/>
      <c r="W965" s="5"/>
      <c r="X965" s="5"/>
      <c r="Y965" s="5"/>
      <c r="Z965" s="5"/>
      <c r="AA965" s="5"/>
      <c r="AB965" s="5"/>
    </row>
    <row r="966" customFormat="false" ht="15.75" hidden="false" customHeight="false" outlineLevel="0" collapsed="false">
      <c r="A966" s="5" t="s">
        <v>2184</v>
      </c>
      <c r="B966" s="5" t="s">
        <v>2188</v>
      </c>
      <c r="C966" s="5" t="s">
        <v>2192</v>
      </c>
      <c r="D966" s="5"/>
      <c r="E966" s="5"/>
      <c r="F966" s="5"/>
      <c r="G966" s="5"/>
      <c r="H966" s="5" t="n">
        <f aca="false">(COUNTIF(J966:EC966,"=0")+COUNTIF(J966:EC966,"=1"))</f>
        <v>8</v>
      </c>
      <c r="I966" s="12" t="n">
        <f aca="false">IFERROR(ROUND(10-AVERAGE(J966:EC966)*10,0),0)</f>
        <v>8</v>
      </c>
      <c r="J966" s="11" t="n">
        <v>1</v>
      </c>
      <c r="K966" s="11" t="n">
        <v>0</v>
      </c>
      <c r="L966" s="11" t="n">
        <v>0</v>
      </c>
      <c r="M966" s="5"/>
      <c r="N966" s="5"/>
      <c r="O966" s="11" t="n">
        <v>1</v>
      </c>
      <c r="P966" s="11" t="n">
        <v>0</v>
      </c>
      <c r="Q966" s="11" t="n">
        <v>0</v>
      </c>
      <c r="R966" s="5"/>
      <c r="S966" s="11" t="n">
        <v>0</v>
      </c>
      <c r="T966" s="11" t="n">
        <v>0</v>
      </c>
      <c r="U966" s="5"/>
      <c r="V966" s="5"/>
      <c r="W966" s="5"/>
      <c r="X966" s="5"/>
      <c r="Y966" s="5"/>
      <c r="Z966" s="5"/>
      <c r="AA966" s="5"/>
      <c r="AB966" s="5"/>
    </row>
    <row r="967" customFormat="false" ht="15.75" hidden="false" customHeight="false" outlineLevel="0" collapsed="false">
      <c r="A967" s="5" t="s">
        <v>2184</v>
      </c>
      <c r="B967" s="5" t="s">
        <v>2188</v>
      </c>
      <c r="C967" s="5" t="s">
        <v>2193</v>
      </c>
      <c r="D967" s="5"/>
      <c r="E967" s="5"/>
      <c r="F967" s="5"/>
      <c r="G967" s="5"/>
      <c r="H967" s="5" t="n">
        <f aca="false">(COUNTIF(J967:EC967,"=0")+COUNTIF(J967:EC967,"=1"))</f>
        <v>7</v>
      </c>
      <c r="I967" s="16" t="n">
        <f aca="false">IFERROR(ROUND(10-AVERAGE(J967:EC967)*10,0),0)</f>
        <v>7</v>
      </c>
      <c r="J967" s="11" t="n">
        <v>0</v>
      </c>
      <c r="K967" s="11" t="n">
        <v>0</v>
      </c>
      <c r="L967" s="5"/>
      <c r="M967" s="5"/>
      <c r="N967" s="5"/>
      <c r="O967" s="11" t="n">
        <v>1</v>
      </c>
      <c r="P967" s="11" t="n">
        <v>1</v>
      </c>
      <c r="Q967" s="11" t="n">
        <v>0</v>
      </c>
      <c r="R967" s="5"/>
      <c r="S967" s="11" t="n">
        <v>0</v>
      </c>
      <c r="T967" s="11" t="n">
        <v>0</v>
      </c>
      <c r="U967" s="5"/>
      <c r="V967" s="5"/>
      <c r="W967" s="5"/>
      <c r="X967" s="5"/>
      <c r="Y967" s="5"/>
      <c r="Z967" s="5"/>
      <c r="AA967" s="5"/>
      <c r="AB967" s="5"/>
    </row>
    <row r="968" customFormat="false" ht="15.75" hidden="false" customHeight="false" outlineLevel="0" collapsed="false">
      <c r="A968" s="5" t="s">
        <v>2184</v>
      </c>
      <c r="B968" s="5" t="s">
        <v>2194</v>
      </c>
      <c r="C968" s="5" t="s">
        <v>2195</v>
      </c>
      <c r="D968" s="5"/>
      <c r="E968" s="5"/>
      <c r="F968" s="5"/>
      <c r="G968" s="9" t="s">
        <v>2196</v>
      </c>
      <c r="H968" s="5" t="n">
        <f aca="false">(COUNTIF(J968:EC968,"=0")+COUNTIF(J968:EC968,"=1"))</f>
        <v>6</v>
      </c>
      <c r="I968" s="12" t="n">
        <f aca="false">IFERROR(ROUND(10-AVERAGE(J968:EC968)*10,0),0)</f>
        <v>8</v>
      </c>
      <c r="J968" s="11" t="n">
        <v>0</v>
      </c>
      <c r="K968" s="11" t="n">
        <v>0</v>
      </c>
      <c r="L968" s="5"/>
      <c r="M968" s="5"/>
      <c r="N968" s="5"/>
      <c r="O968" s="11" t="n">
        <v>0</v>
      </c>
      <c r="P968" s="11" t="n">
        <v>0</v>
      </c>
      <c r="Q968" s="5"/>
      <c r="R968" s="5"/>
      <c r="S968" s="5"/>
      <c r="T968" s="11" t="n">
        <v>0</v>
      </c>
      <c r="U968" s="5"/>
      <c r="V968" s="5"/>
      <c r="W968" s="5"/>
      <c r="X968" s="11" t="n">
        <v>1</v>
      </c>
      <c r="Y968" s="5"/>
      <c r="Z968" s="5"/>
      <c r="AA968" s="5"/>
      <c r="AB968" s="5"/>
    </row>
    <row r="969" customFormat="false" ht="15.75" hidden="false" customHeight="false" outlineLevel="0" collapsed="false">
      <c r="A969" s="5" t="s">
        <v>2184</v>
      </c>
      <c r="B969" s="5" t="s">
        <v>2194</v>
      </c>
      <c r="C969" s="5" t="s">
        <v>2197</v>
      </c>
      <c r="D969" s="5"/>
      <c r="E969" s="5"/>
      <c r="F969" s="5"/>
      <c r="G969" s="9" t="s">
        <v>2198</v>
      </c>
      <c r="H969" s="5" t="n">
        <f aca="false">(COUNTIF(J969:EC969,"=0")+COUNTIF(J969:EC969,"=1"))</f>
        <v>6</v>
      </c>
      <c r="I969" s="12" t="n">
        <f aca="false">IFERROR(ROUND(10-AVERAGE(J969:EC969)*10,0),0)</f>
        <v>8</v>
      </c>
      <c r="J969" s="11" t="n">
        <v>0</v>
      </c>
      <c r="K969" s="11" t="n">
        <v>0</v>
      </c>
      <c r="L969" s="5"/>
      <c r="M969" s="5"/>
      <c r="N969" s="5"/>
      <c r="O969" s="11" t="n">
        <v>0</v>
      </c>
      <c r="P969" s="11" t="n">
        <v>0</v>
      </c>
      <c r="Q969" s="5"/>
      <c r="R969" s="5"/>
      <c r="S969" s="5"/>
      <c r="T969" s="11" t="n">
        <v>0</v>
      </c>
      <c r="U969" s="5"/>
      <c r="V969" s="5"/>
      <c r="W969" s="5"/>
      <c r="X969" s="11" t="n">
        <v>1</v>
      </c>
      <c r="Y969" s="5"/>
      <c r="Z969" s="5"/>
      <c r="AA969" s="5"/>
      <c r="AB969" s="5"/>
    </row>
    <row r="970" customFormat="false" ht="15.75" hidden="false" customHeight="false" outlineLevel="0" collapsed="false">
      <c r="A970" s="5" t="s">
        <v>2184</v>
      </c>
      <c r="B970" s="5" t="s">
        <v>2194</v>
      </c>
      <c r="C970" s="5" t="s">
        <v>2199</v>
      </c>
      <c r="D970" s="5"/>
      <c r="E970" s="5"/>
      <c r="F970" s="5"/>
      <c r="G970" s="9" t="s">
        <v>2200</v>
      </c>
      <c r="H970" s="5" t="n">
        <f aca="false">(COUNTIF(J970:EC970,"=0")+COUNTIF(J970:EC970,"=1"))</f>
        <v>6</v>
      </c>
      <c r="I970" s="12" t="n">
        <f aca="false">IFERROR(ROUND(10-AVERAGE(J970:EC970)*10,0),0)</f>
        <v>8</v>
      </c>
      <c r="J970" s="11" t="n">
        <v>0</v>
      </c>
      <c r="K970" s="11" t="n">
        <v>0</v>
      </c>
      <c r="L970" s="5"/>
      <c r="M970" s="5"/>
      <c r="N970" s="5"/>
      <c r="O970" s="11" t="n">
        <v>0</v>
      </c>
      <c r="P970" s="11" t="n">
        <v>0</v>
      </c>
      <c r="Q970" s="5"/>
      <c r="R970" s="5"/>
      <c r="S970" s="5"/>
      <c r="T970" s="11" t="n">
        <v>0</v>
      </c>
      <c r="U970" s="5"/>
      <c r="V970" s="5"/>
      <c r="W970" s="5"/>
      <c r="X970" s="11" t="n">
        <v>1</v>
      </c>
      <c r="Y970" s="5"/>
      <c r="Z970" s="5"/>
      <c r="AA970" s="5"/>
      <c r="AB970" s="5"/>
    </row>
    <row r="971" customFormat="false" ht="15.75" hidden="false" customHeight="false" outlineLevel="0" collapsed="false">
      <c r="A971" s="5" t="s">
        <v>2184</v>
      </c>
      <c r="B971" s="5" t="s">
        <v>2194</v>
      </c>
      <c r="C971" s="5" t="s">
        <v>2201</v>
      </c>
      <c r="D971" s="5"/>
      <c r="E971" s="5"/>
      <c r="F971" s="5"/>
      <c r="G971" s="9" t="s">
        <v>2202</v>
      </c>
      <c r="H971" s="5" t="n">
        <f aca="false">(COUNTIF(J971:EC971,"=0")+COUNTIF(J971:EC971,"=1"))</f>
        <v>6</v>
      </c>
      <c r="I971" s="19" t="n">
        <f aca="false">IFERROR(ROUND(10-AVERAGE(J971:EC971)*10,0),0)</f>
        <v>5</v>
      </c>
      <c r="J971" s="11" t="n">
        <v>0</v>
      </c>
      <c r="K971" s="11" t="n">
        <v>0</v>
      </c>
      <c r="L971" s="5"/>
      <c r="M971" s="5"/>
      <c r="N971" s="5"/>
      <c r="O971" s="11" t="n">
        <v>1</v>
      </c>
      <c r="P971" s="11" t="n">
        <v>1</v>
      </c>
      <c r="Q971" s="5"/>
      <c r="R971" s="5"/>
      <c r="S971" s="5"/>
      <c r="T971" s="11" t="n">
        <v>0</v>
      </c>
      <c r="U971" s="5"/>
      <c r="V971" s="5"/>
      <c r="W971" s="5"/>
      <c r="X971" s="11" t="n">
        <v>1</v>
      </c>
      <c r="Y971" s="5"/>
      <c r="Z971" s="5"/>
      <c r="AA971" s="5"/>
      <c r="AB971" s="5"/>
    </row>
    <row r="972" customFormat="false" ht="15.75" hidden="false" customHeight="false" outlineLevel="0" collapsed="false">
      <c r="A972" s="5" t="s">
        <v>2184</v>
      </c>
      <c r="B972" s="5" t="s">
        <v>2203</v>
      </c>
      <c r="C972" s="5" t="s">
        <v>2204</v>
      </c>
      <c r="D972" s="5"/>
      <c r="E972" s="5"/>
      <c r="F972" s="5"/>
      <c r="G972" s="14" t="s">
        <v>2205</v>
      </c>
      <c r="H972" s="5" t="n">
        <f aca="false">(COUNTIF(J972:EC972,"=0")+COUNTIF(J972:EC972,"=1"))</f>
        <v>6</v>
      </c>
      <c r="I972" s="12" t="n">
        <f aca="false">IFERROR(ROUND(10-AVERAGE(J972:EC972)*10,0),0)</f>
        <v>7</v>
      </c>
      <c r="J972" s="11" t="n">
        <v>1</v>
      </c>
      <c r="K972" s="11" t="n">
        <v>0</v>
      </c>
      <c r="L972" s="5"/>
      <c r="M972" s="5"/>
      <c r="N972" s="5"/>
      <c r="O972" s="11" t="n">
        <v>1</v>
      </c>
      <c r="P972" s="11" t="n">
        <v>0</v>
      </c>
      <c r="Q972" s="5"/>
      <c r="R972" s="5"/>
      <c r="S972" s="5"/>
      <c r="T972" s="11" t="n">
        <v>0</v>
      </c>
      <c r="U972" s="5"/>
      <c r="V972" s="5"/>
      <c r="W972" s="5" t="n">
        <v>0</v>
      </c>
      <c r="X972" s="5"/>
      <c r="Y972" s="5"/>
      <c r="Z972" s="5"/>
      <c r="AA972" s="5"/>
      <c r="AB972" s="5"/>
    </row>
    <row r="973" customFormat="false" ht="15.75" hidden="false" customHeight="false" outlineLevel="0" collapsed="false">
      <c r="A973" s="5" t="s">
        <v>2184</v>
      </c>
      <c r="B973" s="5" t="s">
        <v>2203</v>
      </c>
      <c r="C973" s="5" t="s">
        <v>2206</v>
      </c>
      <c r="D973" s="5"/>
      <c r="E973" s="5"/>
      <c r="F973" s="5"/>
      <c r="G973" s="9" t="s">
        <v>2207</v>
      </c>
      <c r="H973" s="5" t="n">
        <f aca="false">(COUNTIF(J973:EC973,"=0")+COUNTIF(J973:EC973,"=1"))</f>
        <v>6</v>
      </c>
      <c r="I973" s="16" t="n">
        <f aca="false">IFERROR(ROUND(10-AVERAGE(J973:EC973)*10,0),0)</f>
        <v>7</v>
      </c>
      <c r="J973" s="11" t="n">
        <v>0</v>
      </c>
      <c r="K973" s="11" t="n">
        <v>0</v>
      </c>
      <c r="L973" s="5"/>
      <c r="M973" s="5"/>
      <c r="N973" s="5"/>
      <c r="O973" s="11" t="n">
        <v>1</v>
      </c>
      <c r="P973" s="11" t="n">
        <v>0</v>
      </c>
      <c r="Q973" s="5"/>
      <c r="R973" s="5"/>
      <c r="S973" s="5"/>
      <c r="T973" s="11" t="n">
        <v>0</v>
      </c>
      <c r="U973" s="5"/>
      <c r="V973" s="5"/>
      <c r="W973" s="5"/>
      <c r="X973" s="11" t="n">
        <v>1</v>
      </c>
      <c r="Y973" s="5"/>
      <c r="Z973" s="5"/>
      <c r="AA973" s="5"/>
      <c r="AB973" s="5"/>
    </row>
    <row r="974" customFormat="false" ht="15.75" hidden="false" customHeight="false" outlineLevel="0" collapsed="false">
      <c r="A974" s="5" t="s">
        <v>2184</v>
      </c>
      <c r="B974" s="5" t="s">
        <v>2203</v>
      </c>
      <c r="C974" s="5" t="s">
        <v>2208</v>
      </c>
      <c r="D974" s="5"/>
      <c r="E974" s="5"/>
      <c r="F974" s="5"/>
      <c r="G974" s="5"/>
      <c r="H974" s="5" t="n">
        <f aca="false">(COUNTIF(J974:EC974,"=0")+COUNTIF(J974:EC974,"=1"))</f>
        <v>7</v>
      </c>
      <c r="I974" s="16" t="n">
        <f aca="false">IFERROR(ROUND(10-AVERAGE(J974:EC974)*10,0),0)</f>
        <v>7</v>
      </c>
      <c r="J974" s="11" t="n">
        <v>0</v>
      </c>
      <c r="K974" s="11" t="n">
        <v>0</v>
      </c>
      <c r="L974" s="5"/>
      <c r="M974" s="5"/>
      <c r="N974" s="5"/>
      <c r="O974" s="11" t="n">
        <v>1</v>
      </c>
      <c r="P974" s="11" t="n">
        <v>1</v>
      </c>
      <c r="Q974" s="11" t="n">
        <v>0</v>
      </c>
      <c r="R974" s="5"/>
      <c r="S974" s="11" t="n">
        <v>0</v>
      </c>
      <c r="T974" s="11" t="n">
        <v>0</v>
      </c>
      <c r="U974" s="5"/>
      <c r="V974" s="5"/>
      <c r="W974" s="5"/>
      <c r="X974" s="5"/>
      <c r="Y974" s="5"/>
      <c r="Z974" s="5"/>
      <c r="AA974" s="5"/>
      <c r="AB974" s="5"/>
    </row>
    <row r="975" customFormat="false" ht="15.75" hidden="false" customHeight="false" outlineLevel="0" collapsed="false">
      <c r="A975" s="5" t="s">
        <v>2184</v>
      </c>
      <c r="B975" s="5" t="s">
        <v>2209</v>
      </c>
      <c r="C975" s="5" t="s">
        <v>2210</v>
      </c>
      <c r="D975" s="5"/>
      <c r="E975" s="5"/>
      <c r="F975" s="5"/>
      <c r="G975" s="9" t="s">
        <v>2211</v>
      </c>
      <c r="H975" s="5" t="n">
        <f aca="false">(COUNTIF(J975:EC975,"=0")+COUNTIF(J975:EC975,"=1"))</f>
        <v>5</v>
      </c>
      <c r="I975" s="15" t="n">
        <f aca="false">IFERROR(ROUND(10-AVERAGE(J975:EC975)*10,0),0)</f>
        <v>6</v>
      </c>
      <c r="J975" s="11" t="n">
        <v>0</v>
      </c>
      <c r="K975" s="11" t="n">
        <v>0</v>
      </c>
      <c r="L975" s="5"/>
      <c r="M975" s="5"/>
      <c r="N975" s="5"/>
      <c r="O975" s="11" t="n">
        <v>0</v>
      </c>
      <c r="P975" s="11" t="n">
        <v>1</v>
      </c>
      <c r="Q975" s="5"/>
      <c r="R975" s="5"/>
      <c r="S975" s="5"/>
      <c r="T975" s="11" t="n">
        <v>1</v>
      </c>
      <c r="U975" s="5"/>
      <c r="V975" s="5"/>
      <c r="W975" s="5"/>
      <c r="X975" s="5"/>
      <c r="Y975" s="5"/>
      <c r="Z975" s="5"/>
      <c r="AA975" s="5"/>
      <c r="AB975" s="5"/>
    </row>
    <row r="976" customFormat="false" ht="15.75" hidden="false" customHeight="false" outlineLevel="0" collapsed="false">
      <c r="A976" s="5" t="s">
        <v>2184</v>
      </c>
      <c r="B976" s="5" t="s">
        <v>2209</v>
      </c>
      <c r="C976" s="5" t="s">
        <v>2212</v>
      </c>
      <c r="D976" s="5"/>
      <c r="E976" s="5"/>
      <c r="F976" s="5"/>
      <c r="G976" s="9" t="s">
        <v>2213</v>
      </c>
      <c r="H976" s="5" t="n">
        <f aca="false">(COUNTIF(J976:EC976,"=0")+COUNTIF(J976:EC976,"=1"))</f>
        <v>6</v>
      </c>
      <c r="I976" s="12" t="n">
        <f aca="false">IFERROR(ROUND(10-AVERAGE(J976:EC976)*10,0),0)</f>
        <v>7</v>
      </c>
      <c r="J976" s="11" t="n">
        <v>0</v>
      </c>
      <c r="K976" s="11" t="n">
        <v>0</v>
      </c>
      <c r="L976" s="5"/>
      <c r="M976" s="5"/>
      <c r="N976" s="5"/>
      <c r="O976" s="11" t="n">
        <v>0</v>
      </c>
      <c r="P976" s="11" t="n">
        <v>1</v>
      </c>
      <c r="Q976" s="5"/>
      <c r="R976" s="5"/>
      <c r="S976" s="5"/>
      <c r="T976" s="11" t="n">
        <v>0</v>
      </c>
      <c r="U976" s="5"/>
      <c r="V976" s="5"/>
      <c r="W976" s="5"/>
      <c r="X976" s="11" t="n">
        <v>1</v>
      </c>
      <c r="Y976" s="5"/>
      <c r="Z976" s="5"/>
      <c r="AA976" s="5"/>
      <c r="AB976" s="5"/>
    </row>
    <row r="977" customFormat="false" ht="15.75" hidden="false" customHeight="false" outlineLevel="0" collapsed="false">
      <c r="A977" s="5" t="s">
        <v>2184</v>
      </c>
      <c r="B977" s="5" t="s">
        <v>2214</v>
      </c>
      <c r="C977" s="5" t="s">
        <v>2215</v>
      </c>
      <c r="D977" s="5"/>
      <c r="E977" s="5"/>
      <c r="F977" s="5"/>
      <c r="G977" s="5"/>
      <c r="H977" s="5" t="n">
        <f aca="false">(COUNTIF(J977:EC977,"=0")+COUNTIF(J977:EC977,"=1"))</f>
        <v>7</v>
      </c>
      <c r="I977" s="17" t="n">
        <f aca="false">IFERROR(ROUND(10-AVERAGE(J977:EC977)*10,0),0)</f>
        <v>9</v>
      </c>
      <c r="J977" s="11" t="n">
        <v>0</v>
      </c>
      <c r="K977" s="11" t="n">
        <v>0</v>
      </c>
      <c r="L977" s="5"/>
      <c r="M977" s="5"/>
      <c r="N977" s="5"/>
      <c r="O977" s="11" t="n">
        <v>1</v>
      </c>
      <c r="P977" s="11" t="n">
        <v>0</v>
      </c>
      <c r="Q977" s="11" t="n">
        <v>0</v>
      </c>
      <c r="R977" s="5"/>
      <c r="S977" s="11" t="n">
        <v>0</v>
      </c>
      <c r="T977" s="11" t="n">
        <v>0</v>
      </c>
      <c r="U977" s="5"/>
      <c r="V977" s="5"/>
      <c r="W977" s="5"/>
      <c r="X977" s="5"/>
      <c r="Y977" s="5"/>
      <c r="Z977" s="5"/>
      <c r="AA977" s="5"/>
      <c r="AB977" s="5"/>
    </row>
    <row r="978" customFormat="false" ht="15.75" hidden="false" customHeight="false" outlineLevel="0" collapsed="false">
      <c r="A978" s="5" t="s">
        <v>2184</v>
      </c>
      <c r="B978" s="5" t="s">
        <v>2216</v>
      </c>
      <c r="C978" s="5" t="s">
        <v>2217</v>
      </c>
      <c r="D978" s="5"/>
      <c r="E978" s="5"/>
      <c r="F978" s="5"/>
      <c r="G978" s="5"/>
      <c r="H978" s="5" t="n">
        <f aca="false">(COUNTIF(J978:EC978,"=0")+COUNTIF(J978:EC978,"=1"))</f>
        <v>7</v>
      </c>
      <c r="I978" s="16" t="n">
        <f aca="false">IFERROR(ROUND(10-AVERAGE(J978:EC978)*10,0),0)</f>
        <v>7</v>
      </c>
      <c r="J978" s="11" t="n">
        <v>0</v>
      </c>
      <c r="K978" s="11" t="n">
        <v>0</v>
      </c>
      <c r="L978" s="5"/>
      <c r="M978" s="5"/>
      <c r="N978" s="5"/>
      <c r="O978" s="11" t="n">
        <v>1</v>
      </c>
      <c r="P978" s="11" t="n">
        <v>0</v>
      </c>
      <c r="Q978" s="11" t="n">
        <v>0</v>
      </c>
      <c r="R978" s="5"/>
      <c r="S978" s="11" t="n">
        <v>0</v>
      </c>
      <c r="T978" s="11" t="n">
        <v>1</v>
      </c>
      <c r="U978" s="5"/>
      <c r="V978" s="5"/>
      <c r="W978" s="5"/>
      <c r="X978" s="5"/>
      <c r="Y978" s="5"/>
      <c r="Z978" s="5"/>
      <c r="AA978" s="5"/>
      <c r="AB978" s="5"/>
    </row>
    <row r="979" customFormat="false" ht="15.75" hidden="false" customHeight="false" outlineLevel="0" collapsed="false">
      <c r="A979" s="5" t="s">
        <v>2184</v>
      </c>
      <c r="B979" s="5" t="s">
        <v>2218</v>
      </c>
      <c r="C979" s="5" t="s">
        <v>2219</v>
      </c>
      <c r="D979" s="5"/>
      <c r="E979" s="5"/>
      <c r="F979" s="5"/>
      <c r="G979" s="14" t="s">
        <v>2220</v>
      </c>
      <c r="H979" s="5" t="n">
        <f aca="false">(COUNTIF(J979:EC979,"=0")+COUNTIF(J979:EC979,"=1"))</f>
        <v>8</v>
      </c>
      <c r="I979" s="17" t="n">
        <f aca="false">IFERROR(ROUND(10-AVERAGE(J979:EC979)*10,0),0)</f>
        <v>9</v>
      </c>
      <c r="J979" s="11" t="n">
        <v>0</v>
      </c>
      <c r="K979" s="11" t="n">
        <v>0</v>
      </c>
      <c r="L979" s="11" t="n">
        <v>0</v>
      </c>
      <c r="M979" s="5"/>
      <c r="N979" s="5"/>
      <c r="O979" s="11" t="n">
        <v>1</v>
      </c>
      <c r="P979" s="11" t="n">
        <v>0</v>
      </c>
      <c r="Q979" s="11" t="n">
        <v>0</v>
      </c>
      <c r="R979" s="5"/>
      <c r="S979" s="11" t="n">
        <v>0</v>
      </c>
      <c r="T979" s="11" t="n">
        <v>0</v>
      </c>
      <c r="U979" s="5"/>
      <c r="V979" s="5"/>
      <c r="W979" s="5"/>
      <c r="X979" s="5"/>
      <c r="Y979" s="5"/>
      <c r="Z979" s="5"/>
      <c r="AA979" s="5"/>
      <c r="AB979" s="5"/>
    </row>
    <row r="980" customFormat="false" ht="15.75" hidden="false" customHeight="false" outlineLevel="0" collapsed="false">
      <c r="A980" s="5" t="s">
        <v>2184</v>
      </c>
      <c r="B980" s="5" t="s">
        <v>2218</v>
      </c>
      <c r="C980" s="5" t="s">
        <v>2221</v>
      </c>
      <c r="D980" s="5"/>
      <c r="E980" s="5"/>
      <c r="F980" s="5"/>
      <c r="G980" s="5"/>
      <c r="H980" s="5" t="n">
        <f aca="false">(COUNTIF(J980:EC980,"=0")+COUNTIF(J980:EC980,"=1"))</f>
        <v>8</v>
      </c>
      <c r="I980" s="17" t="n">
        <f aca="false">IFERROR(ROUND(10-AVERAGE(J980:EC980)*10,0),0)</f>
        <v>9</v>
      </c>
      <c r="J980" s="11" t="n">
        <v>0</v>
      </c>
      <c r="K980" s="11" t="n">
        <v>0</v>
      </c>
      <c r="L980" s="11" t="n">
        <v>0</v>
      </c>
      <c r="M980" s="5"/>
      <c r="N980" s="5"/>
      <c r="O980" s="11" t="n">
        <v>1</v>
      </c>
      <c r="P980" s="11" t="n">
        <v>0</v>
      </c>
      <c r="Q980" s="11" t="n">
        <v>0</v>
      </c>
      <c r="R980" s="5"/>
      <c r="S980" s="11" t="n">
        <v>0</v>
      </c>
      <c r="T980" s="11" t="n">
        <v>0</v>
      </c>
      <c r="U980" s="5"/>
      <c r="V980" s="5"/>
      <c r="W980" s="5"/>
      <c r="X980" s="5"/>
      <c r="Y980" s="5"/>
      <c r="Z980" s="5"/>
      <c r="AA980" s="5"/>
      <c r="AB980" s="5"/>
    </row>
    <row r="981" customFormat="false" ht="15.75" hidden="false" customHeight="false" outlineLevel="0" collapsed="false">
      <c r="A981" s="5" t="s">
        <v>2184</v>
      </c>
      <c r="B981" s="5" t="s">
        <v>2222</v>
      </c>
      <c r="C981" s="5" t="s">
        <v>2223</v>
      </c>
      <c r="D981" s="5"/>
      <c r="E981" s="5"/>
      <c r="F981" s="5"/>
      <c r="G981" s="5"/>
      <c r="H981" s="5" t="n">
        <f aca="false">(COUNTIF(J981:EC981,"=0")+COUNTIF(J981:EC981,"=1"))</f>
        <v>4</v>
      </c>
      <c r="I981" s="12" t="n">
        <f aca="false">IFERROR(ROUND(10-AVERAGE(J981:EC981)*10,0),0)</f>
        <v>8</v>
      </c>
      <c r="J981" s="5"/>
      <c r="K981" s="11" t="n">
        <v>0</v>
      </c>
      <c r="L981" s="5"/>
      <c r="M981" s="5"/>
      <c r="N981" s="5"/>
      <c r="O981" s="11" t="n">
        <v>1</v>
      </c>
      <c r="P981" s="11" t="n">
        <v>0</v>
      </c>
      <c r="Q981" s="5"/>
      <c r="R981" s="5"/>
      <c r="S981" s="5"/>
      <c r="T981" s="5"/>
      <c r="U981" s="5"/>
      <c r="V981" s="5"/>
      <c r="W981" s="5"/>
      <c r="X981" s="5"/>
      <c r="Y981" s="5"/>
      <c r="Z981" s="11" t="n">
        <v>0</v>
      </c>
      <c r="AA981" s="5"/>
      <c r="AB981" s="5"/>
    </row>
    <row r="982" customFormat="false" ht="15.75" hidden="false" customHeight="false" outlineLevel="0" collapsed="false">
      <c r="A982" s="5" t="s">
        <v>2184</v>
      </c>
      <c r="B982" s="5" t="s">
        <v>2224</v>
      </c>
      <c r="C982" s="5" t="s">
        <v>2225</v>
      </c>
      <c r="D982" s="5"/>
      <c r="E982" s="5"/>
      <c r="F982" s="5"/>
      <c r="G982" s="9" t="s">
        <v>2226</v>
      </c>
      <c r="H982" s="5" t="n">
        <f aca="false">(COUNTIF(J982:EC982,"=0")+COUNTIF(J982:EC982,"=1"))</f>
        <v>6</v>
      </c>
      <c r="I982" s="12" t="n">
        <f aca="false">IFERROR(ROUND(10-AVERAGE(J982:EC982)*10,0),0)</f>
        <v>8</v>
      </c>
      <c r="J982" s="11" t="n">
        <v>0</v>
      </c>
      <c r="K982" s="11" t="n">
        <v>0</v>
      </c>
      <c r="L982" s="5"/>
      <c r="M982" s="5"/>
      <c r="N982" s="5"/>
      <c r="O982" s="11" t="n">
        <v>0</v>
      </c>
      <c r="P982" s="11" t="n">
        <v>0</v>
      </c>
      <c r="Q982" s="5"/>
      <c r="R982" s="5"/>
      <c r="S982" s="5"/>
      <c r="T982" s="11" t="n">
        <v>0</v>
      </c>
      <c r="U982" s="5"/>
      <c r="V982" s="5"/>
      <c r="W982" s="5"/>
      <c r="X982" s="11" t="n">
        <v>1</v>
      </c>
      <c r="Y982" s="5"/>
      <c r="Z982" s="5"/>
      <c r="AA982" s="5"/>
      <c r="AB982" s="5"/>
    </row>
    <row r="983" customFormat="false" ht="15.75" hidden="false" customHeight="false" outlineLevel="0" collapsed="false">
      <c r="A983" s="5" t="s">
        <v>2184</v>
      </c>
      <c r="B983" s="5" t="s">
        <v>2224</v>
      </c>
      <c r="C983" s="5" t="s">
        <v>2227</v>
      </c>
      <c r="D983" s="5"/>
      <c r="E983" s="5"/>
      <c r="F983" s="5"/>
      <c r="G983" s="5"/>
      <c r="H983" s="5" t="n">
        <f aca="false">(COUNTIF(J983:EC983,"=0")+COUNTIF(J983:EC983,"=1"))</f>
        <v>7</v>
      </c>
      <c r="I983" s="17" t="n">
        <f aca="false">IFERROR(ROUND(10-AVERAGE(J983:EC983)*10,0),0)</f>
        <v>9</v>
      </c>
      <c r="J983" s="11" t="n">
        <v>0</v>
      </c>
      <c r="K983" s="11" t="n">
        <v>0</v>
      </c>
      <c r="L983" s="5"/>
      <c r="M983" s="5"/>
      <c r="N983" s="5"/>
      <c r="O983" s="11" t="n">
        <v>1</v>
      </c>
      <c r="P983" s="11" t="n">
        <v>0</v>
      </c>
      <c r="Q983" s="11" t="n">
        <v>0</v>
      </c>
      <c r="R983" s="5"/>
      <c r="S983" s="11" t="n">
        <v>0</v>
      </c>
      <c r="T983" s="11" t="n">
        <v>0</v>
      </c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customFormat="false" ht="15.75" hidden="false" customHeight="false" outlineLevel="0" collapsed="false">
      <c r="A984" s="5" t="s">
        <v>2184</v>
      </c>
      <c r="B984" s="5" t="s">
        <v>2184</v>
      </c>
      <c r="C984" s="5" t="s">
        <v>2228</v>
      </c>
      <c r="D984" s="5"/>
      <c r="E984" s="5"/>
      <c r="F984" s="5"/>
      <c r="G984" s="5"/>
      <c r="H984" s="5" t="n">
        <f aca="false">(COUNTIF(J984:EC984,"=0")+COUNTIF(J984:EC984,"=1"))</f>
        <v>10</v>
      </c>
      <c r="I984" s="13" t="n">
        <f aca="false">IFERROR(ROUND(10-AVERAGE(J984:EC984)*10,0),0)</f>
        <v>1</v>
      </c>
      <c r="J984" s="11" t="n">
        <v>1</v>
      </c>
      <c r="K984" s="11" t="n">
        <v>0</v>
      </c>
      <c r="L984" s="11" t="n">
        <v>1</v>
      </c>
      <c r="M984" s="5"/>
      <c r="N984" s="5"/>
      <c r="O984" s="11" t="n">
        <v>1</v>
      </c>
      <c r="P984" s="11" t="n">
        <v>1</v>
      </c>
      <c r="Q984" s="11" t="n">
        <v>1</v>
      </c>
      <c r="R984" s="11" t="n">
        <v>1</v>
      </c>
      <c r="S984" s="11" t="n">
        <v>1</v>
      </c>
      <c r="T984" s="11" t="n">
        <v>1</v>
      </c>
      <c r="U984" s="5"/>
      <c r="V984" s="5"/>
      <c r="W984" s="5"/>
      <c r="X984" s="5"/>
      <c r="Y984" s="5"/>
      <c r="Z984" s="5"/>
      <c r="AA984" s="5"/>
      <c r="AB984" s="11" t="n">
        <v>1</v>
      </c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customFormat="false" ht="15.75" hidden="false" customHeight="false" outlineLevel="0" collapsed="false">
      <c r="A985" s="5" t="s">
        <v>2184</v>
      </c>
      <c r="B985" s="5" t="s">
        <v>2184</v>
      </c>
      <c r="C985" s="5" t="s">
        <v>2229</v>
      </c>
      <c r="D985" s="5"/>
      <c r="E985" s="5"/>
      <c r="F985" s="5"/>
      <c r="G985" s="5"/>
      <c r="H985" s="5" t="n">
        <f aca="false">(COUNTIF(J985:EC985,"=0")+COUNTIF(J985:EC985,"=1"))</f>
        <v>8</v>
      </c>
      <c r="I985" s="17" t="n">
        <f aca="false">IFERROR(ROUND(10-AVERAGE(J985:EC985)*10,0),0)</f>
        <v>9</v>
      </c>
      <c r="J985" s="11" t="n">
        <v>0</v>
      </c>
      <c r="K985" s="11" t="n">
        <v>0</v>
      </c>
      <c r="L985" s="11" t="n">
        <v>0</v>
      </c>
      <c r="M985" s="5"/>
      <c r="N985" s="5"/>
      <c r="O985" s="11" t="n">
        <v>1</v>
      </c>
      <c r="P985" s="11" t="n">
        <v>0</v>
      </c>
      <c r="Q985" s="11" t="n">
        <v>0</v>
      </c>
      <c r="R985" s="5"/>
      <c r="S985" s="11" t="n">
        <v>0</v>
      </c>
      <c r="T985" s="11" t="n">
        <v>0</v>
      </c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customFormat="false" ht="15.75" hidden="false" customHeight="false" outlineLevel="0" collapsed="false">
      <c r="A986" s="5" t="s">
        <v>2184</v>
      </c>
      <c r="B986" s="5" t="s">
        <v>2230</v>
      </c>
      <c r="C986" s="5" t="s">
        <v>2231</v>
      </c>
      <c r="D986" s="5"/>
      <c r="E986" s="5"/>
      <c r="F986" s="5"/>
      <c r="G986" s="14" t="s">
        <v>2232</v>
      </c>
      <c r="H986" s="5" t="n">
        <f aca="false">(COUNTIF(J986:EC986,"=0")+COUNTIF(J986:EC986,"=1"))</f>
        <v>4</v>
      </c>
      <c r="I986" s="10" t="n">
        <f aca="false">IFERROR(ROUND(10-AVERAGE(J986:EC986)*10,0),0)</f>
        <v>10</v>
      </c>
      <c r="J986" s="5" t="n">
        <v>0</v>
      </c>
      <c r="K986" s="5" t="n">
        <v>0</v>
      </c>
      <c r="L986" s="5"/>
      <c r="M986" s="5"/>
      <c r="N986" s="5"/>
      <c r="O986" s="5"/>
      <c r="P986" s="5" t="n">
        <v>0</v>
      </c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11" t="n">
        <v>0</v>
      </c>
      <c r="AB986" s="5"/>
    </row>
    <row r="987" customFormat="false" ht="15.75" hidden="false" customHeight="false" outlineLevel="0" collapsed="false">
      <c r="A987" s="5" t="s">
        <v>2184</v>
      </c>
      <c r="B987" s="5" t="s">
        <v>2233</v>
      </c>
      <c r="C987" s="5" t="s">
        <v>2234</v>
      </c>
      <c r="D987" s="5"/>
      <c r="E987" s="5"/>
      <c r="F987" s="5"/>
      <c r="G987" s="9" t="s">
        <v>2235</v>
      </c>
      <c r="H987" s="5" t="n">
        <f aca="false">(COUNTIF(J987:EC987,"=0")+COUNTIF(J987:EC987,"=1"))</f>
        <v>8</v>
      </c>
      <c r="I987" s="23" t="n">
        <f aca="false">IFERROR(ROUND(10-AVERAGE(J987:EC987)*10,0),0)</f>
        <v>4</v>
      </c>
      <c r="J987" s="11" t="n">
        <v>1</v>
      </c>
      <c r="K987" s="11" t="n">
        <v>0</v>
      </c>
      <c r="L987" s="11" t="n">
        <v>0</v>
      </c>
      <c r="M987" s="5"/>
      <c r="N987" s="5"/>
      <c r="O987" s="11" t="n">
        <v>1</v>
      </c>
      <c r="P987" s="11" t="n">
        <v>1</v>
      </c>
      <c r="Q987" s="11" t="n">
        <v>1</v>
      </c>
      <c r="R987" s="5"/>
      <c r="S987" s="11" t="n">
        <v>0</v>
      </c>
      <c r="T987" s="11" t="n">
        <v>1</v>
      </c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customFormat="false" ht="15.75" hidden="false" customHeight="false" outlineLevel="0" collapsed="false">
      <c r="A988" s="5" t="s">
        <v>2184</v>
      </c>
      <c r="B988" s="5" t="s">
        <v>2236</v>
      </c>
      <c r="C988" s="5" t="s">
        <v>2237</v>
      </c>
      <c r="D988" s="5"/>
      <c r="E988" s="5"/>
      <c r="F988" s="5"/>
      <c r="G988" s="5"/>
      <c r="H988" s="5" t="n">
        <f aca="false">(COUNTIF(J988:EC988,"=0")+COUNTIF(J988:EC988,"=1"))</f>
        <v>8</v>
      </c>
      <c r="I988" s="23" t="n">
        <f aca="false">IFERROR(ROUND(10-AVERAGE(J988:EC988)*10,0),0)</f>
        <v>4</v>
      </c>
      <c r="J988" s="11" t="n">
        <v>0</v>
      </c>
      <c r="K988" s="11" t="n">
        <v>0</v>
      </c>
      <c r="L988" s="11" t="n">
        <v>1</v>
      </c>
      <c r="M988" s="5"/>
      <c r="N988" s="5"/>
      <c r="O988" s="11" t="n">
        <v>1</v>
      </c>
      <c r="P988" s="11" t="n">
        <v>1</v>
      </c>
      <c r="Q988" s="11" t="n">
        <v>1</v>
      </c>
      <c r="R988" s="5"/>
      <c r="S988" s="11" t="n">
        <v>0</v>
      </c>
      <c r="T988" s="11" t="n">
        <v>1</v>
      </c>
      <c r="U988" s="5"/>
      <c r="V988" s="5"/>
      <c r="W988" s="5"/>
      <c r="X988" s="5"/>
      <c r="Y988" s="5"/>
      <c r="Z988" s="5"/>
      <c r="AA988" s="5"/>
      <c r="AB988" s="5"/>
    </row>
    <row r="989" customFormat="false" ht="15.75" hidden="false" customHeight="false" outlineLevel="0" collapsed="false">
      <c r="A989" s="5" t="s">
        <v>2184</v>
      </c>
      <c r="B989" s="5" t="s">
        <v>2238</v>
      </c>
      <c r="C989" s="5" t="s">
        <v>2231</v>
      </c>
      <c r="D989" s="5"/>
      <c r="E989" s="5"/>
      <c r="F989" s="5"/>
      <c r="G989" s="14" t="s">
        <v>2239</v>
      </c>
      <c r="H989" s="5" t="n">
        <f aca="false">(COUNTIF(J989:EC989,"=0")+COUNTIF(J989:EC989,"=1"))</f>
        <v>8</v>
      </c>
      <c r="I989" s="12" t="n">
        <f aca="false">IFERROR(ROUND(10-AVERAGE(J989:EC989)*10,0),0)</f>
        <v>8</v>
      </c>
      <c r="J989" s="11" t="n">
        <v>0</v>
      </c>
      <c r="K989" s="11" t="n">
        <v>0</v>
      </c>
      <c r="L989" s="11" t="n">
        <v>0</v>
      </c>
      <c r="M989" s="5"/>
      <c r="N989" s="5"/>
      <c r="O989" s="11" t="n">
        <v>1</v>
      </c>
      <c r="P989" s="11" t="n">
        <v>0</v>
      </c>
      <c r="Q989" s="11" t="n">
        <v>0</v>
      </c>
      <c r="R989" s="5"/>
      <c r="S989" s="11" t="n">
        <v>0</v>
      </c>
      <c r="T989" s="11" t="n">
        <v>1</v>
      </c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customFormat="false" ht="15.75" hidden="false" customHeight="false" outlineLevel="0" collapsed="false">
      <c r="A990" s="5" t="s">
        <v>2184</v>
      </c>
      <c r="B990" s="5" t="s">
        <v>2240</v>
      </c>
      <c r="C990" s="5" t="s">
        <v>2241</v>
      </c>
      <c r="D990" s="5"/>
      <c r="E990" s="5"/>
      <c r="F990" s="5"/>
      <c r="G990" s="9" t="s">
        <v>2242</v>
      </c>
      <c r="H990" s="5" t="n">
        <f aca="false">(COUNTIF(J990:EC990,"=0")+COUNTIF(J990:EC990,"=1"))</f>
        <v>6</v>
      </c>
      <c r="I990" s="12" t="n">
        <f aca="false">IFERROR(ROUND(10-AVERAGE(J990:EC990)*10,0),0)</f>
        <v>8</v>
      </c>
      <c r="J990" s="11" t="n">
        <v>0</v>
      </c>
      <c r="K990" s="11" t="n">
        <v>0</v>
      </c>
      <c r="L990" s="5"/>
      <c r="M990" s="5"/>
      <c r="N990" s="5"/>
      <c r="O990" s="11" t="n">
        <v>0</v>
      </c>
      <c r="P990" s="11" t="n">
        <v>0</v>
      </c>
      <c r="Q990" s="5"/>
      <c r="R990" s="5"/>
      <c r="S990" s="5"/>
      <c r="T990" s="11" t="n">
        <v>0</v>
      </c>
      <c r="U990" s="5"/>
      <c r="V990" s="5"/>
      <c r="W990" s="5"/>
      <c r="X990" s="11" t="n">
        <v>1</v>
      </c>
      <c r="Y990" s="5"/>
      <c r="Z990" s="5"/>
      <c r="AA990" s="5"/>
      <c r="AB990" s="5"/>
    </row>
    <row r="991" customFormat="false" ht="15.75" hidden="false" customHeight="false" outlineLevel="0" collapsed="false">
      <c r="A991" s="5" t="s">
        <v>2184</v>
      </c>
      <c r="B991" s="5" t="s">
        <v>2243</v>
      </c>
      <c r="C991" s="5" t="s">
        <v>2244</v>
      </c>
      <c r="D991" s="5"/>
      <c r="E991" s="5"/>
      <c r="F991" s="5"/>
      <c r="G991" s="9" t="s">
        <v>2245</v>
      </c>
      <c r="H991" s="5" t="n">
        <f aca="false">(COUNTIF(J991:EC991,"=0")+COUNTIF(J991:EC991,"=1"))</f>
        <v>5</v>
      </c>
      <c r="I991" s="19" t="n">
        <f aca="false">IFERROR(ROUND(10-AVERAGE(J991:EC991)*10,0),0)</f>
        <v>6</v>
      </c>
      <c r="J991" s="5" t="n">
        <v>0</v>
      </c>
      <c r="K991" s="11" t="n">
        <v>0</v>
      </c>
      <c r="L991" s="5"/>
      <c r="M991" s="5"/>
      <c r="N991" s="5"/>
      <c r="O991" s="11" t="n">
        <v>1</v>
      </c>
      <c r="P991" s="11" t="n">
        <v>1</v>
      </c>
      <c r="Q991" s="5"/>
      <c r="R991" s="5"/>
      <c r="S991" s="5"/>
      <c r="T991" s="5"/>
      <c r="U991" s="5"/>
      <c r="V991" s="5"/>
      <c r="W991" s="5"/>
      <c r="X991" s="5"/>
      <c r="Y991" s="5"/>
      <c r="Z991" s="11" t="n">
        <v>0</v>
      </c>
      <c r="AA991" s="5"/>
      <c r="AB991" s="5"/>
    </row>
    <row r="992" customFormat="false" ht="15.75" hidden="false" customHeight="false" outlineLevel="0" collapsed="false">
      <c r="A992" s="5" t="s">
        <v>2184</v>
      </c>
      <c r="B992" s="5" t="s">
        <v>2243</v>
      </c>
      <c r="C992" s="5" t="s">
        <v>2246</v>
      </c>
      <c r="D992" s="5"/>
      <c r="E992" s="5"/>
      <c r="F992" s="5"/>
      <c r="G992" s="9" t="s">
        <v>2247</v>
      </c>
      <c r="H992" s="5" t="n">
        <f aca="false">(COUNTIF(J992:EC992,"=0")+COUNTIF(J992:EC992,"=1"))</f>
        <v>6</v>
      </c>
      <c r="I992" s="16" t="n">
        <f aca="false">IFERROR(ROUND(10-AVERAGE(J992:EC992)*10,0),0)</f>
        <v>7</v>
      </c>
      <c r="J992" s="11" t="n">
        <v>0</v>
      </c>
      <c r="K992" s="11" t="n">
        <v>0</v>
      </c>
      <c r="L992" s="5"/>
      <c r="M992" s="5"/>
      <c r="N992" s="5"/>
      <c r="O992" s="11" t="n">
        <v>1</v>
      </c>
      <c r="P992" s="11" t="n">
        <v>0</v>
      </c>
      <c r="Q992" s="5"/>
      <c r="R992" s="5"/>
      <c r="S992" s="5"/>
      <c r="T992" s="11" t="n">
        <v>0</v>
      </c>
      <c r="U992" s="5"/>
      <c r="V992" s="5"/>
      <c r="W992" s="5"/>
      <c r="X992" s="11" t="n">
        <v>1</v>
      </c>
      <c r="Y992" s="5"/>
      <c r="Z992" s="5"/>
      <c r="AA992" s="5"/>
      <c r="AB992" s="5"/>
    </row>
    <row r="993" customFormat="false" ht="15.75" hidden="false" customHeight="false" outlineLevel="0" collapsed="false">
      <c r="A993" s="5" t="s">
        <v>2184</v>
      </c>
      <c r="B993" s="5" t="s">
        <v>2248</v>
      </c>
      <c r="D993" s="5"/>
      <c r="E993" s="5"/>
      <c r="F993" s="5"/>
      <c r="G993" s="5"/>
      <c r="H993" s="5" t="n">
        <f aca="false">(COUNTIF(J993:EC993,"=0")+COUNTIF(J993:EC993,"=1"))</f>
        <v>0</v>
      </c>
      <c r="I993" s="18" t="n">
        <f aca="false">IFERROR(ROUND(10-AVERAGE(J993:EC993)*10,0),0)</f>
        <v>0</v>
      </c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customFormat="false" ht="15.75" hidden="false" customHeight="false" outlineLevel="0" collapsed="false">
      <c r="A994" s="5" t="s">
        <v>2249</v>
      </c>
      <c r="B994" s="5" t="s">
        <v>2250</v>
      </c>
      <c r="C994" s="5" t="s">
        <v>79</v>
      </c>
      <c r="D994" s="5"/>
      <c r="E994" s="5"/>
      <c r="F994" s="5"/>
      <c r="G994" s="5"/>
      <c r="H994" s="5" t="n">
        <f aca="false">(COUNTIF(J994:EC994,"=0")+COUNTIF(J994:EC994,"=1"))</f>
        <v>9</v>
      </c>
      <c r="I994" s="12" t="n">
        <f aca="false">IFERROR(ROUND(10-AVERAGE(J994:EC994)*10,0),0)</f>
        <v>8</v>
      </c>
      <c r="J994" s="11" t="n">
        <v>0</v>
      </c>
      <c r="K994" s="11" t="n">
        <v>0</v>
      </c>
      <c r="L994" s="11" t="n">
        <v>0</v>
      </c>
      <c r="M994" s="5"/>
      <c r="N994" s="5"/>
      <c r="O994" s="11" t="n">
        <v>1</v>
      </c>
      <c r="P994" s="11" t="n">
        <v>1</v>
      </c>
      <c r="Q994" s="11" t="n">
        <v>0</v>
      </c>
      <c r="R994" s="5"/>
      <c r="S994" s="11" t="n">
        <v>0</v>
      </c>
      <c r="T994" s="11" t="n">
        <v>0</v>
      </c>
      <c r="U994" s="5"/>
      <c r="V994" s="5"/>
      <c r="W994" s="5"/>
      <c r="X994" s="5"/>
      <c r="Y994" s="5"/>
      <c r="Z994" s="5"/>
      <c r="AA994" s="5"/>
      <c r="AB994" s="5"/>
      <c r="AC994" s="5" t="n">
        <v>0</v>
      </c>
    </row>
    <row r="995" customFormat="false" ht="15.75" hidden="false" customHeight="false" outlineLevel="0" collapsed="false">
      <c r="A995" s="5" t="s">
        <v>2251</v>
      </c>
      <c r="B995" s="5" t="s">
        <v>2252</v>
      </c>
      <c r="C995" s="5" t="s">
        <v>2253</v>
      </c>
      <c r="D995" s="5"/>
      <c r="E995" s="5"/>
      <c r="F995" s="5"/>
      <c r="G995" s="9" t="s">
        <v>2254</v>
      </c>
      <c r="H995" s="5" t="n">
        <f aca="false">(COUNTIF(J995:EC995,"=0")+COUNTIF(J995:EC995,"=1"))</f>
        <v>8</v>
      </c>
      <c r="I995" s="15" t="n">
        <f aca="false">IFERROR(ROUND(10-AVERAGE(J995:EC995)*10,0),0)</f>
        <v>6</v>
      </c>
      <c r="J995" s="11" t="n">
        <v>1</v>
      </c>
      <c r="K995" s="11" t="n">
        <v>0</v>
      </c>
      <c r="L995" s="5"/>
      <c r="M995" s="5"/>
      <c r="N995" s="5"/>
      <c r="O995" s="5"/>
      <c r="P995" s="11" t="n">
        <v>1</v>
      </c>
      <c r="Q995" s="5" t="n">
        <v>0</v>
      </c>
      <c r="R995" s="5"/>
      <c r="S995" s="5"/>
      <c r="T995" s="11" t="n">
        <v>0</v>
      </c>
      <c r="U995" s="5"/>
      <c r="V995" s="5"/>
      <c r="W995" s="5" t="n">
        <v>0</v>
      </c>
      <c r="X995" s="5"/>
      <c r="Y995" s="5"/>
      <c r="Z995" s="11" t="n">
        <v>0</v>
      </c>
      <c r="AA995" s="5"/>
      <c r="AB995" s="5"/>
      <c r="AF995" s="5" t="n">
        <v>1</v>
      </c>
    </row>
    <row r="996" customFormat="false" ht="15.75" hidden="false" customHeight="false" outlineLevel="0" collapsed="false">
      <c r="A996" s="5" t="s">
        <v>2255</v>
      </c>
      <c r="B996" s="5" t="s">
        <v>2255</v>
      </c>
      <c r="C996" s="5" t="s">
        <v>2256</v>
      </c>
      <c r="D996" s="5"/>
      <c r="E996" s="5"/>
      <c r="F996" s="5"/>
      <c r="G996" s="14" t="s">
        <v>2257</v>
      </c>
      <c r="H996" s="5" t="n">
        <f aca="false">(COUNTIF(J996:EC996,"=0")+COUNTIF(J996:EC996,"=1"))</f>
        <v>2</v>
      </c>
      <c r="I996" s="10" t="n">
        <f aca="false">IFERROR(ROUND(10-AVERAGE(J996:EC996)*10,0),0)</f>
        <v>5</v>
      </c>
      <c r="J996" s="5"/>
      <c r="K996" s="11" t="n">
        <v>0</v>
      </c>
      <c r="L996" s="5"/>
      <c r="M996" s="5"/>
      <c r="N996" s="5"/>
      <c r="O996" s="5"/>
      <c r="P996" s="5" t="n">
        <v>1</v>
      </c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customFormat="false" ht="15.75" hidden="false" customHeight="false" outlineLevel="0" collapsed="false">
      <c r="A997" s="5" t="s">
        <v>2255</v>
      </c>
      <c r="B997" s="5" t="s">
        <v>2255</v>
      </c>
      <c r="C997" s="5" t="s">
        <v>2258</v>
      </c>
      <c r="D997" s="5"/>
      <c r="E997" s="5"/>
      <c r="F997" s="5"/>
      <c r="G997" s="14" t="s">
        <v>2259</v>
      </c>
      <c r="H997" s="5" t="n">
        <f aca="false">(COUNTIF(J997:EC997,"=0")+COUNTIF(J997:EC997,"=1"))</f>
        <v>1</v>
      </c>
      <c r="I997" s="15" t="n">
        <f aca="false">IFERROR(ROUND(10-AVERAGE(J997:EC997)*10,0),0)</f>
        <v>0</v>
      </c>
      <c r="J997" s="5"/>
      <c r="K997" s="5"/>
      <c r="L997" s="5"/>
      <c r="M997" s="5"/>
      <c r="N997" s="5"/>
      <c r="O997" s="5"/>
      <c r="P997" s="5" t="n">
        <v>1</v>
      </c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customFormat="false" ht="15.75" hidden="false" customHeight="false" outlineLevel="0" collapsed="false">
      <c r="A998" s="5" t="s">
        <v>2260</v>
      </c>
      <c r="B998" s="5" t="s">
        <v>2261</v>
      </c>
      <c r="C998" s="5" t="s">
        <v>2262</v>
      </c>
      <c r="D998" s="5"/>
      <c r="E998" s="5"/>
      <c r="F998" s="5"/>
      <c r="G998" s="14" t="s">
        <v>2263</v>
      </c>
      <c r="H998" s="5" t="n">
        <f aca="false">(COUNTIF(J998:EC998,"=0")+COUNTIF(J998:EC998,"=1"))</f>
        <v>2</v>
      </c>
      <c r="I998" s="15" t="n">
        <f aca="false">IFERROR(ROUND(10-AVERAGE(J998:EC998)*10,0),0)</f>
        <v>5</v>
      </c>
      <c r="J998" s="5"/>
      <c r="K998" s="5"/>
      <c r="L998" s="5"/>
      <c r="M998" s="5"/>
      <c r="N998" s="5"/>
      <c r="O998" s="5"/>
      <c r="P998" s="5" t="n">
        <v>0</v>
      </c>
      <c r="Q998" s="5"/>
      <c r="R998" s="5"/>
      <c r="S998" s="5" t="n">
        <v>1</v>
      </c>
      <c r="T998" s="5"/>
      <c r="U998" s="5"/>
      <c r="V998" s="5"/>
      <c r="W998" s="5"/>
      <c r="X998" s="5"/>
      <c r="Y998" s="5"/>
      <c r="Z998" s="5"/>
      <c r="AA998" s="5"/>
      <c r="AB998" s="5"/>
    </row>
    <row r="999" customFormat="false" ht="15.75" hidden="false" customHeight="false" outlineLevel="0" collapsed="false">
      <c r="A999" s="5" t="s">
        <v>2260</v>
      </c>
      <c r="B999" s="5" t="s">
        <v>2261</v>
      </c>
      <c r="C999" s="5" t="s">
        <v>2264</v>
      </c>
      <c r="D999" s="5" t="s">
        <v>2265</v>
      </c>
      <c r="E999" s="5"/>
      <c r="F999" s="5"/>
      <c r="G999" s="14" t="s">
        <v>2266</v>
      </c>
      <c r="H999" s="5" t="n">
        <f aca="false">(COUNTIF(J999:EC999,"=0")+COUNTIF(J999:EC999,"=1"))</f>
        <v>2</v>
      </c>
      <c r="I999" s="15" t="n">
        <f aca="false">IFERROR(ROUND(10-AVERAGE(J999:EC999)*10,0),0)</f>
        <v>5</v>
      </c>
      <c r="J999" s="5"/>
      <c r="K999" s="5"/>
      <c r="L999" s="5"/>
      <c r="M999" s="5"/>
      <c r="N999" s="5"/>
      <c r="O999" s="5"/>
      <c r="P999" s="5" t="n">
        <v>0</v>
      </c>
      <c r="Q999" s="5"/>
      <c r="R999" s="5"/>
      <c r="S999" s="5" t="n">
        <v>1</v>
      </c>
      <c r="T999" s="5"/>
      <c r="U999" s="5"/>
      <c r="V999" s="5"/>
      <c r="W999" s="5"/>
      <c r="X999" s="5"/>
      <c r="Y999" s="5"/>
      <c r="Z999" s="5"/>
      <c r="AA999" s="5"/>
      <c r="AB999" s="5"/>
    </row>
    <row r="1000" customFormat="false" ht="15.75" hidden="false" customHeight="false" outlineLevel="0" collapsed="false">
      <c r="A1000" s="5" t="s">
        <v>2267</v>
      </c>
      <c r="B1000" s="5" t="s">
        <v>2267</v>
      </c>
      <c r="C1000" s="5" t="s">
        <v>2268</v>
      </c>
      <c r="D1000" s="5"/>
      <c r="E1000" s="5"/>
      <c r="F1000" s="5"/>
      <c r="G1000" s="9" t="s">
        <v>2269</v>
      </c>
      <c r="H1000" s="5" t="n">
        <f aca="false">(COUNTIF(J1000:EC1000,"=0")+COUNTIF(J1000:EC1000,"=1"))</f>
        <v>8</v>
      </c>
      <c r="I1000" s="12" t="n">
        <f aca="false">IFERROR(ROUND(10-AVERAGE(J1000:EC1000)*10,0),0)</f>
        <v>8</v>
      </c>
      <c r="J1000" s="11" t="n">
        <v>0</v>
      </c>
      <c r="K1000" s="11" t="n">
        <v>0</v>
      </c>
      <c r="L1000" s="5"/>
      <c r="M1000" s="5"/>
      <c r="N1000" s="5"/>
      <c r="O1000" s="5"/>
      <c r="P1000" s="11" t="n">
        <v>1</v>
      </c>
      <c r="Q1000" s="5" t="n">
        <v>1</v>
      </c>
      <c r="R1000" s="5"/>
      <c r="S1000" s="5"/>
      <c r="T1000" s="11" t="n">
        <v>0</v>
      </c>
      <c r="U1000" s="5"/>
      <c r="V1000" s="5"/>
      <c r="W1000" s="5"/>
      <c r="X1000" s="5"/>
      <c r="Y1000" s="5"/>
      <c r="Z1000" s="11" t="n">
        <v>0</v>
      </c>
      <c r="AA1000" s="5"/>
      <c r="AB1000" s="5"/>
      <c r="AC1000" s="5" t="n">
        <v>0</v>
      </c>
      <c r="AF1000" s="5" t="n">
        <v>0</v>
      </c>
    </row>
    <row r="1001" customFormat="false" ht="15.75" hidden="false" customHeight="false" outlineLevel="0" collapsed="false">
      <c r="A1001" s="5" t="s">
        <v>2270</v>
      </c>
      <c r="B1001" s="5" t="s">
        <v>2270</v>
      </c>
      <c r="C1001" s="5" t="s">
        <v>2271</v>
      </c>
      <c r="D1001" s="5"/>
      <c r="E1001" s="5"/>
      <c r="F1001" s="5"/>
      <c r="G1001" s="9" t="s">
        <v>2272</v>
      </c>
      <c r="H1001" s="5" t="n">
        <f aca="false">(COUNTIF(J1001:EC1001,"=0")+COUNTIF(J1001:EC1001,"=1"))</f>
        <v>10</v>
      </c>
      <c r="I1001" s="21" t="n">
        <f aca="false">IFERROR(ROUND(10-AVERAGE(J1001:EC1001)*10,0),0)</f>
        <v>3</v>
      </c>
      <c r="J1001" s="11" t="n">
        <v>1</v>
      </c>
      <c r="K1001" s="11" t="n">
        <v>1</v>
      </c>
      <c r="L1001" s="11" t="n">
        <v>1</v>
      </c>
      <c r="M1001" s="5"/>
      <c r="N1001" s="5"/>
      <c r="O1001" s="11" t="n">
        <v>1</v>
      </c>
      <c r="P1001" s="11" t="n">
        <v>0</v>
      </c>
      <c r="Q1001" s="11" t="n">
        <v>1</v>
      </c>
      <c r="R1001" s="11" t="n">
        <v>1</v>
      </c>
      <c r="S1001" s="11" t="n">
        <v>0</v>
      </c>
      <c r="T1001" s="11" t="n">
        <v>0</v>
      </c>
      <c r="U1001" s="5"/>
      <c r="V1001" s="5"/>
      <c r="W1001" s="5"/>
      <c r="X1001" s="5"/>
      <c r="Y1001" s="5"/>
      <c r="Z1001" s="5"/>
      <c r="AA1001" s="5"/>
      <c r="AB1001" s="5"/>
      <c r="AF1001" s="5" t="n">
        <v>1</v>
      </c>
    </row>
    <row r="1002" customFormat="false" ht="15.75" hidden="false" customHeight="false" outlineLevel="0" collapsed="false">
      <c r="A1002" s="5" t="s">
        <v>2270</v>
      </c>
      <c r="B1002" s="5" t="s">
        <v>2270</v>
      </c>
      <c r="C1002" s="5" t="s">
        <v>2273</v>
      </c>
      <c r="D1002" s="5"/>
      <c r="E1002" s="5"/>
      <c r="F1002" s="5"/>
      <c r="G1002" s="9" t="s">
        <v>2274</v>
      </c>
      <c r="H1002" s="5" t="n">
        <f aca="false">(COUNTIF(J1002:EC1002,"=0")+COUNTIF(J1002:EC1002,"=1"))</f>
        <v>11</v>
      </c>
      <c r="I1002" s="15" t="n">
        <f aca="false">IFERROR(ROUND(10-AVERAGE(J1002:EC1002)*10,0),0)</f>
        <v>5</v>
      </c>
      <c r="J1002" s="11" t="n">
        <v>0</v>
      </c>
      <c r="K1002" s="11" t="n">
        <v>0</v>
      </c>
      <c r="L1002" s="11" t="n">
        <v>1</v>
      </c>
      <c r="M1002" s="5"/>
      <c r="N1002" s="5"/>
      <c r="O1002" s="11" t="n">
        <v>1</v>
      </c>
      <c r="P1002" s="11" t="n">
        <v>0</v>
      </c>
      <c r="Q1002" s="11" t="n">
        <v>1</v>
      </c>
      <c r="R1002" s="11" t="n">
        <v>1</v>
      </c>
      <c r="S1002" s="11" t="n">
        <v>0</v>
      </c>
      <c r="T1002" s="11" t="n">
        <v>0</v>
      </c>
      <c r="U1002" s="5"/>
      <c r="V1002" s="5"/>
      <c r="W1002" s="5"/>
      <c r="X1002" s="5"/>
      <c r="Y1002" s="5"/>
      <c r="Z1002" s="5"/>
      <c r="AA1002" s="5"/>
      <c r="AB1002" s="5"/>
      <c r="AD1002" s="5" t="n">
        <v>1</v>
      </c>
      <c r="AF1002" s="5" t="n">
        <v>0</v>
      </c>
    </row>
    <row r="1003" customFormat="false" ht="15.75" hidden="false" customHeight="false" outlineLevel="0" collapsed="false">
      <c r="A1003" s="5" t="s">
        <v>2275</v>
      </c>
      <c r="B1003" s="5" t="s">
        <v>2276</v>
      </c>
      <c r="C1003" s="5" t="s">
        <v>2277</v>
      </c>
      <c r="D1003" s="5"/>
      <c r="E1003" s="5"/>
      <c r="F1003" s="5"/>
      <c r="G1003" s="9" t="s">
        <v>2278</v>
      </c>
      <c r="H1003" s="5" t="n">
        <f aca="false">(COUNTIF(J1003:EC1003,"=0")+COUNTIF(J1003:EC1003,"=1"))</f>
        <v>5</v>
      </c>
      <c r="I1003" s="12" t="n">
        <f aca="false">IFERROR(ROUND(10-AVERAGE(J1003:EC1003)*10,0),0)</f>
        <v>8</v>
      </c>
      <c r="J1003" s="11" t="n">
        <v>0</v>
      </c>
      <c r="K1003" s="11" t="n">
        <v>0</v>
      </c>
      <c r="L1003" s="5"/>
      <c r="M1003" s="5"/>
      <c r="N1003" s="5"/>
      <c r="O1003" s="5"/>
      <c r="P1003" s="11" t="n">
        <v>1</v>
      </c>
      <c r="Q1003" s="5"/>
      <c r="R1003" s="5"/>
      <c r="S1003" s="5"/>
      <c r="T1003" s="11" t="n">
        <v>0</v>
      </c>
      <c r="U1003" s="5"/>
      <c r="V1003" s="5"/>
      <c r="W1003" s="5"/>
      <c r="X1003" s="5"/>
      <c r="Y1003" s="5"/>
      <c r="Z1003" s="11" t="n">
        <v>0</v>
      </c>
      <c r="AA1003" s="5"/>
      <c r="AB1003" s="5"/>
    </row>
    <row r="1004" customFormat="false" ht="15.75" hidden="false" customHeight="false" outlineLevel="0" collapsed="false">
      <c r="A1004" s="5" t="s">
        <v>2275</v>
      </c>
      <c r="B1004" s="5" t="s">
        <v>2276</v>
      </c>
      <c r="C1004" s="5" t="s">
        <v>2279</v>
      </c>
      <c r="D1004" s="5"/>
      <c r="E1004" s="5"/>
      <c r="F1004" s="5"/>
      <c r="G1004" s="9" t="s">
        <v>2280</v>
      </c>
      <c r="H1004" s="5" t="n">
        <f aca="false">(COUNTIF(J1004:EC1004,"=0")+COUNTIF(J1004:EC1004,"=1"))</f>
        <v>7</v>
      </c>
      <c r="I1004" s="12" t="n">
        <f aca="false">IFERROR(ROUND(10-AVERAGE(J1004:EC1004)*10,0),0)</f>
        <v>9</v>
      </c>
      <c r="J1004" s="11" t="n">
        <v>0</v>
      </c>
      <c r="K1004" s="11" t="n">
        <v>0</v>
      </c>
      <c r="L1004" s="5"/>
      <c r="M1004" s="5"/>
      <c r="N1004" s="5"/>
      <c r="O1004" s="5"/>
      <c r="P1004" s="11" t="n">
        <v>1</v>
      </c>
      <c r="Q1004" s="5" t="n">
        <v>0</v>
      </c>
      <c r="R1004" s="5"/>
      <c r="S1004" s="5"/>
      <c r="T1004" s="11" t="n">
        <v>0</v>
      </c>
      <c r="U1004" s="5"/>
      <c r="V1004" s="5"/>
      <c r="W1004" s="5"/>
      <c r="X1004" s="5"/>
      <c r="Y1004" s="5"/>
      <c r="Z1004" s="11" t="n">
        <v>0</v>
      </c>
      <c r="AA1004" s="5"/>
      <c r="AB1004" s="5"/>
      <c r="AF1004" s="5" t="n">
        <v>0</v>
      </c>
    </row>
    <row r="1005" customFormat="false" ht="15.75" hidden="false" customHeight="false" outlineLevel="0" collapsed="false">
      <c r="A1005" s="5" t="s">
        <v>2275</v>
      </c>
      <c r="B1005" s="5" t="s">
        <v>2276</v>
      </c>
      <c r="C1005" s="5" t="s">
        <v>2281</v>
      </c>
      <c r="D1005" s="5"/>
      <c r="E1005" s="9" t="s">
        <v>2282</v>
      </c>
      <c r="F1005" s="5"/>
      <c r="G1005" s="9" t="s">
        <v>2283</v>
      </c>
      <c r="H1005" s="5" t="n">
        <f aca="false">(COUNTIF(J1005:EC1005,"=0")+COUNTIF(J1005:EC1005,"=1"))</f>
        <v>4</v>
      </c>
      <c r="I1005" s="16" t="n">
        <f aca="false">IFERROR(ROUND(10-AVERAGE(J1005:EC1005)*10,0),0)</f>
        <v>8</v>
      </c>
      <c r="J1005" s="5" t="n">
        <v>0</v>
      </c>
      <c r="K1005" s="11" t="n">
        <v>0</v>
      </c>
      <c r="L1005" s="5"/>
      <c r="M1005" s="5"/>
      <c r="N1005" s="5"/>
      <c r="O1005" s="5"/>
      <c r="P1005" s="11" t="n">
        <v>1</v>
      </c>
      <c r="Q1005" s="5"/>
      <c r="R1005" s="5"/>
      <c r="S1005" s="5"/>
      <c r="T1005" s="5"/>
      <c r="U1005" s="5"/>
      <c r="V1005" s="5"/>
      <c r="W1005" s="5"/>
      <c r="X1005" s="5"/>
      <c r="Y1005" s="5"/>
      <c r="Z1005" s="11" t="n">
        <v>0</v>
      </c>
      <c r="AA1005" s="5"/>
      <c r="AB1005" s="5"/>
    </row>
    <row r="1006" customFormat="false" ht="15.75" hidden="false" customHeight="false" outlineLevel="0" collapsed="false">
      <c r="A1006" s="5" t="s">
        <v>2284</v>
      </c>
      <c r="B1006" s="5" t="s">
        <v>2284</v>
      </c>
      <c r="C1006" s="5" t="s">
        <v>2285</v>
      </c>
      <c r="D1006" s="5"/>
      <c r="E1006" s="9" t="s">
        <v>2286</v>
      </c>
      <c r="F1006" s="5"/>
      <c r="G1006" s="5"/>
      <c r="H1006" s="5" t="n">
        <f aca="false">(COUNTIF(J1006:EC1006,"=0")+COUNTIF(J1006:EC1006,"=1"))</f>
        <v>2</v>
      </c>
      <c r="I1006" s="12" t="n">
        <f aca="false">IFERROR(ROUND(10-AVERAGE(J1006:EC1006)*10,0),0)</f>
        <v>0</v>
      </c>
      <c r="J1006" s="11"/>
      <c r="K1006" s="11"/>
      <c r="L1006" s="5"/>
      <c r="M1006" s="5"/>
      <c r="N1006" s="5"/>
      <c r="O1006" s="5"/>
      <c r="P1006" s="11" t="n">
        <v>1</v>
      </c>
      <c r="Q1006" s="5"/>
      <c r="R1006" s="5"/>
      <c r="S1006" s="5" t="n">
        <v>1</v>
      </c>
      <c r="T1006" s="11"/>
      <c r="U1006" s="5"/>
      <c r="V1006" s="5"/>
      <c r="W1006" s="11"/>
      <c r="X1006" s="5"/>
      <c r="Y1006" s="5"/>
      <c r="Z1006" s="5"/>
      <c r="AA1006" s="5"/>
      <c r="AB1006" s="5"/>
    </row>
    <row r="1007" customFormat="false" ht="15.75" hidden="false" customHeight="false" outlineLevel="0" collapsed="false">
      <c r="A1007" s="5" t="s">
        <v>2284</v>
      </c>
      <c r="B1007" s="5" t="s">
        <v>2284</v>
      </c>
      <c r="C1007" s="5" t="s">
        <v>2287</v>
      </c>
      <c r="D1007" s="5"/>
      <c r="E1007" s="5"/>
      <c r="F1007" s="5"/>
      <c r="G1007" s="9" t="s">
        <v>2288</v>
      </c>
      <c r="H1007" s="5" t="n">
        <f aca="false">(COUNTIF(J1007:EC1007,"=0")+COUNTIF(J1007:EC1007,"=1"))</f>
        <v>6</v>
      </c>
      <c r="I1007" s="12" t="n">
        <f aca="false">IFERROR(ROUND(10-AVERAGE(J1007:EC1007)*10,0),0)</f>
        <v>7</v>
      </c>
      <c r="J1007" s="11" t="n">
        <v>0</v>
      </c>
      <c r="K1007" s="11" t="n">
        <v>0</v>
      </c>
      <c r="L1007" s="5"/>
      <c r="M1007" s="5"/>
      <c r="N1007" s="5"/>
      <c r="O1007" s="5"/>
      <c r="P1007" s="11" t="n">
        <v>0</v>
      </c>
      <c r="Q1007" s="5"/>
      <c r="R1007" s="5"/>
      <c r="S1007" s="5" t="n">
        <v>1</v>
      </c>
      <c r="T1007" s="11" t="n">
        <v>0</v>
      </c>
      <c r="U1007" s="5"/>
      <c r="V1007" s="5"/>
      <c r="W1007" s="11" t="n">
        <v>1</v>
      </c>
      <c r="X1007" s="5"/>
      <c r="Y1007" s="5"/>
      <c r="Z1007" s="5"/>
      <c r="AA1007" s="5"/>
      <c r="AB1007" s="5"/>
    </row>
    <row r="1008" customFormat="false" ht="15.75" hidden="false" customHeight="false" outlineLevel="0" collapsed="false">
      <c r="A1008" s="5" t="s">
        <v>2284</v>
      </c>
      <c r="B1008" s="5" t="s">
        <v>2284</v>
      </c>
      <c r="C1008" s="5" t="s">
        <v>2289</v>
      </c>
      <c r="D1008" s="5"/>
      <c r="E1008" s="5"/>
      <c r="F1008" s="5"/>
      <c r="G1008" s="9" t="s">
        <v>2290</v>
      </c>
      <c r="H1008" s="5" t="n">
        <f aca="false">(COUNTIF(J1008:EC1008,"=0")+COUNTIF(J1008:EC1008,"=1"))</f>
        <v>6</v>
      </c>
      <c r="I1008" s="15" t="n">
        <f aca="false">IFERROR(ROUND(10-AVERAGE(J1008:EC1008)*10,0),0)</f>
        <v>5</v>
      </c>
      <c r="J1008" s="11" t="n">
        <v>0</v>
      </c>
      <c r="K1008" s="11" t="n">
        <v>0</v>
      </c>
      <c r="L1008" s="5"/>
      <c r="M1008" s="5"/>
      <c r="N1008" s="5"/>
      <c r="O1008" s="5"/>
      <c r="P1008" s="11" t="n">
        <v>1</v>
      </c>
      <c r="Q1008" s="5"/>
      <c r="R1008" s="5"/>
      <c r="S1008" s="5" t="n">
        <v>1</v>
      </c>
      <c r="T1008" s="11" t="n">
        <v>0</v>
      </c>
      <c r="U1008" s="5"/>
      <c r="V1008" s="5"/>
      <c r="W1008" s="11" t="n">
        <v>1</v>
      </c>
      <c r="X1008" s="5"/>
      <c r="Y1008" s="5"/>
      <c r="Z1008" s="5"/>
      <c r="AA1008" s="5"/>
      <c r="AB1008" s="5"/>
    </row>
    <row r="1009" customFormat="false" ht="15.75" hidden="false" customHeight="false" outlineLevel="0" collapsed="false">
      <c r="A1009" s="5" t="s">
        <v>2284</v>
      </c>
      <c r="B1009" s="5" t="s">
        <v>2284</v>
      </c>
      <c r="C1009" s="5" t="s">
        <v>2291</v>
      </c>
      <c r="D1009" s="5"/>
      <c r="E1009" s="5"/>
      <c r="F1009" s="5"/>
      <c r="G1009" s="9" t="s">
        <v>2292</v>
      </c>
      <c r="H1009" s="5" t="n">
        <f aca="false">(COUNTIF(J1009:EC1009,"=0")+COUNTIF(J1009:EC1009,"=1"))</f>
        <v>3</v>
      </c>
      <c r="I1009" s="12" t="n">
        <f aca="false">IFERROR(ROUND(10-AVERAGE(J1009:EC1009)*10,0),0)</f>
        <v>0</v>
      </c>
      <c r="J1009" s="11"/>
      <c r="K1009" s="11"/>
      <c r="L1009" s="5"/>
      <c r="M1009" s="5"/>
      <c r="N1009" s="5"/>
      <c r="O1009" s="5"/>
      <c r="P1009" s="11" t="n">
        <v>1</v>
      </c>
      <c r="Q1009" s="5"/>
      <c r="R1009" s="5"/>
      <c r="S1009" s="5" t="n">
        <v>1</v>
      </c>
      <c r="T1009" s="5"/>
      <c r="U1009" s="5"/>
      <c r="V1009" s="5"/>
      <c r="W1009" s="11" t="n">
        <v>1</v>
      </c>
      <c r="X1009" s="5"/>
      <c r="Y1009" s="5"/>
      <c r="Z1009" s="11"/>
      <c r="AA1009" s="5"/>
      <c r="AB1009" s="5"/>
    </row>
    <row r="1010" customFormat="false" ht="15.75" hidden="false" customHeight="false" outlineLevel="0" collapsed="false">
      <c r="A1010" s="5" t="s">
        <v>2284</v>
      </c>
      <c r="B1010" s="5" t="s">
        <v>2284</v>
      </c>
      <c r="C1010" s="5" t="s">
        <v>2293</v>
      </c>
      <c r="D1010" s="5"/>
      <c r="E1010" s="9" t="s">
        <v>2294</v>
      </c>
      <c r="F1010" s="5"/>
      <c r="G1010" s="5"/>
      <c r="H1010" s="5" t="n">
        <f aca="false">(COUNTIF(J1010:EC1010,"=0")+COUNTIF(J1010:EC1010,"=1"))</f>
        <v>2</v>
      </c>
      <c r="I1010" s="12" t="n">
        <f aca="false">IFERROR(ROUND(10-AVERAGE(J1010:EC1010)*10,0),0)</f>
        <v>5</v>
      </c>
      <c r="J1010" s="11"/>
      <c r="K1010" s="11"/>
      <c r="L1010" s="5"/>
      <c r="M1010" s="5"/>
      <c r="N1010" s="5"/>
      <c r="O1010" s="5"/>
      <c r="P1010" s="11" t="n">
        <v>0</v>
      </c>
      <c r="Q1010" s="5"/>
      <c r="R1010" s="5"/>
      <c r="S1010" s="5" t="n">
        <v>1</v>
      </c>
      <c r="T1010" s="11"/>
      <c r="U1010" s="5"/>
      <c r="V1010" s="5"/>
      <c r="W1010" s="11"/>
      <c r="X1010" s="5"/>
      <c r="Y1010" s="5"/>
      <c r="Z1010" s="5"/>
      <c r="AA1010" s="5"/>
      <c r="AB1010" s="5"/>
    </row>
    <row r="1011" customFormat="false" ht="15.75" hidden="false" customHeight="false" outlineLevel="0" collapsed="false">
      <c r="A1011" s="5" t="s">
        <v>2284</v>
      </c>
      <c r="B1011" s="5" t="s">
        <v>2284</v>
      </c>
      <c r="C1011" s="5" t="s">
        <v>2295</v>
      </c>
      <c r="D1011" s="5"/>
      <c r="E1011" s="9" t="s">
        <v>2296</v>
      </c>
      <c r="F1011" s="5"/>
      <c r="G1011" s="5"/>
      <c r="H1011" s="5" t="n">
        <f aca="false">(COUNTIF(J1011:EC1011,"=0")+COUNTIF(J1011:EC1011,"=1"))</f>
        <v>2</v>
      </c>
      <c r="I1011" s="12" t="n">
        <f aca="false">IFERROR(ROUND(10-AVERAGE(J1011:EC1011)*10,0),0)</f>
        <v>0</v>
      </c>
      <c r="J1011" s="11"/>
      <c r="K1011" s="11"/>
      <c r="L1011" s="5"/>
      <c r="M1011" s="5"/>
      <c r="N1011" s="5"/>
      <c r="O1011" s="5"/>
      <c r="P1011" s="11" t="n">
        <v>1</v>
      </c>
      <c r="Q1011" s="5"/>
      <c r="R1011" s="5"/>
      <c r="S1011" s="5" t="n">
        <v>1</v>
      </c>
      <c r="T1011" s="11"/>
      <c r="U1011" s="5"/>
      <c r="V1011" s="5"/>
      <c r="W1011" s="11"/>
      <c r="X1011" s="5"/>
      <c r="Y1011" s="5"/>
      <c r="Z1011" s="5"/>
      <c r="AA1011" s="5"/>
      <c r="AB1011" s="5"/>
    </row>
    <row r="1012" customFormat="false" ht="15.75" hidden="false" customHeight="false" outlineLevel="0" collapsed="false">
      <c r="A1012" s="5" t="s">
        <v>2284</v>
      </c>
      <c r="B1012" s="5" t="s">
        <v>2284</v>
      </c>
      <c r="C1012" s="5" t="s">
        <v>2297</v>
      </c>
      <c r="D1012" s="5"/>
      <c r="E1012" s="5"/>
      <c r="F1012" s="5"/>
      <c r="G1012" s="9" t="s">
        <v>2298</v>
      </c>
      <c r="H1012" s="5" t="n">
        <f aca="false">(COUNTIF(J1012:EC1012,"=0")+COUNTIF(J1012:EC1012,"=1"))</f>
        <v>7</v>
      </c>
      <c r="I1012" s="12" t="n">
        <f aca="false">IFERROR(ROUND(10-AVERAGE(J1012:EC1012)*10,0),0)</f>
        <v>7</v>
      </c>
      <c r="J1012" s="11" t="n">
        <v>0</v>
      </c>
      <c r="K1012" s="11" t="n">
        <v>0</v>
      </c>
      <c r="L1012" s="5"/>
      <c r="M1012" s="5"/>
      <c r="N1012" s="5"/>
      <c r="O1012" s="5"/>
      <c r="P1012" s="11" t="n">
        <v>0</v>
      </c>
      <c r="Q1012" s="5" t="n">
        <v>0</v>
      </c>
      <c r="R1012" s="5"/>
      <c r="S1012" s="5" t="n">
        <v>1</v>
      </c>
      <c r="T1012" s="11" t="n">
        <v>0</v>
      </c>
      <c r="U1012" s="5"/>
      <c r="V1012" s="5"/>
      <c r="W1012" s="11" t="n">
        <v>1</v>
      </c>
      <c r="X1012" s="5"/>
      <c r="Y1012" s="5"/>
      <c r="Z1012" s="5"/>
      <c r="AA1012" s="5"/>
      <c r="AB1012" s="5"/>
    </row>
    <row r="1013" customFormat="false" ht="15.75" hidden="false" customHeight="false" outlineLevel="0" collapsed="false">
      <c r="A1013" s="5" t="s">
        <v>2284</v>
      </c>
      <c r="B1013" s="5" t="s">
        <v>2284</v>
      </c>
      <c r="C1013" s="5" t="s">
        <v>2299</v>
      </c>
      <c r="D1013" s="5"/>
      <c r="E1013" s="5"/>
      <c r="F1013" s="5"/>
      <c r="G1013" s="9" t="s">
        <v>2300</v>
      </c>
      <c r="H1013" s="5" t="n">
        <f aca="false">(COUNTIF(J1013:EC1013,"=0")+COUNTIF(J1013:EC1013,"=1"))</f>
        <v>6</v>
      </c>
      <c r="I1013" s="12" t="n">
        <f aca="false">IFERROR(ROUND(10-AVERAGE(J1013:EC1013)*10,0),0)</f>
        <v>7</v>
      </c>
      <c r="J1013" s="11" t="n">
        <v>0</v>
      </c>
      <c r="K1013" s="11" t="n">
        <v>0</v>
      </c>
      <c r="L1013" s="5"/>
      <c r="M1013" s="5"/>
      <c r="N1013" s="5"/>
      <c r="O1013" s="5"/>
      <c r="P1013" s="11" t="n">
        <v>0</v>
      </c>
      <c r="Q1013" s="5"/>
      <c r="R1013" s="5"/>
      <c r="S1013" s="5" t="n">
        <v>1</v>
      </c>
      <c r="T1013" s="11" t="n">
        <v>0</v>
      </c>
      <c r="U1013" s="5"/>
      <c r="V1013" s="5"/>
      <c r="W1013" s="11" t="n">
        <v>1</v>
      </c>
      <c r="X1013" s="5"/>
      <c r="Y1013" s="5"/>
      <c r="Z1013" s="5"/>
      <c r="AA1013" s="5"/>
      <c r="AB1013" s="5"/>
    </row>
    <row r="1014" customFormat="false" ht="15.75" hidden="false" customHeight="false" outlineLevel="0" collapsed="false">
      <c r="A1014" s="5" t="s">
        <v>2284</v>
      </c>
      <c r="B1014" s="5" t="s">
        <v>2284</v>
      </c>
      <c r="C1014" s="5" t="s">
        <v>2301</v>
      </c>
      <c r="D1014" s="5"/>
      <c r="E1014" s="5"/>
      <c r="F1014" s="5"/>
      <c r="G1014" s="9" t="s">
        <v>2302</v>
      </c>
      <c r="H1014" s="5" t="n">
        <f aca="false">(COUNTIF(J1014:EC1014,"=0")+COUNTIF(J1014:EC1014,"=1"))</f>
        <v>3</v>
      </c>
      <c r="I1014" s="12" t="n">
        <f aca="false">IFERROR(ROUND(10-AVERAGE(J1014:EC1014)*10,0),0)</f>
        <v>0</v>
      </c>
      <c r="J1014" s="11"/>
      <c r="K1014" s="11"/>
      <c r="L1014" s="5"/>
      <c r="M1014" s="5"/>
      <c r="N1014" s="5"/>
      <c r="O1014" s="5"/>
      <c r="P1014" s="11" t="n">
        <v>1</v>
      </c>
      <c r="Q1014" s="5"/>
      <c r="R1014" s="5"/>
      <c r="S1014" s="5" t="n">
        <v>1</v>
      </c>
      <c r="T1014" s="5"/>
      <c r="U1014" s="5"/>
      <c r="V1014" s="5"/>
      <c r="W1014" s="11" t="n">
        <v>1</v>
      </c>
      <c r="X1014" s="5"/>
      <c r="Y1014" s="5"/>
      <c r="Z1014" s="11"/>
      <c r="AA1014" s="5"/>
      <c r="AB1014" s="5"/>
    </row>
    <row r="1015" customFormat="false" ht="15.75" hidden="false" customHeight="false" outlineLevel="0" collapsed="false">
      <c r="A1015" s="5" t="s">
        <v>2284</v>
      </c>
      <c r="B1015" s="5" t="s">
        <v>2284</v>
      </c>
      <c r="C1015" s="5" t="s">
        <v>2303</v>
      </c>
      <c r="D1015" s="5"/>
      <c r="E1015" s="5"/>
      <c r="F1015" s="5"/>
      <c r="G1015" s="9" t="s">
        <v>2304</v>
      </c>
      <c r="H1015" s="5" t="n">
        <f aca="false">(COUNTIF(J1015:EC1015,"=0")+COUNTIF(J1015:EC1015,"=1"))</f>
        <v>3</v>
      </c>
      <c r="I1015" s="12" t="n">
        <f aca="false">IFERROR(ROUND(10-AVERAGE(J1015:EC1015)*10,0),0)</f>
        <v>0</v>
      </c>
      <c r="J1015" s="11"/>
      <c r="K1015" s="11"/>
      <c r="L1015" s="5"/>
      <c r="M1015" s="5"/>
      <c r="N1015" s="5"/>
      <c r="O1015" s="5"/>
      <c r="P1015" s="11" t="n">
        <v>1</v>
      </c>
      <c r="Q1015" s="5"/>
      <c r="R1015" s="5"/>
      <c r="S1015" s="5" t="n">
        <v>1</v>
      </c>
      <c r="T1015" s="5"/>
      <c r="U1015" s="5"/>
      <c r="V1015" s="5"/>
      <c r="W1015" s="11" t="n">
        <v>1</v>
      </c>
      <c r="X1015" s="5"/>
      <c r="Y1015" s="5"/>
      <c r="Z1015" s="11"/>
      <c r="AA1015" s="5"/>
      <c r="AB1015" s="5"/>
    </row>
    <row r="1016" customFormat="false" ht="15.75" hidden="false" customHeight="false" outlineLevel="0" collapsed="false">
      <c r="A1016" s="5" t="s">
        <v>2284</v>
      </c>
      <c r="B1016" s="5" t="s">
        <v>2284</v>
      </c>
      <c r="C1016" s="5" t="s">
        <v>2305</v>
      </c>
      <c r="D1016" s="5"/>
      <c r="E1016" s="5"/>
      <c r="F1016" s="5"/>
      <c r="G1016" s="9" t="s">
        <v>2306</v>
      </c>
      <c r="H1016" s="5" t="n">
        <f aca="false">(COUNTIF(J1016:EC1016,"=0")+COUNTIF(J1016:EC1016,"=1"))</f>
        <v>6</v>
      </c>
      <c r="I1016" s="12" t="n">
        <f aca="false">IFERROR(ROUND(10-AVERAGE(J1016:EC1016)*10,0),0)</f>
        <v>5</v>
      </c>
      <c r="J1016" s="11" t="n">
        <v>0</v>
      </c>
      <c r="K1016" s="11" t="n">
        <v>0</v>
      </c>
      <c r="L1016" s="5"/>
      <c r="M1016" s="5"/>
      <c r="N1016" s="5"/>
      <c r="O1016" s="5"/>
      <c r="P1016" s="11" t="n">
        <v>1</v>
      </c>
      <c r="Q1016" s="5"/>
      <c r="R1016" s="5"/>
      <c r="S1016" s="5" t="n">
        <v>1</v>
      </c>
      <c r="T1016" s="11" t="n">
        <v>0</v>
      </c>
      <c r="U1016" s="5"/>
      <c r="V1016" s="5"/>
      <c r="W1016" s="11" t="n">
        <v>1</v>
      </c>
      <c r="X1016" s="5"/>
      <c r="Y1016" s="5"/>
      <c r="Z1016" s="5"/>
      <c r="AA1016" s="5"/>
      <c r="AB1016" s="5"/>
    </row>
    <row r="1017" customFormat="false" ht="15.75" hidden="false" customHeight="false" outlineLevel="0" collapsed="false">
      <c r="A1017" s="5" t="s">
        <v>2284</v>
      </c>
      <c r="B1017" s="5" t="s">
        <v>2284</v>
      </c>
      <c r="C1017" s="5" t="s">
        <v>2307</v>
      </c>
      <c r="D1017" s="5"/>
      <c r="E1017" s="5"/>
      <c r="F1017" s="5"/>
      <c r="G1017" s="9" t="s">
        <v>2308</v>
      </c>
      <c r="H1017" s="5" t="n">
        <f aca="false">(COUNTIF(J1017:EC1017,"=0")+COUNTIF(J1017:EC1017,"=1"))</f>
        <v>6</v>
      </c>
      <c r="I1017" s="12" t="n">
        <f aca="false">IFERROR(ROUND(10-AVERAGE(J1017:EC1017)*10,0),0)</f>
        <v>5</v>
      </c>
      <c r="J1017" s="11" t="n">
        <v>0</v>
      </c>
      <c r="K1017" s="11" t="n">
        <v>0</v>
      </c>
      <c r="L1017" s="5"/>
      <c r="M1017" s="5"/>
      <c r="N1017" s="5"/>
      <c r="O1017" s="5"/>
      <c r="P1017" s="11" t="n">
        <v>1</v>
      </c>
      <c r="Q1017" s="5"/>
      <c r="R1017" s="5"/>
      <c r="S1017" s="5" t="n">
        <v>1</v>
      </c>
      <c r="T1017" s="5"/>
      <c r="U1017" s="5"/>
      <c r="V1017" s="5"/>
      <c r="W1017" s="11" t="n">
        <v>1</v>
      </c>
      <c r="X1017" s="5"/>
      <c r="Y1017" s="5"/>
      <c r="Z1017" s="11" t="n">
        <v>0</v>
      </c>
      <c r="AA1017" s="5"/>
      <c r="AB1017" s="5"/>
    </row>
    <row r="1018" customFormat="false" ht="15.75" hidden="false" customHeight="false" outlineLevel="0" collapsed="false">
      <c r="A1018" s="5" t="s">
        <v>2284</v>
      </c>
      <c r="B1018" s="5" t="s">
        <v>2284</v>
      </c>
      <c r="C1018" s="5" t="s">
        <v>2309</v>
      </c>
      <c r="D1018" s="5"/>
      <c r="E1018" s="5"/>
      <c r="F1018" s="5"/>
      <c r="G1018" s="9" t="s">
        <v>2310</v>
      </c>
      <c r="H1018" s="5" t="n">
        <f aca="false">(COUNTIF(J1018:EC1018,"=0")+COUNTIF(J1018:EC1018,"=1"))</f>
        <v>3</v>
      </c>
      <c r="I1018" s="12" t="n">
        <f aca="false">IFERROR(ROUND(10-AVERAGE(J1018:EC1018)*10,0),0)</f>
        <v>0</v>
      </c>
      <c r="J1018" s="11"/>
      <c r="K1018" s="11"/>
      <c r="L1018" s="5"/>
      <c r="M1018" s="5"/>
      <c r="N1018" s="5"/>
      <c r="O1018" s="5"/>
      <c r="P1018" s="11" t="n">
        <v>1</v>
      </c>
      <c r="Q1018" s="5"/>
      <c r="R1018" s="5"/>
      <c r="S1018" s="5" t="n">
        <v>1</v>
      </c>
      <c r="T1018" s="5"/>
      <c r="U1018" s="5"/>
      <c r="V1018" s="5"/>
      <c r="W1018" s="11" t="n">
        <v>1</v>
      </c>
      <c r="X1018" s="5"/>
      <c r="Y1018" s="5"/>
      <c r="Z1018" s="11"/>
      <c r="AA1018" s="5"/>
      <c r="AB1018" s="5"/>
    </row>
    <row r="1019" customFormat="false" ht="15.75" hidden="false" customHeight="false" outlineLevel="0" collapsed="false">
      <c r="A1019" s="5" t="s">
        <v>2311</v>
      </c>
      <c r="B1019" s="5" t="s">
        <v>2312</v>
      </c>
      <c r="C1019" s="5" t="s">
        <v>2313</v>
      </c>
      <c r="D1019" s="5" t="s">
        <v>2314</v>
      </c>
      <c r="E1019" s="5"/>
      <c r="F1019" s="5"/>
      <c r="G1019" s="9" t="s">
        <v>2315</v>
      </c>
      <c r="H1019" s="5" t="n">
        <f aca="false">(COUNTIF(J1019:EC1019,"=0")+COUNTIF(J1019:EC1019,"=1"))</f>
        <v>6</v>
      </c>
      <c r="I1019" s="19" t="n">
        <f aca="false">IFERROR(ROUND(10-AVERAGE(J1019:EC1019)*10,0),0)</f>
        <v>5</v>
      </c>
      <c r="J1019" s="11" t="n">
        <v>1</v>
      </c>
      <c r="K1019" s="11" t="n">
        <v>0</v>
      </c>
      <c r="L1019" s="5"/>
      <c r="M1019" s="5"/>
      <c r="N1019" s="5"/>
      <c r="O1019" s="11" t="n">
        <v>1</v>
      </c>
      <c r="P1019" s="11" t="n">
        <v>1</v>
      </c>
      <c r="Q1019" s="11" t="n">
        <v>0</v>
      </c>
      <c r="R1019" s="5"/>
      <c r="S1019" s="5"/>
      <c r="T1019" s="11" t="n">
        <v>0</v>
      </c>
      <c r="U1019" s="5"/>
      <c r="V1019" s="5"/>
      <c r="W1019" s="5"/>
      <c r="X1019" s="5"/>
      <c r="Y1019" s="5"/>
      <c r="Z1019" s="5"/>
      <c r="AA1019" s="5"/>
      <c r="AB1019" s="5"/>
    </row>
    <row r="1020" customFormat="false" ht="15.75" hidden="false" customHeight="false" outlineLevel="0" collapsed="false">
      <c r="A1020" s="5" t="s">
        <v>2311</v>
      </c>
      <c r="B1020" s="5" t="s">
        <v>2312</v>
      </c>
      <c r="C1020" s="5" t="s">
        <v>2316</v>
      </c>
      <c r="D1020" s="5"/>
      <c r="E1020" s="5"/>
      <c r="F1020" s="5"/>
      <c r="G1020" s="9" t="s">
        <v>2317</v>
      </c>
      <c r="H1020" s="5" t="n">
        <f aca="false">(COUNTIF(J1020:EC1020,"=0")+COUNTIF(J1020:EC1020,"=1"))</f>
        <v>6</v>
      </c>
      <c r="I1020" s="12" t="n">
        <f aca="false">IFERROR(ROUND(10-AVERAGE(J1020:EC1020)*10,0),0)</f>
        <v>8</v>
      </c>
      <c r="J1020" s="11" t="n">
        <v>0</v>
      </c>
      <c r="K1020" s="11" t="n">
        <v>0</v>
      </c>
      <c r="L1020" s="5"/>
      <c r="M1020" s="5"/>
      <c r="N1020" s="5"/>
      <c r="O1020" s="11" t="n">
        <v>0</v>
      </c>
      <c r="P1020" s="11" t="n">
        <v>1</v>
      </c>
      <c r="Q1020" s="11" t="n">
        <v>0</v>
      </c>
      <c r="R1020" s="5"/>
      <c r="S1020" s="5"/>
      <c r="T1020" s="11" t="n">
        <v>0</v>
      </c>
      <c r="U1020" s="5"/>
      <c r="V1020" s="5"/>
      <c r="W1020" s="5"/>
      <c r="X1020" s="5"/>
      <c r="Y1020" s="5"/>
      <c r="Z1020" s="5"/>
      <c r="AA1020" s="5"/>
      <c r="AB1020" s="5"/>
    </row>
    <row r="1021" customFormat="false" ht="15.75" hidden="false" customHeight="false" outlineLevel="0" collapsed="false">
      <c r="A1021" s="5" t="s">
        <v>2311</v>
      </c>
      <c r="B1021" s="5" t="s">
        <v>2318</v>
      </c>
      <c r="C1021" s="5" t="s">
        <v>87</v>
      </c>
      <c r="D1021" s="5"/>
      <c r="E1021" s="5"/>
      <c r="F1021" s="5"/>
      <c r="G1021" s="9" t="s">
        <v>2319</v>
      </c>
      <c r="H1021" s="5" t="n">
        <f aca="false">(COUNTIF(J1021:EC1021,"=0")+COUNTIF(J1021:EC1021,"=1"))</f>
        <v>6</v>
      </c>
      <c r="I1021" s="16" t="n">
        <f aca="false">IFERROR(ROUND(10-AVERAGE(J1021:EC1021)*10,0),0)</f>
        <v>8</v>
      </c>
      <c r="J1021" s="5" t="n">
        <v>0</v>
      </c>
      <c r="K1021" s="11" t="n">
        <v>0</v>
      </c>
      <c r="L1021" s="5"/>
      <c r="M1021" s="5"/>
      <c r="N1021" s="5"/>
      <c r="O1021" s="5"/>
      <c r="P1021" s="11" t="n">
        <v>1</v>
      </c>
      <c r="Q1021" s="5" t="n">
        <v>0</v>
      </c>
      <c r="R1021" s="5"/>
      <c r="S1021" s="5"/>
      <c r="T1021" s="5"/>
      <c r="U1021" s="5"/>
      <c r="V1021" s="5"/>
      <c r="W1021" s="5" t="n">
        <v>0</v>
      </c>
      <c r="X1021" s="5"/>
      <c r="Y1021" s="5"/>
      <c r="Z1021" s="11" t="n">
        <v>0</v>
      </c>
      <c r="AA1021" s="5"/>
      <c r="AB1021" s="5"/>
    </row>
    <row r="1022" customFormat="false" ht="15.75" hidden="false" customHeight="false" outlineLevel="0" collapsed="false">
      <c r="A1022" s="5" t="s">
        <v>2311</v>
      </c>
      <c r="B1022" s="5" t="s">
        <v>2320</v>
      </c>
      <c r="C1022" s="5" t="s">
        <v>2321</v>
      </c>
      <c r="D1022" s="5"/>
      <c r="E1022" s="5"/>
      <c r="F1022" s="5"/>
      <c r="G1022" s="9" t="s">
        <v>2322</v>
      </c>
      <c r="H1022" s="5" t="n">
        <f aca="false">(COUNTIF(J1022:EC1022,"=0")+COUNTIF(J1022:EC1022,"=1"))</f>
        <v>6</v>
      </c>
      <c r="I1022" s="12" t="n">
        <f aca="false">IFERROR(ROUND(10-AVERAGE(J1022:EC1022)*10,0),0)</f>
        <v>8</v>
      </c>
      <c r="J1022" s="11" t="n">
        <v>0</v>
      </c>
      <c r="K1022" s="11" t="n">
        <v>0</v>
      </c>
      <c r="L1022" s="5"/>
      <c r="M1022" s="5"/>
      <c r="N1022" s="5"/>
      <c r="O1022" s="5"/>
      <c r="P1022" s="11" t="n">
        <v>0</v>
      </c>
      <c r="Q1022" s="5"/>
      <c r="R1022" s="5"/>
      <c r="S1022" s="5"/>
      <c r="T1022" s="11" t="n">
        <v>0</v>
      </c>
      <c r="U1022" s="5"/>
      <c r="V1022" s="5"/>
      <c r="W1022" s="5" t="n">
        <v>0</v>
      </c>
      <c r="X1022" s="11" t="n">
        <v>1</v>
      </c>
      <c r="Y1022" s="5"/>
      <c r="Z1022" s="5"/>
      <c r="AA1022" s="5"/>
      <c r="AB1022" s="5"/>
    </row>
    <row r="1023" customFormat="false" ht="15.75" hidden="false" customHeight="false" outlineLevel="0" collapsed="false">
      <c r="A1023" s="5" t="s">
        <v>2323</v>
      </c>
      <c r="B1023" s="5" t="s">
        <v>2323</v>
      </c>
      <c r="C1023" s="5" t="s">
        <v>2324</v>
      </c>
      <c r="D1023" s="5"/>
      <c r="E1023" s="5"/>
      <c r="F1023" s="5"/>
      <c r="G1023" s="9" t="s">
        <v>2325</v>
      </c>
      <c r="H1023" s="5" t="n">
        <f aca="false">(COUNTIF(J1023:EC1023,"=0")+COUNTIF(J1023:EC1023,"=1"))</f>
        <v>10</v>
      </c>
      <c r="I1023" s="16" t="n">
        <f aca="false">IFERROR(ROUND(10-AVERAGE(J1023:EC1023)*10,0),0)</f>
        <v>7</v>
      </c>
      <c r="J1023" s="11" t="n">
        <v>0</v>
      </c>
      <c r="K1023" s="11" t="n">
        <v>0</v>
      </c>
      <c r="L1023" s="11" t="n">
        <v>0</v>
      </c>
      <c r="M1023" s="5"/>
      <c r="N1023" s="5"/>
      <c r="O1023" s="11" t="n">
        <v>1</v>
      </c>
      <c r="P1023" s="11" t="n">
        <v>1</v>
      </c>
      <c r="Q1023" s="11" t="n">
        <v>0</v>
      </c>
      <c r="R1023" s="5"/>
      <c r="S1023" s="11" t="n">
        <v>0</v>
      </c>
      <c r="T1023" s="11" t="n">
        <v>0</v>
      </c>
      <c r="U1023" s="5"/>
      <c r="V1023" s="11" t="n">
        <v>1</v>
      </c>
      <c r="W1023" s="5"/>
      <c r="X1023" s="5"/>
      <c r="Y1023" s="5"/>
      <c r="Z1023" s="5"/>
      <c r="AA1023" s="5"/>
      <c r="AB1023" s="5"/>
      <c r="AF1023" s="5" t="n">
        <v>0</v>
      </c>
    </row>
    <row r="1024" customFormat="false" ht="15.75" hidden="false" customHeight="false" outlineLevel="0" collapsed="false">
      <c r="A1024" s="5" t="s">
        <v>2323</v>
      </c>
      <c r="B1024" s="5" t="s">
        <v>2323</v>
      </c>
      <c r="C1024" s="5" t="s">
        <v>2326</v>
      </c>
      <c r="D1024" s="5"/>
      <c r="E1024" s="5"/>
      <c r="F1024" s="5"/>
      <c r="G1024" s="5"/>
      <c r="H1024" s="5" t="n">
        <f aca="false">(COUNTIF(J1024:EC1024,"=0")+COUNTIF(J1024:EC1024,"=1"))</f>
        <v>8</v>
      </c>
      <c r="I1024" s="12" t="n">
        <f aca="false">IFERROR(ROUND(10-AVERAGE(J1024:EC1024)*10,0),0)</f>
        <v>8</v>
      </c>
      <c r="J1024" s="11" t="n">
        <v>0</v>
      </c>
      <c r="K1024" s="11" t="n">
        <v>0</v>
      </c>
      <c r="L1024" s="5"/>
      <c r="M1024" s="5"/>
      <c r="N1024" s="5"/>
      <c r="O1024" s="11" t="n">
        <v>1</v>
      </c>
      <c r="P1024" s="11" t="n">
        <v>0</v>
      </c>
      <c r="Q1024" s="11" t="n">
        <v>0</v>
      </c>
      <c r="R1024" s="5"/>
      <c r="S1024" s="11" t="n">
        <v>0</v>
      </c>
      <c r="T1024" s="11" t="n">
        <v>0</v>
      </c>
      <c r="U1024" s="5"/>
      <c r="V1024" s="11" t="n">
        <v>1</v>
      </c>
      <c r="W1024" s="5"/>
      <c r="X1024" s="5"/>
      <c r="Y1024" s="5"/>
      <c r="Z1024" s="5"/>
      <c r="AA1024" s="5"/>
      <c r="AB1024" s="5"/>
    </row>
    <row r="1025" customFormat="false" ht="15.75" hidden="false" customHeight="false" outlineLevel="0" collapsed="false">
      <c r="A1025" s="5" t="s">
        <v>2327</v>
      </c>
      <c r="B1025" s="5" t="s">
        <v>2327</v>
      </c>
      <c r="C1025" s="5" t="s">
        <v>79</v>
      </c>
      <c r="D1025" s="5" t="s">
        <v>2328</v>
      </c>
      <c r="E1025" s="5"/>
      <c r="F1025" s="5"/>
      <c r="G1025" s="5"/>
      <c r="H1025" s="5" t="n">
        <f aca="false">(COUNTIF(J1025:EC1025,"=0")+COUNTIF(J1025:EC1025,"=1"))</f>
        <v>9</v>
      </c>
      <c r="I1025" s="13" t="n">
        <f aca="false">IFERROR(ROUND(10-AVERAGE(J1025:EC1025)*10,0),0)</f>
        <v>2</v>
      </c>
      <c r="J1025" s="11" t="n">
        <v>1</v>
      </c>
      <c r="K1025" s="11" t="n">
        <v>0</v>
      </c>
      <c r="L1025" s="5" t="n">
        <v>1</v>
      </c>
      <c r="M1025" s="5"/>
      <c r="N1025" s="5"/>
      <c r="O1025" s="11" t="n">
        <v>1</v>
      </c>
      <c r="P1025" s="11" t="n">
        <v>1</v>
      </c>
      <c r="Q1025" s="11" t="n">
        <v>1</v>
      </c>
      <c r="R1025" s="5"/>
      <c r="S1025" s="5"/>
      <c r="T1025" s="11" t="n">
        <v>1</v>
      </c>
      <c r="U1025" s="5"/>
      <c r="V1025" s="5"/>
      <c r="W1025" s="5"/>
      <c r="X1025" s="5"/>
      <c r="Y1025" s="5"/>
      <c r="Z1025" s="5"/>
      <c r="AA1025" s="5"/>
      <c r="AB1025" s="5"/>
      <c r="AD1025" s="5" t="n">
        <v>0</v>
      </c>
      <c r="AF1025" s="5" t="n">
        <v>1</v>
      </c>
    </row>
    <row r="1026" customFormat="false" ht="15.75" hidden="false" customHeight="false" outlineLevel="0" collapsed="false">
      <c r="A1026" s="5" t="s">
        <v>2329</v>
      </c>
      <c r="B1026" s="5" t="s">
        <v>2329</v>
      </c>
      <c r="C1026" s="5" t="s">
        <v>2330</v>
      </c>
      <c r="D1026" s="5"/>
      <c r="E1026" s="14" t="s">
        <v>2331</v>
      </c>
      <c r="F1026" s="5"/>
      <c r="G1026" s="14" t="s">
        <v>2332</v>
      </c>
      <c r="H1026" s="5" t="n">
        <f aca="false">(COUNTIF(J1026:EC1026,"=0")+COUNTIF(J1026:EC1026,"=1"))</f>
        <v>1</v>
      </c>
      <c r="I1026" s="15" t="n">
        <f aca="false">IFERROR(ROUND(10-AVERAGE(J1026:EC1026)*10,0),0)</f>
        <v>0</v>
      </c>
      <c r="J1026" s="5"/>
      <c r="K1026" s="5"/>
      <c r="L1026" s="5"/>
      <c r="M1026" s="5"/>
      <c r="N1026" s="5"/>
      <c r="O1026" s="5"/>
      <c r="P1026" s="5" t="n">
        <v>1</v>
      </c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customFormat="false" ht="15.75" hidden="false" customHeight="false" outlineLevel="0" collapsed="false">
      <c r="A1027" s="5" t="s">
        <v>2333</v>
      </c>
      <c r="B1027" s="5" t="s">
        <v>2333</v>
      </c>
      <c r="C1027" s="5" t="s">
        <v>2334</v>
      </c>
      <c r="D1027" s="5"/>
      <c r="E1027" s="5"/>
      <c r="F1027" s="5"/>
      <c r="G1027" s="9" t="s">
        <v>2335</v>
      </c>
      <c r="H1027" s="5" t="n">
        <f aca="false">(COUNTIF(J1027:EC1027,"=0")+COUNTIF(J1027:EC1027,"=1"))</f>
        <v>6</v>
      </c>
      <c r="I1027" s="12" t="n">
        <f aca="false">IFERROR(ROUND(10-AVERAGE(J1027:EC1027)*10,0),0)</f>
        <v>8</v>
      </c>
      <c r="J1027" s="11" t="n">
        <v>0</v>
      </c>
      <c r="K1027" s="11" t="n">
        <v>0</v>
      </c>
      <c r="L1027" s="5"/>
      <c r="M1027" s="5"/>
      <c r="N1027" s="5"/>
      <c r="O1027" s="5"/>
      <c r="P1027" s="11" t="n">
        <v>1</v>
      </c>
      <c r="Q1027" s="11" t="n">
        <v>0</v>
      </c>
      <c r="R1027" s="5"/>
      <c r="S1027" s="5"/>
      <c r="T1027" s="11" t="n">
        <v>0</v>
      </c>
      <c r="U1027" s="5"/>
      <c r="V1027" s="5"/>
      <c r="W1027" s="5" t="n">
        <v>0</v>
      </c>
      <c r="X1027" s="5"/>
      <c r="Y1027" s="5"/>
      <c r="Z1027" s="5"/>
      <c r="AA1027" s="5"/>
      <c r="AB1027" s="5"/>
    </row>
    <row r="1028" customFormat="false" ht="15.75" hidden="false" customHeight="false" outlineLevel="0" collapsed="false">
      <c r="A1028" s="5" t="s">
        <v>2336</v>
      </c>
      <c r="B1028" s="5" t="s">
        <v>2336</v>
      </c>
      <c r="C1028" s="5" t="s">
        <v>2337</v>
      </c>
      <c r="D1028" s="5"/>
      <c r="E1028" s="5"/>
      <c r="F1028" s="5"/>
      <c r="G1028" s="5"/>
      <c r="H1028" s="5" t="n">
        <f aca="false">(COUNTIF(J1028:EC1028,"=0")+COUNTIF(J1028:EC1028,"=1"))</f>
        <v>6</v>
      </c>
      <c r="I1028" s="12" t="n">
        <f aca="false">IFERROR(ROUND(10-AVERAGE(J1028:EC1028)*10,0),0)</f>
        <v>8</v>
      </c>
      <c r="J1028" s="5" t="n">
        <v>0</v>
      </c>
      <c r="K1028" s="11" t="n">
        <v>0</v>
      </c>
      <c r="L1028" s="5"/>
      <c r="M1028" s="5"/>
      <c r="N1028" s="5"/>
      <c r="O1028" s="5"/>
      <c r="P1028" s="11" t="n">
        <v>0</v>
      </c>
      <c r="Q1028" s="5" t="n">
        <v>0</v>
      </c>
      <c r="R1028" s="5"/>
      <c r="S1028" s="5"/>
      <c r="T1028" s="5"/>
      <c r="U1028" s="5"/>
      <c r="V1028" s="5"/>
      <c r="W1028" s="5"/>
      <c r="X1028" s="5"/>
      <c r="Y1028" s="5"/>
      <c r="Z1028" s="11" t="n">
        <v>1</v>
      </c>
      <c r="AA1028" s="11" t="n">
        <v>0</v>
      </c>
      <c r="AB1028" s="5"/>
    </row>
    <row r="1029" customFormat="false" ht="15.75" hidden="false" customHeight="false" outlineLevel="0" collapsed="false">
      <c r="A1029" s="5" t="s">
        <v>2338</v>
      </c>
      <c r="B1029" s="5" t="s">
        <v>2339</v>
      </c>
      <c r="C1029" s="5" t="s">
        <v>2340</v>
      </c>
      <c r="D1029" s="5"/>
      <c r="E1029" s="5"/>
      <c r="F1029" s="5"/>
      <c r="G1029" s="14" t="s">
        <v>2341</v>
      </c>
      <c r="H1029" s="5" t="n">
        <f aca="false">(COUNTIF(J1029:EC1029,"=0")+COUNTIF(J1029:EC1029,"=1"))</f>
        <v>6</v>
      </c>
      <c r="I1029" s="10" t="n">
        <f aca="false">IFERROR(ROUND(10-AVERAGE(J1029:EC1029)*10,0),0)</f>
        <v>10</v>
      </c>
      <c r="J1029" s="5" t="n">
        <v>0</v>
      </c>
      <c r="K1029" s="11" t="n">
        <v>0</v>
      </c>
      <c r="L1029" s="5"/>
      <c r="M1029" s="5"/>
      <c r="N1029" s="5"/>
      <c r="O1029" s="5"/>
      <c r="P1029" s="11" t="n">
        <v>0</v>
      </c>
      <c r="Q1029" s="5"/>
      <c r="R1029" s="5"/>
      <c r="S1029" s="5"/>
      <c r="T1029" s="5"/>
      <c r="U1029" s="5"/>
      <c r="V1029" s="5"/>
      <c r="W1029" s="5" t="n">
        <v>0</v>
      </c>
      <c r="X1029" s="5"/>
      <c r="Y1029" s="5"/>
      <c r="Z1029" s="11" t="n">
        <v>0</v>
      </c>
      <c r="AA1029" s="11" t="n">
        <v>0</v>
      </c>
      <c r="AB1029" s="5"/>
    </row>
    <row r="1030" customFormat="false" ht="15.75" hidden="false" customHeight="false" outlineLevel="0" collapsed="false">
      <c r="A1030" s="5" t="s">
        <v>2342</v>
      </c>
      <c r="B1030" s="5" t="s">
        <v>2343</v>
      </c>
      <c r="C1030" s="5" t="s">
        <v>2344</v>
      </c>
      <c r="D1030" s="5"/>
      <c r="E1030" s="5"/>
      <c r="F1030" s="5"/>
      <c r="G1030" s="9" t="s">
        <v>2345</v>
      </c>
      <c r="H1030" s="5" t="n">
        <f aca="false">(COUNTIF(J1030:EC1030,"=0")+COUNTIF(J1030:EC1030,"=1"))</f>
        <v>5</v>
      </c>
      <c r="I1030" s="21" t="n">
        <f aca="false">IFERROR(ROUND(10-AVERAGE(J1030:EC1030)*10,0),0)</f>
        <v>4</v>
      </c>
      <c r="J1030" s="5" t="n">
        <v>1</v>
      </c>
      <c r="K1030" s="11" t="n">
        <v>0</v>
      </c>
      <c r="L1030" s="5"/>
      <c r="M1030" s="5"/>
      <c r="N1030" s="5"/>
      <c r="O1030" s="5"/>
      <c r="P1030" s="11" t="n">
        <v>1</v>
      </c>
      <c r="Q1030" s="5"/>
      <c r="R1030" s="5"/>
      <c r="S1030" s="5"/>
      <c r="T1030" s="5"/>
      <c r="U1030" s="5"/>
      <c r="V1030" s="5"/>
      <c r="W1030" s="5"/>
      <c r="X1030" s="5"/>
      <c r="Y1030" s="5"/>
      <c r="Z1030" s="11" t="n">
        <v>1</v>
      </c>
      <c r="AA1030" s="5"/>
      <c r="AB1030" s="5"/>
      <c r="AC1030" s="5" t="n">
        <v>0</v>
      </c>
    </row>
    <row r="1031" customFormat="false" ht="15.75" hidden="false" customHeight="false" outlineLevel="0" collapsed="false">
      <c r="A1031" s="5" t="s">
        <v>2342</v>
      </c>
      <c r="B1031" s="5" t="s">
        <v>2343</v>
      </c>
      <c r="C1031" s="5" t="s">
        <v>2346</v>
      </c>
      <c r="D1031" s="5"/>
      <c r="E1031" s="5"/>
      <c r="F1031" s="5"/>
      <c r="G1031" s="5"/>
      <c r="H1031" s="5" t="n">
        <f aca="false">(COUNTIF(J1031:EC1031,"=0")+COUNTIF(J1031:EC1031,"=1"))</f>
        <v>4</v>
      </c>
      <c r="I1031" s="10" t="n">
        <f aca="false">IFERROR(ROUND(10-AVERAGE(J1031:EC1031)*10,0),0)</f>
        <v>0</v>
      </c>
      <c r="J1031" s="5" t="n">
        <v>1</v>
      </c>
      <c r="K1031" s="5" t="n">
        <v>1</v>
      </c>
      <c r="L1031" s="5"/>
      <c r="M1031" s="5"/>
      <c r="N1031" s="5"/>
      <c r="O1031" s="5"/>
      <c r="P1031" s="11" t="n">
        <v>1</v>
      </c>
      <c r="Q1031" s="5" t="n">
        <v>1</v>
      </c>
      <c r="R1031" s="5"/>
      <c r="S1031" s="5"/>
      <c r="T1031" s="5"/>
      <c r="U1031" s="5"/>
      <c r="V1031" s="5"/>
      <c r="W1031" s="5"/>
      <c r="X1031" s="5"/>
      <c r="Y1031" s="5"/>
      <c r="Z1031" s="11"/>
      <c r="AA1031" s="5"/>
      <c r="AB1031" s="5"/>
    </row>
    <row r="1032" customFormat="false" ht="15.75" hidden="false" customHeight="false" outlineLevel="0" collapsed="false">
      <c r="A1032" s="5" t="s">
        <v>2342</v>
      </c>
      <c r="B1032" s="5" t="s">
        <v>2347</v>
      </c>
      <c r="C1032" s="5" t="s">
        <v>2348</v>
      </c>
      <c r="D1032" s="5"/>
      <c r="E1032" s="5"/>
      <c r="F1032" s="5"/>
      <c r="G1032" s="5"/>
      <c r="H1032" s="5" t="n">
        <f aca="false">(COUNTIF(J1032:EC1032,"=0")+COUNTIF(J1032:EC1032,"=1"))</f>
        <v>9</v>
      </c>
      <c r="I1032" s="21" t="n">
        <f aca="false">IFERROR(ROUND(10-AVERAGE(J1032:EC1032)*10,0),0)</f>
        <v>3</v>
      </c>
      <c r="J1032" s="11" t="n">
        <v>1</v>
      </c>
      <c r="K1032" s="11" t="n">
        <v>1</v>
      </c>
      <c r="L1032" s="5"/>
      <c r="M1032" s="5"/>
      <c r="N1032" s="5"/>
      <c r="O1032" s="11" t="n">
        <v>1</v>
      </c>
      <c r="P1032" s="11" t="n">
        <v>1</v>
      </c>
      <c r="Q1032" s="5" t="n">
        <v>1</v>
      </c>
      <c r="R1032" s="5"/>
      <c r="S1032" s="11" t="n">
        <v>0</v>
      </c>
      <c r="T1032" s="11" t="n">
        <v>0</v>
      </c>
      <c r="U1032" s="5"/>
      <c r="V1032" s="5"/>
      <c r="W1032" s="5"/>
      <c r="X1032" s="5"/>
      <c r="Y1032" s="5"/>
      <c r="Z1032" s="5"/>
      <c r="AA1032" s="11" t="n">
        <v>1</v>
      </c>
      <c r="AB1032" s="5"/>
      <c r="AF1032" s="5" t="n">
        <v>0</v>
      </c>
    </row>
    <row r="1033" customFormat="false" ht="15.75" hidden="false" customHeight="false" outlineLevel="0" collapsed="false">
      <c r="A1033" s="5" t="s">
        <v>2342</v>
      </c>
      <c r="B1033" s="5" t="s">
        <v>2349</v>
      </c>
      <c r="C1033" s="5" t="s">
        <v>478</v>
      </c>
      <c r="D1033" s="5"/>
      <c r="E1033" s="5"/>
      <c r="F1033" s="5"/>
      <c r="G1033" s="5"/>
      <c r="H1033" s="5" t="n">
        <f aca="false">(COUNTIF(J1033:EC1033,"=0")+COUNTIF(J1033:EC1033,"=1"))</f>
        <v>10</v>
      </c>
      <c r="I1033" s="21" t="n">
        <f aca="false">IFERROR(ROUND(10-AVERAGE(J1033:EC1033)*10,0),0)</f>
        <v>4</v>
      </c>
      <c r="J1033" s="11" t="n">
        <v>1</v>
      </c>
      <c r="K1033" s="11" t="n">
        <v>1</v>
      </c>
      <c r="L1033" s="5"/>
      <c r="M1033" s="5"/>
      <c r="N1033" s="5"/>
      <c r="O1033" s="11" t="n">
        <v>1</v>
      </c>
      <c r="P1033" s="11" t="n">
        <v>1</v>
      </c>
      <c r="Q1033" s="5" t="n">
        <v>1</v>
      </c>
      <c r="R1033" s="5"/>
      <c r="S1033" s="11" t="n">
        <v>0</v>
      </c>
      <c r="T1033" s="11" t="n">
        <v>1</v>
      </c>
      <c r="U1033" s="5"/>
      <c r="V1033" s="5"/>
      <c r="W1033" s="5"/>
      <c r="X1033" s="5"/>
      <c r="Y1033" s="5"/>
      <c r="Z1033" s="5"/>
      <c r="AA1033" s="11" t="n">
        <v>0</v>
      </c>
      <c r="AB1033" s="5"/>
      <c r="AE1033" s="5" t="n">
        <v>0</v>
      </c>
      <c r="AF1033" s="5" t="n">
        <v>0</v>
      </c>
    </row>
    <row r="1034" customFormat="false" ht="15.75" hidden="false" customHeight="false" outlineLevel="0" collapsed="false">
      <c r="A1034" s="5" t="s">
        <v>2342</v>
      </c>
      <c r="B1034" s="5" t="s">
        <v>2350</v>
      </c>
      <c r="C1034" s="5" t="s">
        <v>1478</v>
      </c>
      <c r="D1034" s="5"/>
      <c r="E1034" s="5"/>
      <c r="F1034" s="5"/>
      <c r="G1034" s="5"/>
      <c r="H1034" s="5" t="n">
        <f aca="false">(COUNTIF(J1034:EC1034,"=0")+COUNTIF(J1034:EC1034,"=1"))</f>
        <v>2</v>
      </c>
      <c r="I1034" s="21" t="n">
        <f aca="false">IFERROR(ROUND(10-AVERAGE(J1034:EC1034)*10,0),0)</f>
        <v>0</v>
      </c>
      <c r="J1034" s="11"/>
      <c r="K1034" s="11"/>
      <c r="L1034" s="5" t="n">
        <v>1</v>
      </c>
      <c r="M1034" s="5"/>
      <c r="N1034" s="5"/>
      <c r="O1034" s="11"/>
      <c r="P1034" s="11" t="n">
        <v>1</v>
      </c>
      <c r="Q1034" s="5"/>
      <c r="R1034" s="5"/>
      <c r="S1034" s="11"/>
      <c r="T1034" s="11"/>
      <c r="U1034" s="5"/>
      <c r="V1034" s="5"/>
      <c r="W1034" s="5"/>
      <c r="X1034" s="5"/>
      <c r="Y1034" s="5"/>
      <c r="Z1034" s="5"/>
      <c r="AA1034" s="11"/>
      <c r="AB1034" s="5"/>
      <c r="AE1034" s="5"/>
      <c r="AF1034" s="5"/>
    </row>
    <row r="1035" customFormat="false" ht="15.75" hidden="false" customHeight="false" outlineLevel="0" collapsed="false">
      <c r="A1035" s="5" t="s">
        <v>2342</v>
      </c>
      <c r="B1035" s="5" t="s">
        <v>2351</v>
      </c>
      <c r="C1035" s="5" t="s">
        <v>2352</v>
      </c>
      <c r="D1035" s="5"/>
      <c r="E1035" s="5"/>
      <c r="F1035" s="5"/>
      <c r="G1035" s="5"/>
      <c r="H1035" s="5" t="n">
        <f aca="false">(COUNTIF(J1035:EC1035,"=0")+COUNTIF(J1035:EC1035,"=1"))</f>
        <v>7</v>
      </c>
      <c r="I1035" s="21" t="n">
        <f aca="false">IFERROR(ROUND(10-AVERAGE(J1035:EC1035)*10,0),0)</f>
        <v>4</v>
      </c>
      <c r="J1035" s="11" t="n">
        <v>0</v>
      </c>
      <c r="K1035" s="11" t="n">
        <v>1</v>
      </c>
      <c r="L1035" s="5"/>
      <c r="M1035" s="5"/>
      <c r="N1035" s="5"/>
      <c r="O1035" s="11" t="n">
        <v>1</v>
      </c>
      <c r="P1035" s="11" t="n">
        <v>1</v>
      </c>
      <c r="Q1035" s="5" t="n">
        <v>0</v>
      </c>
      <c r="R1035" s="5"/>
      <c r="S1035" s="11" t="n">
        <v>0</v>
      </c>
      <c r="T1035" s="11" t="n">
        <v>1</v>
      </c>
      <c r="U1035" s="5"/>
      <c r="V1035" s="5"/>
      <c r="W1035" s="5"/>
      <c r="X1035" s="5"/>
      <c r="Y1035" s="5"/>
      <c r="Z1035" s="5"/>
      <c r="AA1035" s="5"/>
      <c r="AB1035" s="5"/>
    </row>
    <row r="1036" customFormat="false" ht="15.75" hidden="false" customHeight="false" outlineLevel="0" collapsed="false">
      <c r="A1036" s="5" t="s">
        <v>2342</v>
      </c>
      <c r="B1036" s="5" t="s">
        <v>2353</v>
      </c>
      <c r="C1036" s="5" t="s">
        <v>2354</v>
      </c>
      <c r="D1036" s="5"/>
      <c r="E1036" s="5"/>
      <c r="F1036" s="5"/>
      <c r="G1036" s="9" t="s">
        <v>2355</v>
      </c>
      <c r="H1036" s="5" t="n">
        <f aca="false">(COUNTIF(J1036:EC1036,"=0")+COUNTIF(J1036:EC1036,"=1"))</f>
        <v>8</v>
      </c>
      <c r="I1036" s="21" t="n">
        <f aca="false">IFERROR(ROUND(10-AVERAGE(J1036:EC1036)*10,0),0)</f>
        <v>3</v>
      </c>
      <c r="J1036" s="11" t="n">
        <v>1</v>
      </c>
      <c r="K1036" s="11" t="n">
        <v>1</v>
      </c>
      <c r="L1036" s="11" t="n">
        <v>1</v>
      </c>
      <c r="M1036" s="5"/>
      <c r="N1036" s="5"/>
      <c r="O1036" s="11" t="n">
        <v>1</v>
      </c>
      <c r="P1036" s="11" t="n">
        <v>1</v>
      </c>
      <c r="Q1036" s="5"/>
      <c r="R1036" s="5"/>
      <c r="S1036" s="11" t="n">
        <v>0</v>
      </c>
      <c r="T1036" s="11" t="n">
        <v>1</v>
      </c>
      <c r="U1036" s="5"/>
      <c r="V1036" s="5"/>
      <c r="W1036" s="5"/>
      <c r="X1036" s="5"/>
      <c r="Y1036" s="5"/>
      <c r="Z1036" s="5"/>
      <c r="AA1036" s="11" t="n">
        <v>0</v>
      </c>
      <c r="AB1036" s="5"/>
    </row>
    <row r="1037" customFormat="false" ht="15.75" hidden="false" customHeight="false" outlineLevel="0" collapsed="false">
      <c r="A1037" s="5" t="s">
        <v>2342</v>
      </c>
      <c r="B1037" s="5" t="s">
        <v>2353</v>
      </c>
      <c r="C1037" s="5" t="s">
        <v>2356</v>
      </c>
      <c r="D1037" s="5"/>
      <c r="E1037" s="5"/>
      <c r="F1037" s="5"/>
      <c r="G1037" s="5"/>
      <c r="H1037" s="5" t="n">
        <f aca="false">(COUNTIF(J1037:EC1037,"=0")+COUNTIF(J1037:EC1037,"=1"))</f>
        <v>8</v>
      </c>
      <c r="I1037" s="20" t="n">
        <f aca="false">IFERROR(ROUND(10-AVERAGE(J1037:EC1037)*10,0),0)</f>
        <v>1</v>
      </c>
      <c r="J1037" s="11" t="n">
        <v>1</v>
      </c>
      <c r="K1037" s="11" t="n">
        <v>1</v>
      </c>
      <c r="L1037" s="11" t="n">
        <v>1</v>
      </c>
      <c r="M1037" s="5"/>
      <c r="N1037" s="5"/>
      <c r="O1037" s="11" t="n">
        <v>1</v>
      </c>
      <c r="P1037" s="11" t="n">
        <v>1</v>
      </c>
      <c r="Q1037" s="5" t="n">
        <v>1</v>
      </c>
      <c r="R1037" s="5"/>
      <c r="S1037" s="11" t="n">
        <v>0</v>
      </c>
      <c r="T1037" s="11" t="n">
        <v>1</v>
      </c>
      <c r="U1037" s="5"/>
      <c r="V1037" s="5"/>
      <c r="W1037" s="5"/>
      <c r="X1037" s="5"/>
      <c r="Y1037" s="5"/>
      <c r="Z1037" s="5"/>
      <c r="AA1037" s="5"/>
      <c r="AB1037" s="5"/>
    </row>
    <row r="1038" customFormat="false" ht="15.75" hidden="false" customHeight="false" outlineLevel="0" collapsed="false">
      <c r="A1038" s="5" t="s">
        <v>2342</v>
      </c>
      <c r="B1038" s="5" t="s">
        <v>2353</v>
      </c>
      <c r="C1038" s="5" t="s">
        <v>79</v>
      </c>
      <c r="D1038" s="5"/>
      <c r="E1038" s="5"/>
      <c r="F1038" s="5"/>
      <c r="G1038" s="9" t="s">
        <v>2357</v>
      </c>
      <c r="H1038" s="5" t="n">
        <f aca="false">(COUNTIF(J1038:EC1038,"=0")+COUNTIF(J1038:EC1038,"=1"))</f>
        <v>2</v>
      </c>
      <c r="I1038" s="21" t="n">
        <f aca="false">IFERROR(ROUND(10-AVERAGE(J1038:EC1038)*10,0),0)</f>
        <v>0</v>
      </c>
      <c r="J1038" s="11"/>
      <c r="K1038" s="11"/>
      <c r="L1038" s="11" t="n">
        <v>1</v>
      </c>
      <c r="M1038" s="5"/>
      <c r="N1038" s="5"/>
      <c r="O1038" s="11"/>
      <c r="P1038" s="11" t="n">
        <v>1</v>
      </c>
      <c r="Q1038" s="5"/>
      <c r="R1038" s="5"/>
      <c r="S1038" s="11"/>
      <c r="T1038" s="11"/>
      <c r="U1038" s="5"/>
      <c r="V1038" s="5"/>
      <c r="W1038" s="5"/>
      <c r="X1038" s="5"/>
      <c r="Y1038" s="5"/>
      <c r="Z1038" s="5"/>
      <c r="AA1038" s="11"/>
      <c r="AB1038" s="5"/>
    </row>
    <row r="1039" customFormat="false" ht="15.75" hidden="false" customHeight="false" outlineLevel="0" collapsed="false">
      <c r="A1039" s="5" t="s">
        <v>2342</v>
      </c>
      <c r="B1039" s="5" t="s">
        <v>2353</v>
      </c>
      <c r="C1039" s="5" t="s">
        <v>1361</v>
      </c>
      <c r="D1039" s="5"/>
      <c r="E1039" s="5"/>
      <c r="F1039" s="5"/>
      <c r="G1039" s="9" t="s">
        <v>2358</v>
      </c>
      <c r="H1039" s="5" t="n">
        <f aca="false">(COUNTIF(J1039:EC1039,"=0")+COUNTIF(J1039:EC1039,"=1"))</f>
        <v>2</v>
      </c>
      <c r="I1039" s="21" t="n">
        <f aca="false">IFERROR(ROUND(10-AVERAGE(J1039:EC1039)*10,0),0)</f>
        <v>0</v>
      </c>
      <c r="J1039" s="11"/>
      <c r="K1039" s="11"/>
      <c r="L1039" s="11" t="n">
        <v>1</v>
      </c>
      <c r="M1039" s="5"/>
      <c r="N1039" s="5"/>
      <c r="O1039" s="11"/>
      <c r="P1039" s="11" t="n">
        <v>1</v>
      </c>
      <c r="Q1039" s="5"/>
      <c r="R1039" s="5"/>
      <c r="S1039" s="11"/>
      <c r="T1039" s="11"/>
      <c r="U1039" s="5"/>
      <c r="V1039" s="5"/>
      <c r="W1039" s="5"/>
      <c r="X1039" s="5"/>
      <c r="Y1039" s="5"/>
      <c r="Z1039" s="5"/>
      <c r="AA1039" s="11"/>
      <c r="AB1039" s="5"/>
    </row>
    <row r="1040" customFormat="false" ht="15.75" hidden="false" customHeight="false" outlineLevel="0" collapsed="false">
      <c r="A1040" s="5" t="s">
        <v>2342</v>
      </c>
      <c r="B1040" s="5" t="s">
        <v>2359</v>
      </c>
      <c r="C1040" s="5" t="s">
        <v>2360</v>
      </c>
      <c r="D1040" s="5"/>
      <c r="E1040" s="5"/>
      <c r="F1040" s="5"/>
      <c r="G1040" s="5"/>
      <c r="H1040" s="5" t="n">
        <f aca="false">(COUNTIF(J1040:EC1040,"=0")+COUNTIF(J1040:EC1040,"=1"))</f>
        <v>9</v>
      </c>
      <c r="I1040" s="13" t="n">
        <f aca="false">IFERROR(ROUND(10-AVERAGE(J1040:EC1040)*10,0),0)</f>
        <v>2</v>
      </c>
      <c r="J1040" s="11" t="n">
        <v>1</v>
      </c>
      <c r="K1040" s="11" t="n">
        <v>1</v>
      </c>
      <c r="L1040" s="5"/>
      <c r="M1040" s="5"/>
      <c r="N1040" s="5"/>
      <c r="O1040" s="11" t="n">
        <v>1</v>
      </c>
      <c r="P1040" s="11" t="n">
        <v>1</v>
      </c>
      <c r="Q1040" s="5" t="n">
        <v>1</v>
      </c>
      <c r="R1040" s="5"/>
      <c r="S1040" s="11" t="n">
        <v>0</v>
      </c>
      <c r="T1040" s="11" t="n">
        <v>1</v>
      </c>
      <c r="U1040" s="5"/>
      <c r="V1040" s="5"/>
      <c r="W1040" s="5" t="n">
        <v>1</v>
      </c>
      <c r="X1040" s="5"/>
      <c r="Y1040" s="5"/>
      <c r="Z1040" s="5"/>
      <c r="AA1040" s="5"/>
      <c r="AB1040" s="5"/>
      <c r="AF1040" s="5" t="n">
        <v>0</v>
      </c>
    </row>
    <row r="1041" customFormat="false" ht="15.75" hidden="false" customHeight="false" outlineLevel="0" collapsed="false">
      <c r="A1041" s="5" t="s">
        <v>2342</v>
      </c>
      <c r="B1041" s="5" t="s">
        <v>2361</v>
      </c>
      <c r="C1041" s="5" t="s">
        <v>2362</v>
      </c>
      <c r="D1041" s="5"/>
      <c r="E1041" s="5"/>
      <c r="F1041" s="5"/>
      <c r="G1041" s="9" t="s">
        <v>2363</v>
      </c>
      <c r="H1041" s="5" t="n">
        <f aca="false">(COUNTIF(J1041:EC1041,"=0")+COUNTIF(J1041:EC1041,"=1"))</f>
        <v>6</v>
      </c>
      <c r="I1041" s="21" t="n">
        <f aca="false">IFERROR(ROUND(10-AVERAGE(J1041:EC1041)*10,0),0)</f>
        <v>3</v>
      </c>
      <c r="J1041" s="11" t="n">
        <v>1</v>
      </c>
      <c r="K1041" s="11" t="n">
        <v>1</v>
      </c>
      <c r="L1041" s="5"/>
      <c r="M1041" s="5"/>
      <c r="N1041" s="5"/>
      <c r="O1041" s="5"/>
      <c r="P1041" s="11" t="n">
        <v>1</v>
      </c>
      <c r="Q1041" s="5"/>
      <c r="R1041" s="5"/>
      <c r="S1041" s="11" t="n">
        <v>0</v>
      </c>
      <c r="T1041" s="5"/>
      <c r="U1041" s="5"/>
      <c r="V1041" s="5"/>
      <c r="W1041" s="5"/>
      <c r="X1041" s="5"/>
      <c r="Y1041" s="5"/>
      <c r="Z1041" s="11" t="n">
        <v>0</v>
      </c>
      <c r="AA1041" s="11" t="n">
        <v>1</v>
      </c>
      <c r="AB1041" s="5"/>
    </row>
    <row r="1042" customFormat="false" ht="15.75" hidden="false" customHeight="false" outlineLevel="0" collapsed="false">
      <c r="A1042" s="5" t="s">
        <v>2342</v>
      </c>
      <c r="B1042" s="5" t="s">
        <v>2361</v>
      </c>
      <c r="C1042" s="5" t="s">
        <v>2364</v>
      </c>
      <c r="D1042" s="5"/>
      <c r="E1042" s="5"/>
      <c r="F1042" s="5"/>
      <c r="G1042" s="9" t="s">
        <v>2365</v>
      </c>
      <c r="H1042" s="5" t="n">
        <f aca="false">(COUNTIF(J1042:EC1042,"=0")+COUNTIF(J1042:EC1042,"=1"))</f>
        <v>5</v>
      </c>
      <c r="I1042" s="23" t="n">
        <f aca="false">IFERROR(ROUND(10-AVERAGE(J1042:EC1042)*10,0),0)</f>
        <v>4</v>
      </c>
      <c r="J1042" s="11" t="n">
        <v>1</v>
      </c>
      <c r="K1042" s="11" t="n">
        <v>1</v>
      </c>
      <c r="L1042" s="5"/>
      <c r="M1042" s="5"/>
      <c r="N1042" s="5"/>
      <c r="O1042" s="5"/>
      <c r="P1042" s="11" t="n">
        <v>1</v>
      </c>
      <c r="Q1042" s="5"/>
      <c r="R1042" s="5"/>
      <c r="S1042" s="11" t="n">
        <v>0</v>
      </c>
      <c r="T1042" s="5"/>
      <c r="U1042" s="5"/>
      <c r="V1042" s="5"/>
      <c r="W1042" s="5"/>
      <c r="X1042" s="5"/>
      <c r="Y1042" s="5"/>
      <c r="Z1042" s="11" t="n">
        <v>0</v>
      </c>
      <c r="AA1042" s="5"/>
      <c r="AB1042" s="5"/>
    </row>
    <row r="1043" customFormat="false" ht="15.75" hidden="false" customHeight="false" outlineLevel="0" collapsed="false">
      <c r="A1043" s="5" t="s">
        <v>2342</v>
      </c>
      <c r="B1043" s="5" t="s">
        <v>2361</v>
      </c>
      <c r="C1043" s="5" t="s">
        <v>2366</v>
      </c>
      <c r="D1043" s="5"/>
      <c r="E1043" s="5"/>
      <c r="F1043" s="5"/>
      <c r="G1043" s="9" t="s">
        <v>2367</v>
      </c>
      <c r="H1043" s="5" t="n">
        <f aca="false">(COUNTIF(J1043:EC1043,"=0")+COUNTIF(J1043:EC1043,"=1"))</f>
        <v>5</v>
      </c>
      <c r="I1043" s="23" t="n">
        <f aca="false">IFERROR(ROUND(10-AVERAGE(J1043:EC1043)*10,0),0)</f>
        <v>4</v>
      </c>
      <c r="J1043" s="11" t="n">
        <v>1</v>
      </c>
      <c r="K1043" s="11" t="n">
        <v>1</v>
      </c>
      <c r="L1043" s="5"/>
      <c r="M1043" s="5"/>
      <c r="N1043" s="5"/>
      <c r="O1043" s="5"/>
      <c r="P1043" s="11" t="n">
        <v>1</v>
      </c>
      <c r="Q1043" s="5"/>
      <c r="R1043" s="5"/>
      <c r="S1043" s="11" t="n">
        <v>0</v>
      </c>
      <c r="T1043" s="5"/>
      <c r="U1043" s="5"/>
      <c r="V1043" s="5"/>
      <c r="W1043" s="5"/>
      <c r="X1043" s="5"/>
      <c r="Y1043" s="5"/>
      <c r="Z1043" s="11" t="n">
        <v>0</v>
      </c>
      <c r="AA1043" s="5"/>
      <c r="AB1043" s="5"/>
    </row>
    <row r="1044" customFormat="false" ht="15.75" hidden="false" customHeight="false" outlineLevel="0" collapsed="false">
      <c r="A1044" s="5" t="s">
        <v>2342</v>
      </c>
      <c r="B1044" s="5" t="s">
        <v>2361</v>
      </c>
      <c r="C1044" s="5" t="s">
        <v>2356</v>
      </c>
      <c r="D1044" s="5"/>
      <c r="E1044" s="5"/>
      <c r="F1044" s="5"/>
      <c r="G1044" s="9" t="s">
        <v>2368</v>
      </c>
      <c r="H1044" s="5" t="n">
        <f aca="false">(COUNTIF(J1044:EC1044,"=0")+COUNTIF(J1044:EC1044,"=1"))</f>
        <v>5</v>
      </c>
      <c r="I1044" s="23" t="n">
        <f aca="false">IFERROR(ROUND(10-AVERAGE(J1044:EC1044)*10,0),0)</f>
        <v>4</v>
      </c>
      <c r="J1044" s="11" t="n">
        <v>1</v>
      </c>
      <c r="K1044" s="11" t="n">
        <v>1</v>
      </c>
      <c r="L1044" s="5"/>
      <c r="M1044" s="5"/>
      <c r="N1044" s="5"/>
      <c r="O1044" s="11" t="n">
        <v>0</v>
      </c>
      <c r="P1044" s="11" t="n">
        <v>1</v>
      </c>
      <c r="Q1044" s="5"/>
      <c r="R1044" s="5"/>
      <c r="S1044" s="11" t="n">
        <v>0</v>
      </c>
      <c r="T1044" s="5"/>
      <c r="U1044" s="5"/>
      <c r="V1044" s="5"/>
      <c r="W1044" s="5"/>
      <c r="X1044" s="5"/>
      <c r="Y1044" s="5"/>
      <c r="Z1044" s="5"/>
      <c r="AA1044" s="5"/>
      <c r="AB1044" s="5"/>
    </row>
    <row r="1045" customFormat="false" ht="15.75" hidden="false" customHeight="false" outlineLevel="0" collapsed="false">
      <c r="A1045" s="5" t="s">
        <v>2342</v>
      </c>
      <c r="B1045" s="5" t="s">
        <v>2361</v>
      </c>
      <c r="C1045" s="5" t="s">
        <v>2369</v>
      </c>
      <c r="D1045" s="5"/>
      <c r="E1045" s="5"/>
      <c r="F1045" s="5"/>
      <c r="G1045" s="9" t="s">
        <v>2370</v>
      </c>
      <c r="H1045" s="5" t="n">
        <f aca="false">(COUNTIF(J1045:EC1045,"=0")+COUNTIF(J1045:EC1045,"=1"))</f>
        <v>6</v>
      </c>
      <c r="I1045" s="13" t="n">
        <f aca="false">IFERROR(ROUND(10-AVERAGE(J1045:EC1045)*10,0),0)</f>
        <v>2</v>
      </c>
      <c r="J1045" s="11" t="n">
        <v>1</v>
      </c>
      <c r="K1045" s="11" t="n">
        <v>1</v>
      </c>
      <c r="L1045" s="5"/>
      <c r="M1045" s="5"/>
      <c r="N1045" s="5"/>
      <c r="O1045" s="5"/>
      <c r="P1045" s="11" t="n">
        <v>1</v>
      </c>
      <c r="Q1045" s="5" t="n">
        <v>1</v>
      </c>
      <c r="R1045" s="5"/>
      <c r="S1045" s="11" t="n">
        <v>0</v>
      </c>
      <c r="T1045" s="5"/>
      <c r="U1045" s="5"/>
      <c r="V1045" s="5"/>
      <c r="W1045" s="5"/>
      <c r="X1045" s="5"/>
      <c r="Y1045" s="5"/>
      <c r="Z1045" s="11" t="n">
        <v>1</v>
      </c>
      <c r="AA1045" s="5"/>
      <c r="AB1045" s="5"/>
    </row>
    <row r="1046" customFormat="false" ht="15.75" hidden="false" customHeight="false" outlineLevel="0" collapsed="false">
      <c r="A1046" s="5" t="s">
        <v>2342</v>
      </c>
      <c r="B1046" s="5" t="s">
        <v>2361</v>
      </c>
      <c r="C1046" s="5" t="s">
        <v>2371</v>
      </c>
      <c r="D1046" s="5"/>
      <c r="E1046" s="5"/>
      <c r="F1046" s="5"/>
      <c r="G1046" s="5"/>
      <c r="H1046" s="5" t="n">
        <f aca="false">(COUNTIF(J1046:EC1046,"=0")+COUNTIF(J1046:EC1046,"=1"))</f>
        <v>6</v>
      </c>
      <c r="I1046" s="13" t="n">
        <f aca="false">IFERROR(ROUND(10-AVERAGE(J1046:EC1046)*10,0),0)</f>
        <v>2</v>
      </c>
      <c r="J1046" s="11" t="n">
        <v>1</v>
      </c>
      <c r="K1046" s="11" t="n">
        <v>1</v>
      </c>
      <c r="L1046" s="5"/>
      <c r="M1046" s="5"/>
      <c r="N1046" s="5"/>
      <c r="O1046" s="11" t="n">
        <v>1</v>
      </c>
      <c r="P1046" s="11" t="n">
        <v>1</v>
      </c>
      <c r="Q1046" s="5"/>
      <c r="R1046" s="5"/>
      <c r="S1046" s="11" t="n">
        <v>0</v>
      </c>
      <c r="T1046" s="5"/>
      <c r="U1046" s="5"/>
      <c r="V1046" s="5"/>
      <c r="W1046" s="5" t="n">
        <v>1</v>
      </c>
      <c r="X1046" s="5"/>
      <c r="Y1046" s="5"/>
      <c r="Z1046" s="5"/>
      <c r="AA1046" s="5"/>
      <c r="AB1046" s="5"/>
    </row>
    <row r="1047" customFormat="false" ht="15.75" hidden="false" customHeight="false" outlineLevel="0" collapsed="false">
      <c r="A1047" s="5" t="s">
        <v>2342</v>
      </c>
      <c r="B1047" s="5" t="s">
        <v>2361</v>
      </c>
      <c r="C1047" s="5" t="s">
        <v>2372</v>
      </c>
      <c r="D1047" s="5" t="s">
        <v>2373</v>
      </c>
      <c r="E1047" s="5"/>
      <c r="F1047" s="5"/>
      <c r="G1047" s="5"/>
      <c r="H1047" s="5" t="n">
        <f aca="false">(COUNTIF(J1047:EC1047,"=0")+COUNTIF(J1047:EC1047,"=1"))</f>
        <v>5</v>
      </c>
      <c r="I1047" s="23" t="n">
        <f aca="false">IFERROR(ROUND(10-AVERAGE(J1047:EC1047)*10,0),0)</f>
        <v>4</v>
      </c>
      <c r="J1047" s="11" t="n">
        <v>1</v>
      </c>
      <c r="K1047" s="11" t="n">
        <v>1</v>
      </c>
      <c r="L1047" s="5"/>
      <c r="M1047" s="5"/>
      <c r="N1047" s="5"/>
      <c r="O1047" s="5"/>
      <c r="P1047" s="11" t="n">
        <v>1</v>
      </c>
      <c r="Q1047" s="5"/>
      <c r="R1047" s="5"/>
      <c r="S1047" s="11" t="n">
        <v>0</v>
      </c>
      <c r="T1047" s="5"/>
      <c r="U1047" s="5"/>
      <c r="V1047" s="5"/>
      <c r="W1047" s="5"/>
      <c r="X1047" s="5"/>
      <c r="Y1047" s="5"/>
      <c r="Z1047" s="11" t="n">
        <v>0</v>
      </c>
      <c r="AA1047" s="5"/>
      <c r="AB1047" s="5"/>
    </row>
    <row r="1048" customFormat="false" ht="15.75" hidden="false" customHeight="false" outlineLevel="0" collapsed="false">
      <c r="A1048" s="5" t="s">
        <v>2342</v>
      </c>
      <c r="B1048" s="5" t="s">
        <v>2361</v>
      </c>
      <c r="C1048" s="5" t="s">
        <v>2374</v>
      </c>
      <c r="D1048" s="5"/>
      <c r="E1048" s="5"/>
      <c r="F1048" s="5"/>
      <c r="G1048" s="9" t="s">
        <v>2375</v>
      </c>
      <c r="H1048" s="5" t="n">
        <f aca="false">(COUNTIF(J1048:EC1048,"=0")+COUNTIF(J1048:EC1048,"=1"))</f>
        <v>5</v>
      </c>
      <c r="I1048" s="15" t="n">
        <f aca="false">IFERROR(ROUND(10-AVERAGE(J1048:EC1048)*10,0),0)</f>
        <v>6</v>
      </c>
      <c r="J1048" s="11" t="n">
        <v>1</v>
      </c>
      <c r="K1048" s="11" t="n">
        <v>1</v>
      </c>
      <c r="L1048" s="5"/>
      <c r="M1048" s="5"/>
      <c r="N1048" s="5"/>
      <c r="O1048" s="5"/>
      <c r="P1048" s="11" t="n">
        <v>0</v>
      </c>
      <c r="Q1048" s="5"/>
      <c r="R1048" s="5"/>
      <c r="S1048" s="11" t="n">
        <v>0</v>
      </c>
      <c r="T1048" s="5"/>
      <c r="U1048" s="5"/>
      <c r="V1048" s="5"/>
      <c r="W1048" s="5"/>
      <c r="X1048" s="5"/>
      <c r="Y1048" s="5"/>
      <c r="Z1048" s="11" t="n">
        <v>0</v>
      </c>
      <c r="AA1048" s="5"/>
      <c r="AB1048" s="5"/>
    </row>
    <row r="1049" customFormat="false" ht="15.75" hidden="false" customHeight="false" outlineLevel="0" collapsed="false">
      <c r="A1049" s="5" t="s">
        <v>2342</v>
      </c>
      <c r="B1049" s="5" t="s">
        <v>2361</v>
      </c>
      <c r="C1049" s="5" t="s">
        <v>1361</v>
      </c>
      <c r="D1049" s="5"/>
      <c r="E1049" s="5"/>
      <c r="F1049" s="5"/>
      <c r="G1049" s="9" t="s">
        <v>2376</v>
      </c>
      <c r="H1049" s="5" t="n">
        <f aca="false">(COUNTIF(J1049:EC1049,"=0")+COUNTIF(J1049:EC1049,"=1"))</f>
        <v>5</v>
      </c>
      <c r="I1049" s="13" t="n">
        <f aca="false">IFERROR(ROUND(10-AVERAGE(J1049:EC1049)*10,0),0)</f>
        <v>2</v>
      </c>
      <c r="J1049" s="11" t="n">
        <v>1</v>
      </c>
      <c r="K1049" s="11" t="n">
        <v>1</v>
      </c>
      <c r="L1049" s="5"/>
      <c r="M1049" s="5"/>
      <c r="N1049" s="5"/>
      <c r="O1049" s="11" t="n">
        <v>1</v>
      </c>
      <c r="P1049" s="11" t="n">
        <v>1</v>
      </c>
      <c r="Q1049" s="5"/>
      <c r="R1049" s="5"/>
      <c r="S1049" s="11" t="n">
        <v>0</v>
      </c>
      <c r="T1049" s="5"/>
      <c r="U1049" s="5"/>
      <c r="V1049" s="5"/>
      <c r="W1049" s="5"/>
      <c r="X1049" s="5"/>
      <c r="Y1049" s="5"/>
      <c r="Z1049" s="5"/>
      <c r="AA1049" s="5"/>
      <c r="AB1049" s="5"/>
    </row>
    <row r="1050" customFormat="false" ht="15.75" hidden="false" customHeight="false" outlineLevel="0" collapsed="false">
      <c r="A1050" s="5" t="s">
        <v>2342</v>
      </c>
      <c r="B1050" s="5" t="s">
        <v>2361</v>
      </c>
      <c r="C1050" s="5" t="s">
        <v>2377</v>
      </c>
      <c r="D1050" s="5"/>
      <c r="E1050" s="5"/>
      <c r="F1050" s="5"/>
      <c r="G1050" s="5"/>
      <c r="H1050" s="5" t="n">
        <f aca="false">(COUNTIF(J1050:EC1050,"=0")+COUNTIF(J1050:EC1050,"=1"))</f>
        <v>5</v>
      </c>
      <c r="I1050" s="23" t="n">
        <f aca="false">IFERROR(ROUND(10-AVERAGE(J1050:EC1050)*10,0),0)</f>
        <v>4</v>
      </c>
      <c r="J1050" s="11" t="n">
        <v>1</v>
      </c>
      <c r="K1050" s="11" t="n">
        <v>1</v>
      </c>
      <c r="L1050" s="5"/>
      <c r="M1050" s="5"/>
      <c r="N1050" s="5"/>
      <c r="O1050" s="5"/>
      <c r="P1050" s="11" t="n">
        <v>1</v>
      </c>
      <c r="Q1050" s="5"/>
      <c r="R1050" s="5"/>
      <c r="S1050" s="11" t="n">
        <v>0</v>
      </c>
      <c r="T1050" s="5"/>
      <c r="U1050" s="5"/>
      <c r="V1050" s="5"/>
      <c r="W1050" s="5"/>
      <c r="X1050" s="5"/>
      <c r="Y1050" s="5"/>
      <c r="Z1050" s="11" t="n">
        <v>0</v>
      </c>
      <c r="AA1050" s="5"/>
      <c r="AB1050" s="5"/>
    </row>
    <row r="1051" customFormat="false" ht="15.75" hidden="false" customHeight="false" outlineLevel="0" collapsed="false">
      <c r="A1051" s="5" t="s">
        <v>2342</v>
      </c>
      <c r="B1051" s="5" t="s">
        <v>2361</v>
      </c>
      <c r="C1051" s="5" t="s">
        <v>2378</v>
      </c>
      <c r="D1051" s="5"/>
      <c r="E1051" s="5"/>
      <c r="F1051" s="5"/>
      <c r="G1051" s="9" t="s">
        <v>2379</v>
      </c>
      <c r="H1051" s="5" t="n">
        <f aca="false">(COUNTIF(J1051:EC1051,"=0")+COUNTIF(J1051:EC1051,"=1"))</f>
        <v>5</v>
      </c>
      <c r="I1051" s="23" t="n">
        <f aca="false">IFERROR(ROUND(10-AVERAGE(J1051:EC1051)*10,0),0)</f>
        <v>4</v>
      </c>
      <c r="J1051" s="11" t="n">
        <v>1</v>
      </c>
      <c r="K1051" s="11" t="n">
        <v>1</v>
      </c>
      <c r="L1051" s="5"/>
      <c r="M1051" s="5"/>
      <c r="N1051" s="5"/>
      <c r="O1051" s="5"/>
      <c r="P1051" s="11" t="n">
        <v>1</v>
      </c>
      <c r="Q1051" s="5"/>
      <c r="R1051" s="5"/>
      <c r="S1051" s="11" t="n">
        <v>0</v>
      </c>
      <c r="T1051" s="5"/>
      <c r="U1051" s="5"/>
      <c r="V1051" s="5"/>
      <c r="W1051" s="5"/>
      <c r="X1051" s="5"/>
      <c r="Y1051" s="5"/>
      <c r="Z1051" s="11" t="n">
        <v>0</v>
      </c>
      <c r="AA1051" s="5"/>
      <c r="AB1051" s="5"/>
    </row>
    <row r="1052" customFormat="false" ht="15.75" hidden="false" customHeight="false" outlineLevel="0" collapsed="false">
      <c r="A1052" s="5" t="s">
        <v>2342</v>
      </c>
      <c r="B1052" s="5" t="s">
        <v>2380</v>
      </c>
      <c r="C1052" s="5" t="s">
        <v>2381</v>
      </c>
      <c r="D1052" s="5"/>
      <c r="E1052" s="5"/>
      <c r="F1052" s="5"/>
      <c r="G1052" s="5"/>
      <c r="H1052" s="5" t="n">
        <f aca="false">(COUNTIF(J1052:EC1052,"=0")+COUNTIF(J1052:EC1052,"=1"))</f>
        <v>5</v>
      </c>
      <c r="I1052" s="23" t="n">
        <f aca="false">IFERROR(ROUND(10-AVERAGE(J1052:EC1052)*10,0),0)</f>
        <v>4</v>
      </c>
      <c r="J1052" s="11" t="n">
        <v>1</v>
      </c>
      <c r="K1052" s="11" t="n">
        <v>1</v>
      </c>
      <c r="L1052" s="5"/>
      <c r="M1052" s="5"/>
      <c r="N1052" s="5"/>
      <c r="O1052" s="5"/>
      <c r="P1052" s="11" t="n">
        <v>0</v>
      </c>
      <c r="Q1052" s="5"/>
      <c r="R1052" s="5"/>
      <c r="S1052" s="11" t="n">
        <v>0</v>
      </c>
      <c r="T1052" s="5"/>
      <c r="U1052" s="5"/>
      <c r="V1052" s="5"/>
      <c r="W1052" s="5"/>
      <c r="X1052" s="5"/>
      <c r="Y1052" s="5"/>
      <c r="Z1052" s="11" t="n">
        <v>1</v>
      </c>
      <c r="AA1052" s="5"/>
      <c r="AB1052" s="5"/>
    </row>
    <row r="1053" customFormat="false" ht="15.75" hidden="false" customHeight="false" outlineLevel="0" collapsed="false">
      <c r="A1053" s="5" t="s">
        <v>2342</v>
      </c>
      <c r="B1053" s="5" t="s">
        <v>2380</v>
      </c>
      <c r="C1053" s="5" t="s">
        <v>398</v>
      </c>
      <c r="D1053" s="5"/>
      <c r="E1053" s="5"/>
      <c r="F1053" s="5"/>
      <c r="G1053" s="5"/>
      <c r="H1053" s="5" t="n">
        <f aca="false">(COUNTIF(J1053:EC1053,"=0")+COUNTIF(J1053:EC1053,"=1"))</f>
        <v>7</v>
      </c>
      <c r="I1053" s="13" t="n">
        <f aca="false">IFERROR(ROUND(10-AVERAGE(J1053:EC1053)*10,0),0)</f>
        <v>1</v>
      </c>
      <c r="J1053" s="11" t="n">
        <v>1</v>
      </c>
      <c r="K1053" s="11" t="n">
        <v>1</v>
      </c>
      <c r="L1053" s="5"/>
      <c r="M1053" s="5"/>
      <c r="N1053" s="5"/>
      <c r="O1053" s="5"/>
      <c r="P1053" s="11" t="n">
        <v>1</v>
      </c>
      <c r="Q1053" s="5" t="n">
        <v>1</v>
      </c>
      <c r="R1053" s="5"/>
      <c r="S1053" s="11" t="n">
        <v>0</v>
      </c>
      <c r="T1053" s="5"/>
      <c r="U1053" s="5"/>
      <c r="V1053" s="5"/>
      <c r="W1053" s="5"/>
      <c r="X1053" s="5"/>
      <c r="Y1053" s="5"/>
      <c r="Z1053" s="11" t="n">
        <v>1</v>
      </c>
      <c r="AA1053" s="5"/>
      <c r="AB1053" s="5"/>
      <c r="AF1053" s="5" t="n">
        <v>1</v>
      </c>
    </row>
    <row r="1054" customFormat="false" ht="15.75" hidden="false" customHeight="false" outlineLevel="0" collapsed="false">
      <c r="A1054" s="5" t="s">
        <v>2342</v>
      </c>
      <c r="B1054" s="5" t="s">
        <v>2380</v>
      </c>
      <c r="C1054" s="5" t="s">
        <v>2382</v>
      </c>
      <c r="D1054" s="5"/>
      <c r="E1054" s="5"/>
      <c r="F1054" s="5"/>
      <c r="G1054" s="5"/>
      <c r="H1054" s="5" t="n">
        <f aca="false">(COUNTIF(J1054:EC1054,"=0")+COUNTIF(J1054:EC1054,"=1"))</f>
        <v>5</v>
      </c>
      <c r="I1054" s="15" t="n">
        <f aca="false">IFERROR(ROUND(10-AVERAGE(J1054:EC1054)*10,0),0)</f>
        <v>6</v>
      </c>
      <c r="J1054" s="11" t="n">
        <v>1</v>
      </c>
      <c r="K1054" s="11" t="n">
        <v>1</v>
      </c>
      <c r="L1054" s="5"/>
      <c r="M1054" s="5"/>
      <c r="N1054" s="5"/>
      <c r="O1054" s="5"/>
      <c r="P1054" s="11" t="n">
        <v>0</v>
      </c>
      <c r="Q1054" s="5"/>
      <c r="R1054" s="5"/>
      <c r="S1054" s="11" t="n">
        <v>0</v>
      </c>
      <c r="T1054" s="5"/>
      <c r="U1054" s="5"/>
      <c r="V1054" s="5"/>
      <c r="W1054" s="5"/>
      <c r="X1054" s="5"/>
      <c r="Y1054" s="5"/>
      <c r="Z1054" s="11" t="n">
        <v>0</v>
      </c>
      <c r="AA1054" s="5"/>
      <c r="AB1054" s="5"/>
    </row>
    <row r="1055" customFormat="false" ht="15.75" hidden="false" customHeight="false" outlineLevel="0" collapsed="false">
      <c r="A1055" s="5" t="s">
        <v>2342</v>
      </c>
      <c r="B1055" s="5" t="s">
        <v>2380</v>
      </c>
      <c r="C1055" s="5" t="s">
        <v>2383</v>
      </c>
      <c r="D1055" s="5"/>
      <c r="E1055" s="5"/>
      <c r="F1055" s="5"/>
      <c r="G1055" s="9" t="s">
        <v>2384</v>
      </c>
      <c r="H1055" s="5" t="n">
        <f aca="false">(COUNTIF(J1055:EC1055,"=0")+COUNTIF(J1055:EC1055,"=1"))</f>
        <v>2</v>
      </c>
      <c r="I1055" s="15" t="n">
        <f aca="false">IFERROR(ROUND(10-AVERAGE(J1055:EC1055)*10,0),0)</f>
        <v>5</v>
      </c>
      <c r="J1055" s="11"/>
      <c r="K1055" s="11"/>
      <c r="L1055" s="5" t="n">
        <v>1</v>
      </c>
      <c r="M1055" s="5"/>
      <c r="N1055" s="5"/>
      <c r="O1055" s="5"/>
      <c r="P1055" s="11" t="n">
        <v>0</v>
      </c>
      <c r="Q1055" s="5"/>
      <c r="R1055" s="5"/>
      <c r="S1055" s="11"/>
      <c r="T1055" s="5"/>
      <c r="U1055" s="5"/>
      <c r="V1055" s="5"/>
      <c r="W1055" s="5"/>
      <c r="X1055" s="5"/>
      <c r="Y1055" s="5"/>
      <c r="Z1055" s="11"/>
      <c r="AA1055" s="5"/>
      <c r="AB1055" s="5"/>
    </row>
    <row r="1056" customFormat="false" ht="15.75" hidden="false" customHeight="false" outlineLevel="0" collapsed="false">
      <c r="A1056" s="5" t="s">
        <v>2342</v>
      </c>
      <c r="B1056" s="5" t="s">
        <v>2380</v>
      </c>
      <c r="C1056" s="5" t="s">
        <v>1318</v>
      </c>
      <c r="D1056" s="5"/>
      <c r="E1056" s="5"/>
      <c r="F1056" s="5"/>
      <c r="G1056" s="5"/>
      <c r="H1056" s="5" t="n">
        <f aca="false">(COUNTIF(J1056:EC1056,"=0")+COUNTIF(J1056:EC1056,"=1"))</f>
        <v>6</v>
      </c>
      <c r="I1056" s="13" t="n">
        <f aca="false">IFERROR(ROUND(10-AVERAGE(J1056:EC1056)*10,0),0)</f>
        <v>2</v>
      </c>
      <c r="J1056" s="11" t="n">
        <v>1</v>
      </c>
      <c r="K1056" s="11" t="n">
        <v>1</v>
      </c>
      <c r="L1056" s="5"/>
      <c r="M1056" s="5"/>
      <c r="N1056" s="5"/>
      <c r="O1056" s="5"/>
      <c r="P1056" s="11" t="n">
        <v>1</v>
      </c>
      <c r="Q1056" s="5" t="n">
        <v>1</v>
      </c>
      <c r="R1056" s="5"/>
      <c r="S1056" s="11" t="n">
        <v>0</v>
      </c>
      <c r="T1056" s="5"/>
      <c r="U1056" s="5"/>
      <c r="V1056" s="5"/>
      <c r="W1056" s="5"/>
      <c r="X1056" s="5"/>
      <c r="Y1056" s="5"/>
      <c r="Z1056" s="11" t="n">
        <v>1</v>
      </c>
      <c r="AA1056" s="5"/>
      <c r="AB1056" s="5"/>
    </row>
    <row r="1057" customFormat="false" ht="15.75" hidden="false" customHeight="false" outlineLevel="0" collapsed="false">
      <c r="A1057" s="5" t="s">
        <v>2342</v>
      </c>
      <c r="B1057" s="5" t="s">
        <v>2385</v>
      </c>
      <c r="D1057" s="5"/>
      <c r="E1057" s="5"/>
      <c r="F1057" s="5"/>
      <c r="G1057" s="5"/>
      <c r="H1057" s="5" t="n">
        <f aca="false">(COUNTIF(J1057:EC1057,"=0")+COUNTIF(J1057:EC1057,"=1"))</f>
        <v>0</v>
      </c>
      <c r="I1057" s="18" t="n">
        <f aca="false">IFERROR(ROUND(10-AVERAGE(J1057:EC1057)*10,0),0)</f>
        <v>0</v>
      </c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customFormat="false" ht="15.75" hidden="false" customHeight="false" outlineLevel="0" collapsed="false">
      <c r="A1058" s="5" t="s">
        <v>2342</v>
      </c>
      <c r="B1058" s="5" t="s">
        <v>2386</v>
      </c>
      <c r="C1058" s="5" t="s">
        <v>2387</v>
      </c>
      <c r="D1058" s="5"/>
      <c r="E1058" s="14" t="s">
        <v>2388</v>
      </c>
      <c r="F1058" s="5"/>
      <c r="G1058" s="5"/>
      <c r="H1058" s="5" t="n">
        <f aca="false">(COUNTIF(J1058:EC1058,"=0")+COUNTIF(J1058:EC1058,"=1"))</f>
        <v>1</v>
      </c>
      <c r="I1058" s="12" t="n">
        <f aca="false">IFERROR(ROUND(10-AVERAGE(J1058:EC1058)*10,0),0)</f>
        <v>0</v>
      </c>
      <c r="J1058" s="5"/>
      <c r="K1058" s="5"/>
      <c r="L1058" s="5"/>
      <c r="M1058" s="5"/>
      <c r="N1058" s="5"/>
      <c r="O1058" s="5"/>
      <c r="P1058" s="5" t="n">
        <v>1</v>
      </c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customFormat="false" ht="15.75" hidden="false" customHeight="false" outlineLevel="0" collapsed="false">
      <c r="A1059" s="5" t="s">
        <v>2342</v>
      </c>
      <c r="B1059" s="5" t="s">
        <v>2386</v>
      </c>
      <c r="C1059" s="5" t="s">
        <v>2389</v>
      </c>
      <c r="D1059" s="5"/>
      <c r="E1059" s="14" t="s">
        <v>2390</v>
      </c>
      <c r="F1059" s="5"/>
      <c r="G1059" s="5"/>
      <c r="H1059" s="11" t="n">
        <f aca="false">(COUNTIF(J1059:EC1059,"=0")+COUNTIF(J1059:EC1059,"=1"))</f>
        <v>2</v>
      </c>
      <c r="I1059" s="23" t="n">
        <f aca="false">IFERROR(ROUND(10-AVERAGE(J1059:EC1059)*10,0),0)</f>
        <v>0</v>
      </c>
      <c r="J1059" s="11"/>
      <c r="K1059" s="11"/>
      <c r="L1059" s="5"/>
      <c r="M1059" s="5"/>
      <c r="N1059" s="5"/>
      <c r="O1059" s="11"/>
      <c r="P1059" s="11" t="n">
        <v>1</v>
      </c>
      <c r="Q1059" s="5"/>
      <c r="R1059" s="5"/>
      <c r="S1059" s="11" t="n">
        <v>1</v>
      </c>
      <c r="T1059" s="5"/>
      <c r="U1059" s="5"/>
      <c r="V1059" s="5"/>
      <c r="W1059" s="5"/>
      <c r="X1059" s="5"/>
      <c r="Y1059" s="5"/>
      <c r="Z1059" s="11"/>
      <c r="AA1059" s="5"/>
      <c r="AB1059" s="5"/>
    </row>
    <row r="1060" customFormat="false" ht="15.75" hidden="false" customHeight="false" outlineLevel="0" collapsed="false">
      <c r="A1060" s="5" t="s">
        <v>2342</v>
      </c>
      <c r="B1060" s="5" t="s">
        <v>2386</v>
      </c>
      <c r="C1060" s="5" t="s">
        <v>2391</v>
      </c>
      <c r="D1060" s="5"/>
      <c r="E1060" s="5"/>
      <c r="F1060" s="5"/>
      <c r="G1060" s="5"/>
      <c r="H1060" s="5" t="n">
        <f aca="false">(COUNTIF(J1060:EC1060,"=0")+COUNTIF(J1060:EC1060,"=1"))</f>
        <v>6</v>
      </c>
      <c r="I1060" s="23" t="n">
        <f aca="false">IFERROR(ROUND(10-AVERAGE(J1060:EC1060)*10,0),0)</f>
        <v>0</v>
      </c>
      <c r="J1060" s="11" t="n">
        <v>1</v>
      </c>
      <c r="K1060" s="11" t="n">
        <v>1</v>
      </c>
      <c r="L1060" s="5"/>
      <c r="M1060" s="5"/>
      <c r="N1060" s="5"/>
      <c r="O1060" s="11" t="n">
        <v>1</v>
      </c>
      <c r="P1060" s="11" t="n">
        <v>1</v>
      </c>
      <c r="Q1060" s="5"/>
      <c r="R1060" s="5"/>
      <c r="S1060" s="11" t="n">
        <v>1</v>
      </c>
      <c r="T1060" s="5"/>
      <c r="U1060" s="5"/>
      <c r="V1060" s="5"/>
      <c r="W1060" s="5"/>
      <c r="X1060" s="5"/>
      <c r="Y1060" s="5"/>
      <c r="Z1060" s="11" t="n">
        <v>1</v>
      </c>
      <c r="AA1060" s="5"/>
      <c r="AB1060" s="5"/>
    </row>
    <row r="1061" customFormat="false" ht="15.75" hidden="false" customHeight="false" outlineLevel="0" collapsed="false">
      <c r="A1061" s="5" t="s">
        <v>2342</v>
      </c>
      <c r="B1061" s="5" t="s">
        <v>2386</v>
      </c>
      <c r="C1061" s="5" t="s">
        <v>2392</v>
      </c>
      <c r="D1061" s="5"/>
      <c r="E1061" s="5"/>
      <c r="F1061" s="5"/>
      <c r="G1061" s="5"/>
      <c r="H1061" s="5" t="n">
        <f aca="false">(COUNTIF(J1061:EC1061,"=0")+COUNTIF(J1061:EC1061,"=1"))</f>
        <v>7</v>
      </c>
      <c r="I1061" s="23" t="n">
        <f aca="false">IFERROR(ROUND(10-AVERAGE(J1061:EC1061)*10,0),0)</f>
        <v>1</v>
      </c>
      <c r="J1061" s="11" t="n">
        <v>1</v>
      </c>
      <c r="K1061" s="11" t="n">
        <v>1</v>
      </c>
      <c r="L1061" s="5"/>
      <c r="M1061" s="5"/>
      <c r="N1061" s="5"/>
      <c r="O1061" s="11" t="n">
        <v>1</v>
      </c>
      <c r="P1061" s="11" t="n">
        <v>1</v>
      </c>
      <c r="Q1061" s="5" t="n">
        <v>1</v>
      </c>
      <c r="R1061" s="5"/>
      <c r="S1061" s="11" t="n">
        <v>1</v>
      </c>
      <c r="T1061" s="5"/>
      <c r="U1061" s="5"/>
      <c r="V1061" s="5"/>
      <c r="W1061" s="5"/>
      <c r="X1061" s="5"/>
      <c r="Y1061" s="5"/>
      <c r="Z1061" s="11" t="n">
        <v>0</v>
      </c>
      <c r="AA1061" s="5"/>
      <c r="AB1061" s="5"/>
    </row>
    <row r="1062" customFormat="false" ht="15.75" hidden="false" customHeight="false" outlineLevel="0" collapsed="false">
      <c r="A1062" s="5" t="s">
        <v>2342</v>
      </c>
      <c r="B1062" s="5" t="s">
        <v>2386</v>
      </c>
      <c r="C1062" s="5" t="s">
        <v>2393</v>
      </c>
      <c r="D1062" s="5"/>
      <c r="E1062" s="14" t="s">
        <v>2394</v>
      </c>
      <c r="F1062" s="5"/>
      <c r="G1062" s="5"/>
      <c r="H1062" s="11" t="n">
        <f aca="false">(COUNTIF(J1062:EC1062,"=0")+COUNTIF(J1062:EC1062,"=1"))</f>
        <v>2</v>
      </c>
      <c r="I1062" s="23" t="n">
        <f aca="false">IFERROR(ROUND(10-AVERAGE(J1062:EC1062)*10,0),0)</f>
        <v>0</v>
      </c>
      <c r="J1062" s="11"/>
      <c r="K1062" s="11"/>
      <c r="L1062" s="5"/>
      <c r="M1062" s="5"/>
      <c r="N1062" s="5"/>
      <c r="O1062" s="11"/>
      <c r="P1062" s="11" t="n">
        <v>1</v>
      </c>
      <c r="Q1062" s="5"/>
      <c r="R1062" s="5"/>
      <c r="S1062" s="11" t="n">
        <v>1</v>
      </c>
      <c r="T1062" s="5"/>
      <c r="U1062" s="5"/>
      <c r="V1062" s="5"/>
      <c r="W1062" s="5"/>
      <c r="X1062" s="5"/>
      <c r="Y1062" s="5"/>
      <c r="Z1062" s="11"/>
      <c r="AA1062" s="5"/>
      <c r="AB1062" s="5"/>
    </row>
    <row r="1063" customFormat="false" ht="15.75" hidden="false" customHeight="false" outlineLevel="0" collapsed="false">
      <c r="A1063" s="5" t="s">
        <v>2342</v>
      </c>
      <c r="B1063" s="5" t="s">
        <v>2386</v>
      </c>
      <c r="C1063" s="5" t="s">
        <v>2395</v>
      </c>
      <c r="D1063" s="5"/>
      <c r="E1063" s="14" t="s">
        <v>2396</v>
      </c>
      <c r="F1063" s="5"/>
      <c r="G1063" s="5"/>
      <c r="H1063" s="5" t="n">
        <f aca="false">(COUNTIF(J1063:EC1063,"=0")+COUNTIF(J1063:EC1063,"=1"))</f>
        <v>2</v>
      </c>
      <c r="I1063" s="23" t="n">
        <f aca="false">IFERROR(ROUND(10-AVERAGE(J1063:EC1063)*10,0),0)</f>
        <v>0</v>
      </c>
      <c r="J1063" s="11"/>
      <c r="K1063" s="11"/>
      <c r="L1063" s="5"/>
      <c r="M1063" s="5"/>
      <c r="N1063" s="5"/>
      <c r="O1063" s="11"/>
      <c r="P1063" s="11" t="n">
        <v>1</v>
      </c>
      <c r="Q1063" s="5"/>
      <c r="R1063" s="5"/>
      <c r="S1063" s="11" t="n">
        <v>1</v>
      </c>
      <c r="T1063" s="5"/>
      <c r="U1063" s="5"/>
      <c r="V1063" s="5"/>
      <c r="W1063" s="5"/>
      <c r="X1063" s="5"/>
      <c r="Y1063" s="5"/>
      <c r="Z1063" s="11"/>
      <c r="AA1063" s="5"/>
      <c r="AB1063" s="5"/>
    </row>
    <row r="1064" customFormat="false" ht="15.75" hidden="false" customHeight="false" outlineLevel="0" collapsed="false">
      <c r="A1064" s="5" t="s">
        <v>2342</v>
      </c>
      <c r="B1064" s="5" t="s">
        <v>2386</v>
      </c>
      <c r="C1064" s="5" t="s">
        <v>2397</v>
      </c>
      <c r="D1064" s="5"/>
      <c r="E1064" s="14" t="s">
        <v>2398</v>
      </c>
      <c r="F1064" s="5"/>
      <c r="G1064" s="5"/>
      <c r="H1064" s="11" t="n">
        <f aca="false">(COUNTIF(J1064:EC1064,"=0")+COUNTIF(J1064:EC1064,"=1"))</f>
        <v>2</v>
      </c>
      <c r="I1064" s="23" t="n">
        <f aca="false">IFERROR(ROUND(10-AVERAGE(J1064:EC1064)*10,0),0)</f>
        <v>0</v>
      </c>
      <c r="J1064" s="11"/>
      <c r="K1064" s="11"/>
      <c r="L1064" s="5"/>
      <c r="M1064" s="5"/>
      <c r="N1064" s="5"/>
      <c r="O1064" s="11"/>
      <c r="P1064" s="11" t="n">
        <v>1</v>
      </c>
      <c r="Q1064" s="5"/>
      <c r="R1064" s="5"/>
      <c r="S1064" s="11" t="n">
        <v>1</v>
      </c>
      <c r="T1064" s="5"/>
      <c r="U1064" s="5"/>
      <c r="V1064" s="5"/>
      <c r="W1064" s="5"/>
      <c r="X1064" s="5"/>
      <c r="Y1064" s="5"/>
      <c r="Z1064" s="11"/>
      <c r="AA1064" s="5"/>
      <c r="AB1064" s="5"/>
    </row>
    <row r="1065" customFormat="false" ht="15.75" hidden="false" customHeight="false" outlineLevel="0" collapsed="false">
      <c r="A1065" s="5" t="s">
        <v>2342</v>
      </c>
      <c r="B1065" s="5" t="s">
        <v>2399</v>
      </c>
      <c r="C1065" s="5" t="s">
        <v>2352</v>
      </c>
      <c r="D1065" s="5"/>
      <c r="E1065" s="5"/>
      <c r="F1065" s="5"/>
      <c r="G1065" s="5"/>
      <c r="H1065" s="5" t="n">
        <f aca="false">(COUNTIF(J1065:EC1065,"=0")+COUNTIF(J1065:EC1065,"=1"))</f>
        <v>8</v>
      </c>
      <c r="I1065" s="13" t="n">
        <f aca="false">IFERROR(ROUND(10-AVERAGE(J1065:EC1065)*10,0),0)</f>
        <v>8</v>
      </c>
      <c r="J1065" s="11" t="n">
        <v>0</v>
      </c>
      <c r="K1065" s="11" t="n">
        <v>0</v>
      </c>
      <c r="L1065" s="5"/>
      <c r="M1065" s="5"/>
      <c r="N1065" s="5"/>
      <c r="O1065" s="11" t="n">
        <v>1</v>
      </c>
      <c r="P1065" s="11" t="n">
        <v>1</v>
      </c>
      <c r="Q1065" s="5"/>
      <c r="R1065" s="5"/>
      <c r="S1065" s="11" t="n">
        <v>0</v>
      </c>
      <c r="T1065" s="5"/>
      <c r="U1065" s="5"/>
      <c r="V1065" s="5"/>
      <c r="W1065" s="5"/>
      <c r="X1065" s="5"/>
      <c r="Y1065" s="5"/>
      <c r="Z1065" s="11" t="n">
        <v>0</v>
      </c>
      <c r="AA1065" s="11" t="n">
        <v>0</v>
      </c>
      <c r="AB1065" s="5"/>
      <c r="AF1065" s="5" t="n">
        <v>0</v>
      </c>
    </row>
    <row r="1066" customFormat="false" ht="15.75" hidden="false" customHeight="false" outlineLevel="0" collapsed="false">
      <c r="A1066" s="5" t="s">
        <v>2342</v>
      </c>
      <c r="B1066" s="5" t="s">
        <v>2399</v>
      </c>
      <c r="C1066" s="5" t="s">
        <v>2400</v>
      </c>
      <c r="D1066" s="5"/>
      <c r="E1066" s="5"/>
      <c r="F1066" s="5"/>
      <c r="G1066" s="5"/>
      <c r="H1066" s="5" t="n">
        <f aca="false">(COUNTIF(J1066:EC1066,"=0")+COUNTIF(J1066:EC1066,"=1"))</f>
        <v>6</v>
      </c>
      <c r="I1066" s="15" t="n">
        <f aca="false">IFERROR(ROUND(10-AVERAGE(J1066:EC1066)*10,0),0)</f>
        <v>8</v>
      </c>
      <c r="J1066" s="11" t="n">
        <v>0</v>
      </c>
      <c r="K1066" s="11" t="n">
        <v>0</v>
      </c>
      <c r="L1066" s="5"/>
      <c r="M1066" s="5"/>
      <c r="N1066" s="5"/>
      <c r="O1066" s="11" t="n">
        <v>1</v>
      </c>
      <c r="P1066" s="11" t="n">
        <v>0</v>
      </c>
      <c r="Q1066" s="5"/>
      <c r="R1066" s="5"/>
      <c r="S1066" s="11" t="n">
        <v>0</v>
      </c>
      <c r="T1066" s="5"/>
      <c r="U1066" s="5"/>
      <c r="V1066" s="5"/>
      <c r="W1066" s="5"/>
      <c r="X1066" s="5"/>
      <c r="Y1066" s="5"/>
      <c r="Z1066" s="11" t="n">
        <v>0</v>
      </c>
      <c r="AA1066" s="5"/>
      <c r="AB1066" s="5"/>
    </row>
    <row r="1067" customFormat="false" ht="15.75" hidden="false" customHeight="false" outlineLevel="0" collapsed="false">
      <c r="A1067" s="5" t="s">
        <v>2342</v>
      </c>
      <c r="B1067" s="5" t="s">
        <v>2399</v>
      </c>
      <c r="C1067" s="5" t="s">
        <v>72</v>
      </c>
      <c r="D1067" s="5"/>
      <c r="E1067" s="5"/>
      <c r="F1067" s="5"/>
      <c r="G1067" s="5"/>
      <c r="H1067" s="11" t="n">
        <f aca="false">(COUNTIF(J1067:EC1067,"=0")+COUNTIF(J1067:EC1067,"=1"))</f>
        <v>6</v>
      </c>
      <c r="I1067" s="13" t="n">
        <f aca="false">IFERROR(ROUND(10-AVERAGE(J1067:EC1067)*10,0),0)</f>
        <v>8</v>
      </c>
      <c r="J1067" s="11" t="n">
        <v>0</v>
      </c>
      <c r="K1067" s="11" t="n">
        <v>0</v>
      </c>
      <c r="L1067" s="5"/>
      <c r="M1067" s="5"/>
      <c r="N1067" s="5"/>
      <c r="O1067" s="11" t="n">
        <v>1</v>
      </c>
      <c r="P1067" s="11" t="n">
        <v>0</v>
      </c>
      <c r="Q1067" s="5"/>
      <c r="R1067" s="5"/>
      <c r="S1067" s="11" t="n">
        <v>0</v>
      </c>
      <c r="T1067" s="5"/>
      <c r="U1067" s="5"/>
      <c r="V1067" s="5"/>
      <c r="W1067" s="5"/>
      <c r="X1067" s="5"/>
      <c r="Y1067" s="5"/>
      <c r="Z1067" s="11" t="n">
        <v>0</v>
      </c>
      <c r="AA1067" s="5"/>
      <c r="AB1067" s="5"/>
    </row>
    <row r="1068" customFormat="false" ht="15.75" hidden="false" customHeight="false" outlineLevel="0" collapsed="false">
      <c r="A1068" s="5" t="s">
        <v>2342</v>
      </c>
      <c r="B1068" s="5" t="s">
        <v>2399</v>
      </c>
      <c r="C1068" s="5" t="s">
        <v>2360</v>
      </c>
      <c r="D1068" s="5"/>
      <c r="E1068" s="5"/>
      <c r="F1068" s="5"/>
      <c r="G1068" s="5"/>
      <c r="H1068" s="5" t="n">
        <f aca="false">(COUNTIF(J1068:EC1068,"=0")+COUNTIF(J1068:EC1068,"=1"))</f>
        <v>6</v>
      </c>
      <c r="I1068" s="12" t="n">
        <f aca="false">IFERROR(ROUND(10-AVERAGE(J1068:EC1068)*10,0),0)</f>
        <v>8</v>
      </c>
      <c r="J1068" s="11" t="n">
        <v>0</v>
      </c>
      <c r="K1068" s="11" t="n">
        <v>0</v>
      </c>
      <c r="L1068" s="5"/>
      <c r="M1068" s="5"/>
      <c r="N1068" s="5"/>
      <c r="O1068" s="11" t="n">
        <v>1</v>
      </c>
      <c r="P1068" s="11" t="n">
        <v>0</v>
      </c>
      <c r="Q1068" s="5"/>
      <c r="R1068" s="5"/>
      <c r="S1068" s="11" t="n">
        <v>0</v>
      </c>
      <c r="T1068" s="5"/>
      <c r="U1068" s="5"/>
      <c r="V1068" s="5"/>
      <c r="W1068" s="5"/>
      <c r="X1068" s="5"/>
      <c r="Y1068" s="5"/>
      <c r="Z1068" s="11" t="n">
        <v>0</v>
      </c>
      <c r="AA1068" s="5"/>
      <c r="AB1068" s="5"/>
    </row>
    <row r="1069" customFormat="false" ht="15.75" hidden="false" customHeight="false" outlineLevel="0" collapsed="false">
      <c r="A1069" s="5" t="s">
        <v>2401</v>
      </c>
      <c r="B1069" s="5" t="s">
        <v>2401</v>
      </c>
      <c r="C1069" s="5" t="s">
        <v>2402</v>
      </c>
      <c r="D1069" s="5"/>
      <c r="E1069" s="5"/>
      <c r="F1069" s="5"/>
      <c r="G1069" s="5"/>
      <c r="H1069" s="5" t="n">
        <f aca="false">(COUNTIF(J1069:EC1069,"=0")+COUNTIF(J1069:EC1069,"=1"))</f>
        <v>4</v>
      </c>
      <c r="I1069" s="10" t="n">
        <f aca="false">IFERROR(ROUND(10-AVERAGE(J1069:EC1069)*10,0),0)</f>
        <v>10</v>
      </c>
      <c r="J1069" s="11" t="n">
        <v>0</v>
      </c>
      <c r="K1069" s="11" t="n">
        <v>0</v>
      </c>
      <c r="L1069" s="5"/>
      <c r="M1069" s="5"/>
      <c r="N1069" s="5"/>
      <c r="O1069" s="5"/>
      <c r="P1069" s="11" t="n">
        <v>0</v>
      </c>
      <c r="Q1069" s="5"/>
      <c r="R1069" s="5"/>
      <c r="S1069" s="5"/>
      <c r="T1069" s="5"/>
      <c r="U1069" s="5"/>
      <c r="V1069" s="5"/>
      <c r="W1069" s="5"/>
      <c r="X1069" s="5"/>
      <c r="Y1069" s="5"/>
      <c r="Z1069" s="11" t="n">
        <v>0</v>
      </c>
      <c r="AA1069" s="5"/>
      <c r="AB1069" s="5"/>
    </row>
    <row r="1070" customFormat="false" ht="15.75" hidden="false" customHeight="false" outlineLevel="0" collapsed="false">
      <c r="A1070" s="5" t="s">
        <v>2401</v>
      </c>
      <c r="B1070" s="5" t="s">
        <v>2401</v>
      </c>
      <c r="C1070" s="5" t="s">
        <v>2403</v>
      </c>
      <c r="D1070" s="5"/>
      <c r="E1070" s="5"/>
      <c r="F1070" s="5"/>
      <c r="G1070" s="5"/>
      <c r="H1070" s="5" t="n">
        <f aca="false">(COUNTIF(J1070:EC1070,"=0")+COUNTIF(J1070:EC1070,"=1"))</f>
        <v>4</v>
      </c>
      <c r="I1070" s="10" t="n">
        <f aca="false">IFERROR(ROUND(10-AVERAGE(J1070:EC1070)*10,0),0)</f>
        <v>10</v>
      </c>
      <c r="J1070" s="11" t="n">
        <v>0</v>
      </c>
      <c r="K1070" s="11" t="n">
        <v>0</v>
      </c>
      <c r="L1070" s="5"/>
      <c r="M1070" s="5"/>
      <c r="N1070" s="5"/>
      <c r="O1070" s="5"/>
      <c r="P1070" s="11" t="n">
        <v>0</v>
      </c>
      <c r="Q1070" s="5"/>
      <c r="R1070" s="5"/>
      <c r="S1070" s="5"/>
      <c r="T1070" s="5"/>
      <c r="U1070" s="5"/>
      <c r="V1070" s="5"/>
      <c r="W1070" s="5"/>
      <c r="X1070" s="5"/>
      <c r="Y1070" s="5"/>
      <c r="Z1070" s="11" t="n">
        <v>0</v>
      </c>
      <c r="AA1070" s="5"/>
      <c r="AB1070" s="5"/>
    </row>
    <row r="1071" customFormat="false" ht="15.75" hidden="false" customHeight="false" outlineLevel="0" collapsed="false">
      <c r="A1071" s="5" t="s">
        <v>2401</v>
      </c>
      <c r="B1071" s="5" t="s">
        <v>2401</v>
      </c>
      <c r="C1071" s="5" t="s">
        <v>2404</v>
      </c>
      <c r="D1071" s="5"/>
      <c r="E1071" s="5"/>
      <c r="F1071" s="5"/>
      <c r="G1071" s="5"/>
      <c r="H1071" s="5" t="n">
        <f aca="false">(COUNTIF(J1071:EC1071,"=0")+COUNTIF(J1071:EC1071,"=1"))</f>
        <v>5</v>
      </c>
      <c r="I1071" s="10" t="n">
        <f aca="false">IFERROR(ROUND(10-AVERAGE(J1071:EC1071)*10,0),0)</f>
        <v>8</v>
      </c>
      <c r="J1071" s="11" t="n">
        <v>0</v>
      </c>
      <c r="K1071" s="11" t="n">
        <v>0</v>
      </c>
      <c r="L1071" s="5"/>
      <c r="M1071" s="5"/>
      <c r="N1071" s="5"/>
      <c r="O1071" s="5"/>
      <c r="P1071" s="11" t="n">
        <v>0</v>
      </c>
      <c r="Q1071" s="5" t="n">
        <v>1</v>
      </c>
      <c r="R1071" s="5"/>
      <c r="S1071" s="5"/>
      <c r="T1071" s="5"/>
      <c r="U1071" s="5"/>
      <c r="V1071" s="5"/>
      <c r="W1071" s="5"/>
      <c r="X1071" s="5"/>
      <c r="Y1071" s="5"/>
      <c r="Z1071" s="11" t="n">
        <v>0</v>
      </c>
      <c r="AA1071" s="5"/>
      <c r="AB1071" s="5"/>
    </row>
    <row r="1072" customFormat="false" ht="15.75" hidden="false" customHeight="false" outlineLevel="0" collapsed="false">
      <c r="A1072" s="5" t="s">
        <v>2401</v>
      </c>
      <c r="B1072" s="5" t="s">
        <v>2401</v>
      </c>
      <c r="C1072" s="5" t="s">
        <v>2405</v>
      </c>
      <c r="D1072" s="5"/>
      <c r="E1072" s="5"/>
      <c r="F1072" s="5"/>
      <c r="G1072" s="5"/>
      <c r="H1072" s="5" t="n">
        <f aca="false">(COUNTIF(J1072:EC1072,"=0")+COUNTIF(J1072:EC1072,"=1"))</f>
        <v>4</v>
      </c>
      <c r="I1072" s="10" t="n">
        <f aca="false">IFERROR(ROUND(10-AVERAGE(J1072:EC1072)*10,0),0)</f>
        <v>10</v>
      </c>
      <c r="J1072" s="11" t="n">
        <v>0</v>
      </c>
      <c r="K1072" s="11" t="n">
        <v>0</v>
      </c>
      <c r="L1072" s="5"/>
      <c r="M1072" s="5"/>
      <c r="N1072" s="5"/>
      <c r="O1072" s="5"/>
      <c r="P1072" s="11" t="n">
        <v>0</v>
      </c>
      <c r="Q1072" s="5"/>
      <c r="R1072" s="5"/>
      <c r="S1072" s="5"/>
      <c r="T1072" s="5"/>
      <c r="U1072" s="5"/>
      <c r="V1072" s="5"/>
      <c r="W1072" s="5"/>
      <c r="X1072" s="5"/>
      <c r="Y1072" s="5"/>
      <c r="Z1072" s="11" t="n">
        <v>0</v>
      </c>
      <c r="AA1072" s="5"/>
      <c r="AB1072" s="5"/>
    </row>
    <row r="1073" customFormat="false" ht="15.75" hidden="false" customHeight="false" outlineLevel="0" collapsed="false">
      <c r="A1073" s="5" t="s">
        <v>2401</v>
      </c>
      <c r="B1073" s="5" t="s">
        <v>2401</v>
      </c>
      <c r="C1073" s="5" t="s">
        <v>2406</v>
      </c>
      <c r="D1073" s="5"/>
      <c r="E1073" s="5"/>
      <c r="F1073" s="5"/>
      <c r="G1073" s="5"/>
      <c r="H1073" s="5" t="n">
        <f aca="false">(COUNTIF(J1073:EC1073,"=0")+COUNTIF(J1073:EC1073,"=1"))</f>
        <v>4</v>
      </c>
      <c r="I1073" s="10" t="n">
        <f aca="false">IFERROR(ROUND(10-AVERAGE(J1073:EC1073)*10,0),0)</f>
        <v>10</v>
      </c>
      <c r="J1073" s="11" t="n">
        <v>0</v>
      </c>
      <c r="K1073" s="11" t="n">
        <v>0</v>
      </c>
      <c r="L1073" s="5"/>
      <c r="M1073" s="5"/>
      <c r="N1073" s="5"/>
      <c r="O1073" s="5"/>
      <c r="P1073" s="11" t="n">
        <v>0</v>
      </c>
      <c r="Q1073" s="5"/>
      <c r="R1073" s="5"/>
      <c r="S1073" s="5"/>
      <c r="T1073" s="5"/>
      <c r="U1073" s="5"/>
      <c r="V1073" s="5"/>
      <c r="W1073" s="5"/>
      <c r="X1073" s="5"/>
      <c r="Y1073" s="5"/>
      <c r="Z1073" s="11" t="n">
        <v>0</v>
      </c>
      <c r="AA1073" s="5"/>
      <c r="AB1073" s="5"/>
    </row>
    <row r="1074" customFormat="false" ht="15.75" hidden="false" customHeight="false" outlineLevel="0" collapsed="false">
      <c r="A1074" s="5" t="s">
        <v>2401</v>
      </c>
      <c r="B1074" s="5" t="s">
        <v>2401</v>
      </c>
      <c r="C1074" s="5" t="s">
        <v>2407</v>
      </c>
      <c r="D1074" s="5"/>
      <c r="E1074" s="5"/>
      <c r="F1074" s="5"/>
      <c r="G1074" s="5"/>
      <c r="H1074" s="5" t="n">
        <f aca="false">(COUNTIF(J1074:EC1074,"=0")+COUNTIF(J1074:EC1074,"=1"))</f>
        <v>4</v>
      </c>
      <c r="I1074" s="10" t="n">
        <f aca="false">IFERROR(ROUND(10-AVERAGE(J1074:EC1074)*10,0),0)</f>
        <v>10</v>
      </c>
      <c r="J1074" s="11" t="n">
        <v>0</v>
      </c>
      <c r="K1074" s="11" t="n">
        <v>0</v>
      </c>
      <c r="L1074" s="5"/>
      <c r="M1074" s="5"/>
      <c r="N1074" s="5"/>
      <c r="O1074" s="5"/>
      <c r="P1074" s="11" t="n">
        <v>0</v>
      </c>
      <c r="Q1074" s="5"/>
      <c r="R1074" s="5"/>
      <c r="S1074" s="5"/>
      <c r="T1074" s="5"/>
      <c r="U1074" s="5"/>
      <c r="V1074" s="5"/>
      <c r="W1074" s="5"/>
      <c r="X1074" s="5"/>
      <c r="Y1074" s="5"/>
      <c r="Z1074" s="11" t="n">
        <v>0</v>
      </c>
      <c r="AA1074" s="5"/>
      <c r="AB1074" s="5"/>
    </row>
    <row r="1075" customFormat="false" ht="15.75" hidden="false" customHeight="false" outlineLevel="0" collapsed="false">
      <c r="A1075" s="5" t="s">
        <v>2401</v>
      </c>
      <c r="B1075" s="5" t="s">
        <v>2401</v>
      </c>
      <c r="C1075" s="5" t="s">
        <v>2408</v>
      </c>
      <c r="D1075" s="5"/>
      <c r="E1075" s="5"/>
      <c r="F1075" s="5"/>
      <c r="G1075" s="5"/>
      <c r="H1075" s="5" t="n">
        <f aca="false">(COUNTIF(J1075:EC1075,"=0")+COUNTIF(J1075:EC1075,"=1"))</f>
        <v>4</v>
      </c>
      <c r="I1075" s="10" t="n">
        <f aca="false">IFERROR(ROUND(10-AVERAGE(J1075:EC1075)*10,0),0)</f>
        <v>10</v>
      </c>
      <c r="J1075" s="11" t="n">
        <v>0</v>
      </c>
      <c r="K1075" s="11" t="n">
        <v>0</v>
      </c>
      <c r="L1075" s="5"/>
      <c r="M1075" s="5"/>
      <c r="N1075" s="5"/>
      <c r="O1075" s="5"/>
      <c r="P1075" s="11" t="n">
        <v>0</v>
      </c>
      <c r="Q1075" s="5"/>
      <c r="R1075" s="5"/>
      <c r="S1075" s="5"/>
      <c r="T1075" s="5"/>
      <c r="U1075" s="5"/>
      <c r="V1075" s="5"/>
      <c r="W1075" s="5"/>
      <c r="X1075" s="5"/>
      <c r="Y1075" s="5"/>
      <c r="Z1075" s="11" t="n">
        <v>0</v>
      </c>
      <c r="AA1075" s="5"/>
      <c r="AB1075" s="5"/>
    </row>
    <row r="1076" customFormat="false" ht="15.75" hidden="false" customHeight="false" outlineLevel="0" collapsed="false">
      <c r="A1076" s="5" t="s">
        <v>2401</v>
      </c>
      <c r="B1076" s="5" t="s">
        <v>2401</v>
      </c>
      <c r="C1076" s="5" t="s">
        <v>2409</v>
      </c>
      <c r="D1076" s="5"/>
      <c r="E1076" s="5"/>
      <c r="F1076" s="5"/>
      <c r="G1076" s="5"/>
      <c r="H1076" s="5" t="n">
        <f aca="false">(COUNTIF(J1076:EC1076,"=0")+COUNTIF(J1076:EC1076,"=1"))</f>
        <v>5</v>
      </c>
      <c r="I1076" s="10" t="n">
        <f aca="false">IFERROR(ROUND(10-AVERAGE(J1076:EC1076)*10,0),0)</f>
        <v>10</v>
      </c>
      <c r="J1076" s="11" t="n">
        <v>0</v>
      </c>
      <c r="K1076" s="11" t="n">
        <v>0</v>
      </c>
      <c r="L1076" s="5"/>
      <c r="M1076" s="5"/>
      <c r="N1076" s="5"/>
      <c r="O1076" s="5"/>
      <c r="P1076" s="11" t="n">
        <v>0</v>
      </c>
      <c r="Q1076" s="5"/>
      <c r="R1076" s="5"/>
      <c r="S1076" s="5"/>
      <c r="T1076" s="5"/>
      <c r="U1076" s="5"/>
      <c r="V1076" s="5"/>
      <c r="W1076" s="5"/>
      <c r="X1076" s="5"/>
      <c r="Y1076" s="5"/>
      <c r="Z1076" s="11" t="n">
        <v>0</v>
      </c>
      <c r="AA1076" s="11" t="n">
        <v>0</v>
      </c>
      <c r="AB1076" s="5"/>
    </row>
    <row r="1077" customFormat="false" ht="15.75" hidden="false" customHeight="false" outlineLevel="0" collapsed="false">
      <c r="A1077" s="5" t="s">
        <v>2401</v>
      </c>
      <c r="B1077" s="5" t="s">
        <v>2401</v>
      </c>
      <c r="C1077" s="5" t="s">
        <v>2410</v>
      </c>
      <c r="D1077" s="5"/>
      <c r="E1077" s="5"/>
      <c r="F1077" s="5"/>
      <c r="G1077" s="5"/>
      <c r="H1077" s="5" t="n">
        <f aca="false">(COUNTIF(J1077:EC1077,"=0")+COUNTIF(J1077:EC1077,"=1"))</f>
        <v>6</v>
      </c>
      <c r="I1077" s="10" t="n">
        <f aca="false">IFERROR(ROUND(10-AVERAGE(J1077:EC1077)*10,0),0)</f>
        <v>10</v>
      </c>
      <c r="J1077" s="11" t="n">
        <v>0</v>
      </c>
      <c r="K1077" s="11" t="n">
        <v>0</v>
      </c>
      <c r="L1077" s="5"/>
      <c r="M1077" s="5"/>
      <c r="N1077" s="5"/>
      <c r="O1077" s="5"/>
      <c r="P1077" s="11" t="n">
        <v>0</v>
      </c>
      <c r="Q1077" s="5" t="n">
        <v>0</v>
      </c>
      <c r="R1077" s="5"/>
      <c r="S1077" s="5"/>
      <c r="T1077" s="5"/>
      <c r="U1077" s="5"/>
      <c r="V1077" s="5"/>
      <c r="W1077" s="5" t="n">
        <v>0</v>
      </c>
      <c r="X1077" s="5"/>
      <c r="Y1077" s="5"/>
      <c r="Z1077" s="11" t="n">
        <v>0</v>
      </c>
      <c r="AA1077" s="5"/>
      <c r="AB1077" s="5"/>
    </row>
    <row r="1078" customFormat="false" ht="15.75" hidden="false" customHeight="false" outlineLevel="0" collapsed="false">
      <c r="A1078" s="5" t="s">
        <v>2401</v>
      </c>
      <c r="B1078" s="5" t="s">
        <v>2401</v>
      </c>
      <c r="C1078" s="5" t="s">
        <v>2411</v>
      </c>
      <c r="D1078" s="5"/>
      <c r="E1078" s="5"/>
      <c r="F1078" s="5"/>
      <c r="G1078" s="5"/>
      <c r="H1078" s="5" t="n">
        <f aca="false">(COUNTIF(J1078:EC1078,"=0")+COUNTIF(J1078:EC1078,"=1"))</f>
        <v>4</v>
      </c>
      <c r="I1078" s="10" t="n">
        <f aca="false">IFERROR(ROUND(10-AVERAGE(J1078:EC1078)*10,0),0)</f>
        <v>10</v>
      </c>
      <c r="J1078" s="11" t="n">
        <v>0</v>
      </c>
      <c r="K1078" s="11" t="n">
        <v>0</v>
      </c>
      <c r="L1078" s="5"/>
      <c r="M1078" s="5"/>
      <c r="N1078" s="5"/>
      <c r="O1078" s="5"/>
      <c r="P1078" s="11" t="n">
        <v>0</v>
      </c>
      <c r="Q1078" s="5"/>
      <c r="R1078" s="5"/>
      <c r="S1078" s="5"/>
      <c r="T1078" s="5"/>
      <c r="U1078" s="5"/>
      <c r="V1078" s="5"/>
      <c r="W1078" s="5"/>
      <c r="X1078" s="5"/>
      <c r="Y1078" s="5"/>
      <c r="Z1078" s="11" t="n">
        <v>0</v>
      </c>
      <c r="AA1078" s="5"/>
      <c r="AB1078" s="5"/>
    </row>
    <row r="1079" customFormat="false" ht="15.75" hidden="false" customHeight="false" outlineLevel="0" collapsed="false">
      <c r="A1079" s="5" t="s">
        <v>2401</v>
      </c>
      <c r="B1079" s="5" t="s">
        <v>2401</v>
      </c>
      <c r="C1079" s="5" t="s">
        <v>2412</v>
      </c>
      <c r="D1079" s="5"/>
      <c r="E1079" s="5"/>
      <c r="F1079" s="5"/>
      <c r="G1079" s="5"/>
      <c r="H1079" s="5" t="n">
        <f aca="false">(COUNTIF(J1079:EC1079,"=0")+COUNTIF(J1079:EC1079,"=1"))</f>
        <v>4</v>
      </c>
      <c r="I1079" s="10" t="n">
        <f aca="false">IFERROR(ROUND(10-AVERAGE(J1079:EC1079)*10,0),0)</f>
        <v>10</v>
      </c>
      <c r="J1079" s="11" t="n">
        <v>0</v>
      </c>
      <c r="K1079" s="11" t="n">
        <v>0</v>
      </c>
      <c r="L1079" s="5"/>
      <c r="M1079" s="5"/>
      <c r="N1079" s="5"/>
      <c r="O1079" s="5"/>
      <c r="P1079" s="11" t="n">
        <v>0</v>
      </c>
      <c r="Q1079" s="5"/>
      <c r="R1079" s="5"/>
      <c r="S1079" s="5"/>
      <c r="T1079" s="5"/>
      <c r="U1079" s="5"/>
      <c r="V1079" s="5"/>
      <c r="W1079" s="5"/>
      <c r="X1079" s="5"/>
      <c r="Y1079" s="5"/>
      <c r="Z1079" s="11" t="n">
        <v>0</v>
      </c>
      <c r="AA1079" s="5"/>
      <c r="AB1079" s="5"/>
    </row>
    <row r="1080" customFormat="false" ht="15.75" hidden="false" customHeight="false" outlineLevel="0" collapsed="false">
      <c r="A1080" s="5" t="s">
        <v>2401</v>
      </c>
      <c r="B1080" s="5" t="s">
        <v>2401</v>
      </c>
      <c r="C1080" s="5" t="s">
        <v>2413</v>
      </c>
      <c r="D1080" s="5"/>
      <c r="E1080" s="5"/>
      <c r="F1080" s="5"/>
      <c r="G1080" s="5"/>
      <c r="H1080" s="5" t="n">
        <f aca="false">(COUNTIF(J1080:EC1080,"=0")+COUNTIF(J1080:EC1080,"=1"))</f>
        <v>4</v>
      </c>
      <c r="I1080" s="10" t="n">
        <f aca="false">IFERROR(ROUND(10-AVERAGE(J1080:EC1080)*10,0),0)</f>
        <v>10</v>
      </c>
      <c r="J1080" s="11" t="n">
        <v>0</v>
      </c>
      <c r="K1080" s="11" t="n">
        <v>0</v>
      </c>
      <c r="L1080" s="5"/>
      <c r="M1080" s="5"/>
      <c r="N1080" s="5"/>
      <c r="O1080" s="5"/>
      <c r="P1080" s="11" t="n">
        <v>0</v>
      </c>
      <c r="Q1080" s="5"/>
      <c r="R1080" s="5"/>
      <c r="S1080" s="5"/>
      <c r="T1080" s="5"/>
      <c r="U1080" s="5"/>
      <c r="V1080" s="5"/>
      <c r="W1080" s="5"/>
      <c r="X1080" s="5"/>
      <c r="Y1080" s="5"/>
      <c r="Z1080" s="11" t="n">
        <v>0</v>
      </c>
      <c r="AA1080" s="5"/>
      <c r="AB1080" s="5"/>
    </row>
    <row r="1081" customFormat="false" ht="15.75" hidden="false" customHeight="false" outlineLevel="0" collapsed="false">
      <c r="A1081" s="31" t="s">
        <v>2414</v>
      </c>
      <c r="B1081" s="31" t="s">
        <v>2414</v>
      </c>
      <c r="C1081" s="5" t="s">
        <v>2415</v>
      </c>
      <c r="D1081" s="5"/>
      <c r="E1081" s="5"/>
      <c r="F1081" s="5"/>
      <c r="G1081" s="9" t="s">
        <v>2416</v>
      </c>
      <c r="H1081" s="5" t="n">
        <f aca="false">(COUNTIF(J1081:EC1081,"=0")+COUNTIF(J1081:EC1081,"=1"))</f>
        <v>2</v>
      </c>
      <c r="I1081" s="20" t="n">
        <f aca="false">IFERROR(ROUND(10-AVERAGE(J1081:EC1081)*10,0),0)</f>
        <v>0</v>
      </c>
      <c r="J1081" s="11"/>
      <c r="K1081" s="11"/>
      <c r="L1081" s="5" t="n">
        <v>1</v>
      </c>
      <c r="M1081" s="5"/>
      <c r="N1081" s="5"/>
      <c r="O1081" s="11"/>
      <c r="P1081" s="11" t="n">
        <v>1</v>
      </c>
      <c r="Q1081" s="11"/>
      <c r="R1081" s="5"/>
      <c r="S1081" s="11"/>
      <c r="T1081" s="11"/>
      <c r="U1081" s="5"/>
      <c r="V1081" s="11"/>
      <c r="W1081" s="11"/>
      <c r="X1081" s="5"/>
      <c r="Y1081" s="5"/>
      <c r="Z1081" s="5"/>
      <c r="AA1081" s="5"/>
      <c r="AB1081" s="11"/>
    </row>
    <row r="1082" customFormat="false" ht="15.75" hidden="false" customHeight="false" outlineLevel="0" collapsed="false">
      <c r="A1082" s="31" t="s">
        <v>2417</v>
      </c>
      <c r="B1082" s="5" t="s">
        <v>2418</v>
      </c>
      <c r="C1082" s="5" t="s">
        <v>239</v>
      </c>
      <c r="D1082" s="5"/>
      <c r="E1082" s="5"/>
      <c r="F1082" s="5"/>
      <c r="G1082" s="9" t="s">
        <v>2419</v>
      </c>
      <c r="H1082" s="5" t="n">
        <f aca="false">(COUNTIF(J1082:EC1082,"=0")+COUNTIF(J1082:EC1082,"=1"))</f>
        <v>9</v>
      </c>
      <c r="I1082" s="15" t="n">
        <f aca="false">IFERROR(ROUND(10-AVERAGE(J1082:EC1082)*10,0),0)</f>
        <v>6</v>
      </c>
      <c r="J1082" s="11" t="n">
        <v>1</v>
      </c>
      <c r="K1082" s="11" t="n">
        <v>0</v>
      </c>
      <c r="L1082" s="5"/>
      <c r="M1082" s="5"/>
      <c r="N1082" s="5"/>
      <c r="O1082" s="11" t="n">
        <v>0</v>
      </c>
      <c r="P1082" s="11" t="n">
        <v>1</v>
      </c>
      <c r="Q1082" s="11" t="n">
        <v>0</v>
      </c>
      <c r="R1082" s="5"/>
      <c r="S1082" s="11" t="n">
        <v>0</v>
      </c>
      <c r="T1082" s="11" t="n">
        <v>0</v>
      </c>
      <c r="U1082" s="5"/>
      <c r="V1082" s="11" t="n">
        <v>1</v>
      </c>
      <c r="W1082" s="11" t="n">
        <v>1</v>
      </c>
      <c r="X1082" s="5"/>
      <c r="Y1082" s="5"/>
      <c r="Z1082" s="5"/>
      <c r="AA1082" s="5"/>
      <c r="AB1082" s="5"/>
    </row>
    <row r="1083" customFormat="false" ht="15.75" hidden="false" customHeight="false" outlineLevel="0" collapsed="false">
      <c r="A1083" s="31" t="s">
        <v>2417</v>
      </c>
      <c r="B1083" s="5" t="s">
        <v>2418</v>
      </c>
      <c r="C1083" s="5" t="s">
        <v>2420</v>
      </c>
      <c r="D1083" s="5"/>
      <c r="E1083" s="5"/>
      <c r="F1083" s="5"/>
      <c r="G1083" s="9" t="s">
        <v>2421</v>
      </c>
      <c r="H1083" s="5" t="n">
        <f aca="false">(COUNTIF(J1083:EC1083,"=0")+COUNTIF(J1083:EC1083,"=1"))</f>
        <v>10</v>
      </c>
      <c r="I1083" s="23" t="n">
        <f aca="false">IFERROR(ROUND(10-AVERAGE(J1083:EC1083)*10,0),0)</f>
        <v>5</v>
      </c>
      <c r="J1083" s="11" t="n">
        <v>1</v>
      </c>
      <c r="K1083" s="11" t="n">
        <v>1</v>
      </c>
      <c r="L1083" s="5"/>
      <c r="M1083" s="5"/>
      <c r="N1083" s="5"/>
      <c r="O1083" s="11" t="n">
        <v>0</v>
      </c>
      <c r="P1083" s="11" t="n">
        <v>1</v>
      </c>
      <c r="Q1083" s="11" t="n">
        <v>1</v>
      </c>
      <c r="R1083" s="5"/>
      <c r="S1083" s="11" t="n">
        <v>0</v>
      </c>
      <c r="T1083" s="11" t="n">
        <v>0</v>
      </c>
      <c r="U1083" s="5"/>
      <c r="V1083" s="11" t="n">
        <v>1</v>
      </c>
      <c r="W1083" s="11" t="n">
        <v>0</v>
      </c>
      <c r="X1083" s="5"/>
      <c r="Y1083" s="5"/>
      <c r="Z1083" s="5"/>
      <c r="AA1083" s="5"/>
      <c r="AB1083" s="5"/>
      <c r="AF1083" s="5" t="n">
        <v>0</v>
      </c>
    </row>
    <row r="1084" customFormat="false" ht="15.75" hidden="false" customHeight="false" outlineLevel="0" collapsed="false">
      <c r="A1084" s="31" t="s">
        <v>2417</v>
      </c>
      <c r="B1084" s="5" t="s">
        <v>2418</v>
      </c>
      <c r="C1084" s="5" t="s">
        <v>79</v>
      </c>
      <c r="D1084" s="5"/>
      <c r="E1084" s="5"/>
      <c r="F1084" s="5"/>
      <c r="G1084" s="9" t="s">
        <v>2422</v>
      </c>
      <c r="H1084" s="5" t="n">
        <f aca="false">(COUNTIF(J1084:EC1084,"=0")+COUNTIF(J1084:EC1084,"=1"))</f>
        <v>10</v>
      </c>
      <c r="I1084" s="20" t="n">
        <f aca="false">IFERROR(ROUND(10-AVERAGE(J1084:EC1084)*10,0),0)</f>
        <v>1</v>
      </c>
      <c r="J1084" s="11" t="n">
        <v>1</v>
      </c>
      <c r="K1084" s="11" t="n">
        <v>1</v>
      </c>
      <c r="L1084" s="5"/>
      <c r="M1084" s="5"/>
      <c r="N1084" s="5"/>
      <c r="O1084" s="11" t="n">
        <v>1</v>
      </c>
      <c r="P1084" s="11" t="n">
        <v>1</v>
      </c>
      <c r="Q1084" s="11" t="n">
        <v>1</v>
      </c>
      <c r="R1084" s="5"/>
      <c r="S1084" s="11" t="n">
        <v>0</v>
      </c>
      <c r="T1084" s="11" t="n">
        <v>1</v>
      </c>
      <c r="U1084" s="5"/>
      <c r="V1084" s="11" t="n">
        <v>1</v>
      </c>
      <c r="W1084" s="11" t="n">
        <v>1</v>
      </c>
      <c r="X1084" s="5"/>
      <c r="Y1084" s="5"/>
      <c r="Z1084" s="5"/>
      <c r="AA1084" s="5"/>
      <c r="AB1084" s="11" t="n">
        <v>1</v>
      </c>
    </row>
    <row r="1085" customFormat="false" ht="15.75" hidden="false" customHeight="false" outlineLevel="0" collapsed="false">
      <c r="A1085" s="31" t="s">
        <v>2417</v>
      </c>
      <c r="B1085" s="5" t="s">
        <v>2418</v>
      </c>
      <c r="C1085" s="5" t="s">
        <v>938</v>
      </c>
      <c r="D1085" s="5"/>
      <c r="E1085" s="5"/>
      <c r="F1085" s="5"/>
      <c r="G1085" s="9" t="s">
        <v>2423</v>
      </c>
      <c r="H1085" s="5" t="n">
        <f aca="false">(COUNTIF(J1085:EC1085,"=0")+COUNTIF(J1085:EC1085,"=1"))</f>
        <v>9</v>
      </c>
      <c r="I1085" s="12" t="n">
        <f aca="false">IFERROR(ROUND(10-AVERAGE(J1085:EC1085)*10,0),0)</f>
        <v>8</v>
      </c>
      <c r="J1085" s="11" t="n">
        <v>1</v>
      </c>
      <c r="K1085" s="11" t="n">
        <v>0</v>
      </c>
      <c r="L1085" s="5"/>
      <c r="M1085" s="5"/>
      <c r="N1085" s="5"/>
      <c r="O1085" s="11" t="n">
        <v>0</v>
      </c>
      <c r="P1085" s="11" t="n">
        <v>1</v>
      </c>
      <c r="Q1085" s="11" t="n">
        <v>0</v>
      </c>
      <c r="R1085" s="5"/>
      <c r="S1085" s="11" t="n">
        <v>0</v>
      </c>
      <c r="T1085" s="11" t="n">
        <v>0</v>
      </c>
      <c r="U1085" s="5"/>
      <c r="V1085" s="11" t="n">
        <v>0</v>
      </c>
      <c r="W1085" s="11" t="n">
        <v>0</v>
      </c>
      <c r="X1085" s="5"/>
      <c r="Y1085" s="5"/>
      <c r="Z1085" s="5"/>
      <c r="AA1085" s="5"/>
      <c r="AB1085" s="5"/>
    </row>
    <row r="1086" customFormat="false" ht="15.75" hidden="false" customHeight="false" outlineLevel="0" collapsed="false">
      <c r="A1086" s="31" t="s">
        <v>2417</v>
      </c>
      <c r="B1086" s="5" t="s">
        <v>2418</v>
      </c>
      <c r="C1086" s="5" t="s">
        <v>2424</v>
      </c>
      <c r="D1086" s="5" t="s">
        <v>1512</v>
      </c>
      <c r="E1086" s="5"/>
      <c r="F1086" s="5"/>
      <c r="G1086" s="5"/>
      <c r="H1086" s="5" t="n">
        <f aca="false">(COUNTIF(J1086:EC1086,"=0")+COUNTIF(J1086:EC1086,"=1"))</f>
        <v>4</v>
      </c>
      <c r="I1086" s="12" t="n">
        <f aca="false">IFERROR(ROUND(10-AVERAGE(J1086:EC1086)*10,0),0)</f>
        <v>3</v>
      </c>
      <c r="J1086" s="11" t="n">
        <v>1</v>
      </c>
      <c r="K1086" s="11" t="n">
        <v>1</v>
      </c>
      <c r="L1086" s="5"/>
      <c r="M1086" s="5"/>
      <c r="N1086" s="5"/>
      <c r="O1086" s="11"/>
      <c r="P1086" s="11" t="n">
        <v>1</v>
      </c>
      <c r="Q1086" s="11" t="n">
        <v>0</v>
      </c>
      <c r="R1086" s="5"/>
      <c r="S1086" s="11"/>
      <c r="T1086" s="11"/>
      <c r="U1086" s="5"/>
      <c r="V1086" s="11"/>
      <c r="W1086" s="11"/>
      <c r="X1086" s="5"/>
      <c r="Y1086" s="5"/>
      <c r="Z1086" s="5"/>
      <c r="AA1086" s="5"/>
      <c r="AB1086" s="5"/>
    </row>
    <row r="1087" customFormat="false" ht="15.75" hidden="false" customHeight="false" outlineLevel="0" collapsed="false">
      <c r="A1087" s="31" t="s">
        <v>2417</v>
      </c>
      <c r="B1087" s="5" t="s">
        <v>2425</v>
      </c>
      <c r="C1087" s="5" t="s">
        <v>2426</v>
      </c>
      <c r="D1087" s="5" t="s">
        <v>1402</v>
      </c>
      <c r="E1087" s="5"/>
      <c r="F1087" s="5"/>
      <c r="G1087" s="5"/>
      <c r="H1087" s="5" t="n">
        <f aca="false">(COUNTIF(J1087:EC1087,"=0")+COUNTIF(J1087:EC1087,"=1"))</f>
        <v>1</v>
      </c>
      <c r="I1087" s="21" t="n">
        <f aca="false">IFERROR(ROUND(10-AVERAGE(J1087:EC1087)*10,0),0)</f>
        <v>0</v>
      </c>
      <c r="J1087" s="11"/>
      <c r="K1087" s="11"/>
      <c r="L1087" s="5"/>
      <c r="M1087" s="5"/>
      <c r="N1087" s="5"/>
      <c r="O1087" s="11"/>
      <c r="P1087" s="11" t="n">
        <v>1</v>
      </c>
      <c r="Q1087" s="11"/>
      <c r="R1087" s="5"/>
      <c r="S1087" s="11"/>
      <c r="T1087" s="11"/>
      <c r="U1087" s="5"/>
      <c r="V1087" s="11"/>
      <c r="W1087" s="11"/>
      <c r="X1087" s="5"/>
      <c r="Y1087" s="5"/>
      <c r="Z1087" s="5"/>
      <c r="AA1087" s="5"/>
      <c r="AB1087" s="5"/>
      <c r="AE1087" s="5"/>
    </row>
    <row r="1088" customFormat="false" ht="15.75" hidden="false" customHeight="false" outlineLevel="0" collapsed="false">
      <c r="A1088" s="31" t="s">
        <v>2417</v>
      </c>
      <c r="B1088" s="5" t="s">
        <v>2425</v>
      </c>
      <c r="C1088" s="5" t="s">
        <v>938</v>
      </c>
      <c r="D1088" s="5"/>
      <c r="E1088" s="5"/>
      <c r="F1088" s="5"/>
      <c r="G1088" s="14" t="s">
        <v>2427</v>
      </c>
      <c r="H1088" s="5" t="n">
        <f aca="false">(COUNTIF(J1088:EC1088,"=0")+COUNTIF(J1088:EC1088,"=1"))</f>
        <v>10</v>
      </c>
      <c r="I1088" s="21" t="n">
        <f aca="false">IFERROR(ROUND(10-AVERAGE(J1088:EC1088)*10,0),0)</f>
        <v>4</v>
      </c>
      <c r="J1088" s="11" t="n">
        <v>1</v>
      </c>
      <c r="K1088" s="11" t="n">
        <v>1</v>
      </c>
      <c r="L1088" s="5"/>
      <c r="M1088" s="5"/>
      <c r="N1088" s="5"/>
      <c r="O1088" s="11" t="n">
        <v>0</v>
      </c>
      <c r="P1088" s="11" t="n">
        <v>1</v>
      </c>
      <c r="Q1088" s="11" t="n">
        <v>1</v>
      </c>
      <c r="R1088" s="5"/>
      <c r="S1088" s="11" t="n">
        <v>0</v>
      </c>
      <c r="T1088" s="11" t="n">
        <v>0</v>
      </c>
      <c r="U1088" s="5"/>
      <c r="V1088" s="11" t="n">
        <v>1</v>
      </c>
      <c r="W1088" s="11" t="n">
        <v>1</v>
      </c>
      <c r="X1088" s="5"/>
      <c r="Y1088" s="5"/>
      <c r="Z1088" s="5"/>
      <c r="AA1088" s="5"/>
      <c r="AB1088" s="5"/>
      <c r="AE1088" s="5" t="n">
        <v>0</v>
      </c>
    </row>
    <row r="1089" customFormat="false" ht="15.75" hidden="false" customHeight="false" outlineLevel="0" collapsed="false">
      <c r="A1089" s="5" t="s">
        <v>2417</v>
      </c>
      <c r="B1089" s="5" t="s">
        <v>2428</v>
      </c>
      <c r="C1089" s="5" t="s">
        <v>2429</v>
      </c>
      <c r="D1089" s="5"/>
      <c r="E1089" s="5"/>
      <c r="F1089" s="5"/>
      <c r="G1089" s="9" t="s">
        <v>2430</v>
      </c>
      <c r="H1089" s="5" t="n">
        <f aca="false">(COUNTIF(J1089:EC1089,"=0")+COUNTIF(J1089:EC1089,"=1"))</f>
        <v>5</v>
      </c>
      <c r="I1089" s="19" t="n">
        <f aca="false">IFERROR(ROUND(10-AVERAGE(J1089:EC1089)*10,0),0)</f>
        <v>6</v>
      </c>
      <c r="J1089" s="11" t="n">
        <v>1</v>
      </c>
      <c r="K1089" s="11" t="n">
        <v>0</v>
      </c>
      <c r="L1089" s="5"/>
      <c r="M1089" s="5"/>
      <c r="N1089" s="5"/>
      <c r="O1089" s="5"/>
      <c r="P1089" s="11" t="n">
        <v>1</v>
      </c>
      <c r="Q1089" s="5" t="n">
        <v>0</v>
      </c>
      <c r="R1089" s="5"/>
      <c r="S1089" s="5"/>
      <c r="T1089" s="5"/>
      <c r="U1089" s="5"/>
      <c r="V1089" s="5"/>
      <c r="W1089" s="5"/>
      <c r="X1089" s="5"/>
      <c r="Y1089" s="5"/>
      <c r="Z1089" s="11" t="n">
        <v>0</v>
      </c>
      <c r="AA1089" s="5"/>
      <c r="AB1089" s="5"/>
    </row>
    <row r="1090" customFormat="false" ht="15.75" hidden="false" customHeight="false" outlineLevel="0" collapsed="false">
      <c r="A1090" s="31" t="s">
        <v>2417</v>
      </c>
      <c r="B1090" s="5" t="s">
        <v>2428</v>
      </c>
      <c r="C1090" s="5" t="s">
        <v>2431</v>
      </c>
      <c r="D1090" s="5"/>
      <c r="E1090" s="5"/>
      <c r="F1090" s="5"/>
      <c r="G1090" s="9" t="s">
        <v>2432</v>
      </c>
      <c r="H1090" s="5" t="n">
        <f aca="false">(COUNTIF(J1090:EC1090,"=0")+COUNTIF(J1090:EC1090,"=1"))</f>
        <v>13</v>
      </c>
      <c r="I1090" s="13" t="n">
        <f aca="false">IFERROR(ROUND(10-AVERAGE(J1090:EC1090)*10,0),0)</f>
        <v>2</v>
      </c>
      <c r="J1090" s="11" t="n">
        <v>1</v>
      </c>
      <c r="K1090" s="11" t="n">
        <v>1</v>
      </c>
      <c r="L1090" s="11" t="n">
        <v>1</v>
      </c>
      <c r="M1090" s="5"/>
      <c r="N1090" s="5"/>
      <c r="O1090" s="11" t="n">
        <v>1</v>
      </c>
      <c r="P1090" s="11" t="n">
        <v>1</v>
      </c>
      <c r="Q1090" s="11" t="n">
        <v>1</v>
      </c>
      <c r="R1090" s="11" t="n">
        <v>1</v>
      </c>
      <c r="S1090" s="11" t="n">
        <v>1</v>
      </c>
      <c r="T1090" s="11" t="n">
        <v>1</v>
      </c>
      <c r="U1090" s="5"/>
      <c r="V1090" s="11" t="n">
        <v>1</v>
      </c>
      <c r="W1090" s="11" t="n">
        <v>1</v>
      </c>
      <c r="X1090" s="5"/>
      <c r="Y1090" s="5"/>
      <c r="Z1090" s="5"/>
      <c r="AA1090" s="11" t="n">
        <v>0</v>
      </c>
      <c r="AB1090" s="11" t="n">
        <v>0</v>
      </c>
    </row>
    <row r="1091" customFormat="false" ht="15.75" hidden="false" customHeight="false" outlineLevel="0" collapsed="false">
      <c r="A1091" s="5" t="s">
        <v>2433</v>
      </c>
      <c r="B1091" s="5" t="s">
        <v>2434</v>
      </c>
      <c r="C1091" s="5" t="s">
        <v>2435</v>
      </c>
      <c r="D1091" s="5"/>
      <c r="E1091" s="5"/>
      <c r="G1091" s="5"/>
      <c r="H1091" s="5" t="n">
        <f aca="false">(COUNTIF(J1091:EC1091,"=0")+COUNTIF(J1091:EC1091,"=1"))</f>
        <v>3</v>
      </c>
      <c r="I1091" s="19" t="n">
        <f aca="false">IFERROR(ROUND(10-AVERAGE(J1091:EC1091)*10,0),0)</f>
        <v>3</v>
      </c>
      <c r="J1091" s="5" t="n">
        <v>1</v>
      </c>
      <c r="K1091" s="11" t="n">
        <v>0</v>
      </c>
      <c r="L1091" s="5"/>
      <c r="M1091" s="5"/>
      <c r="N1091" s="5"/>
      <c r="O1091" s="5"/>
      <c r="P1091" s="11" t="n">
        <v>1</v>
      </c>
      <c r="Q1091" s="5"/>
      <c r="R1091" s="5"/>
      <c r="S1091" s="5"/>
      <c r="T1091" s="11"/>
      <c r="U1091" s="5"/>
      <c r="V1091" s="5"/>
      <c r="W1091" s="5"/>
      <c r="X1091" s="5"/>
      <c r="Y1091" s="5"/>
      <c r="Z1091" s="5"/>
      <c r="AA1091" s="11"/>
      <c r="AB1091" s="5"/>
    </row>
    <row r="1092" customFormat="false" ht="15.75" hidden="false" customHeight="false" outlineLevel="0" collapsed="false">
      <c r="A1092" s="5" t="s">
        <v>2433</v>
      </c>
      <c r="B1092" s="5" t="s">
        <v>2436</v>
      </c>
      <c r="C1092" s="5" t="s">
        <v>2437</v>
      </c>
      <c r="D1092" s="25"/>
      <c r="E1092" s="5"/>
      <c r="F1092" s="5"/>
      <c r="G1092" s="5"/>
      <c r="H1092" s="5" t="n">
        <f aca="false">(COUNTIF(J1092:EC1092,"=0")+COUNTIF(J1092:EC1092,"=1"))</f>
        <v>5</v>
      </c>
      <c r="I1092" s="13" t="n">
        <f aca="false">IFERROR(ROUND(10-AVERAGE(J1092:EC1092)*10,0),0)</f>
        <v>2</v>
      </c>
      <c r="J1092" s="5" t="n">
        <v>1</v>
      </c>
      <c r="K1092" s="11" t="n">
        <v>0</v>
      </c>
      <c r="L1092" s="5"/>
      <c r="M1092" s="5"/>
      <c r="N1092" s="5"/>
      <c r="O1092" s="5"/>
      <c r="P1092" s="5" t="n">
        <v>1</v>
      </c>
      <c r="Q1092" s="5" t="n">
        <v>1</v>
      </c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 t="n">
        <v>1</v>
      </c>
    </row>
    <row r="1093" customFormat="false" ht="15.75" hidden="false" customHeight="false" outlineLevel="0" collapsed="false">
      <c r="A1093" s="5" t="s">
        <v>2433</v>
      </c>
      <c r="B1093" s="5" t="s">
        <v>2436</v>
      </c>
      <c r="C1093" s="5" t="s">
        <v>2438</v>
      </c>
      <c r="D1093" s="5"/>
      <c r="E1093" s="5"/>
      <c r="F1093" s="5"/>
      <c r="G1093" s="5"/>
      <c r="H1093" s="5" t="n">
        <f aca="false">(COUNTIF(J1093:EC1093,"=0")+COUNTIF(J1093:EC1093,"=1"))</f>
        <v>4</v>
      </c>
      <c r="I1093" s="13" t="n">
        <f aca="false">IFERROR(ROUND(10-AVERAGE(J1093:EC1093)*10,0),0)</f>
        <v>5</v>
      </c>
      <c r="J1093" s="5" t="n">
        <v>1</v>
      </c>
      <c r="K1093" s="11" t="n">
        <v>0</v>
      </c>
      <c r="L1093" s="5"/>
      <c r="M1093" s="5"/>
      <c r="N1093" s="5"/>
      <c r="O1093" s="5"/>
      <c r="P1093" s="5" t="n">
        <v>1</v>
      </c>
      <c r="Q1093" s="5" t="n">
        <v>0</v>
      </c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customFormat="false" ht="15.75" hidden="false" customHeight="false" outlineLevel="0" collapsed="false">
      <c r="A1094" s="5" t="s">
        <v>2433</v>
      </c>
      <c r="B1094" s="5" t="s">
        <v>2436</v>
      </c>
      <c r="C1094" s="5" t="s">
        <v>323</v>
      </c>
      <c r="D1094" s="5"/>
      <c r="E1094" s="5"/>
      <c r="F1094" s="5"/>
      <c r="G1094" s="5"/>
      <c r="H1094" s="5" t="n">
        <f aca="false">(COUNTIF(J1094:EC1094,"=0")+COUNTIF(J1094:EC1094,"=1"))</f>
        <v>5</v>
      </c>
      <c r="I1094" s="13" t="n">
        <f aca="false">IFERROR(ROUND(10-AVERAGE(J1094:EC1094)*10,0),0)</f>
        <v>2</v>
      </c>
      <c r="J1094" s="5" t="n">
        <v>1</v>
      </c>
      <c r="K1094" s="11" t="n">
        <v>0</v>
      </c>
      <c r="L1094" s="5"/>
      <c r="M1094" s="5"/>
      <c r="N1094" s="5"/>
      <c r="O1094" s="5" t="n">
        <v>1</v>
      </c>
      <c r="P1094" s="5" t="n">
        <v>1</v>
      </c>
      <c r="Q1094" s="5" t="n">
        <v>1</v>
      </c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customFormat="false" ht="15.75" hidden="false" customHeight="false" outlineLevel="0" collapsed="false">
      <c r="A1095" s="5" t="s">
        <v>2433</v>
      </c>
      <c r="B1095" s="5" t="s">
        <v>2439</v>
      </c>
      <c r="C1095" s="5" t="s">
        <v>1922</v>
      </c>
      <c r="D1095" s="5"/>
      <c r="E1095" s="5"/>
      <c r="F1095" s="5"/>
      <c r="G1095" s="5"/>
      <c r="H1095" s="5" t="n">
        <f aca="false">(COUNTIF(J1095:EC1095,"=0")+COUNTIF(J1095:EC1095,"=1"))</f>
        <v>7</v>
      </c>
      <c r="I1095" s="18" t="n">
        <f aca="false">IFERROR(ROUND(10-AVERAGE(J1095:EC1095)*10,0),0)</f>
        <v>3</v>
      </c>
      <c r="J1095" s="5" t="n">
        <v>1</v>
      </c>
      <c r="K1095" s="11" t="n">
        <v>0</v>
      </c>
      <c r="L1095" s="5"/>
      <c r="M1095" s="5"/>
      <c r="N1095" s="5"/>
      <c r="O1095" s="5" t="n">
        <v>1</v>
      </c>
      <c r="P1095" s="5" t="n">
        <v>1</v>
      </c>
      <c r="Q1095" s="5" t="n">
        <v>1</v>
      </c>
      <c r="R1095" s="5"/>
      <c r="S1095" s="5"/>
      <c r="T1095" s="5"/>
      <c r="U1095" s="11" t="n">
        <v>1</v>
      </c>
      <c r="V1095" s="5"/>
      <c r="W1095" s="5"/>
      <c r="X1095" s="5"/>
      <c r="Y1095" s="5"/>
      <c r="Z1095" s="5"/>
      <c r="AA1095" s="5"/>
      <c r="AB1095" s="5"/>
      <c r="AE1095" s="5" t="n">
        <v>0</v>
      </c>
    </row>
    <row r="1096" customFormat="false" ht="15.75" hidden="false" customHeight="false" outlineLevel="0" collapsed="false">
      <c r="A1096" s="5" t="s">
        <v>2433</v>
      </c>
      <c r="B1096" s="5" t="s">
        <v>2439</v>
      </c>
      <c r="C1096" s="5" t="s">
        <v>551</v>
      </c>
      <c r="D1096" s="5"/>
      <c r="E1096" s="5"/>
      <c r="F1096" s="5"/>
      <c r="G1096" s="9" t="s">
        <v>2440</v>
      </c>
      <c r="H1096" s="5" t="n">
        <f aca="false">(COUNTIF(J1096:EC1096,"=0")+COUNTIF(J1096:EC1096,"=1"))</f>
        <v>6</v>
      </c>
      <c r="I1096" s="19" t="n">
        <f aca="false">IFERROR(ROUND(10-AVERAGE(J1096:EC1096)*10,0),0)</f>
        <v>3</v>
      </c>
      <c r="J1096" s="5" t="n">
        <v>1</v>
      </c>
      <c r="K1096" s="11" t="n">
        <v>0</v>
      </c>
      <c r="L1096" s="5"/>
      <c r="M1096" s="5"/>
      <c r="N1096" s="5"/>
      <c r="O1096" s="5"/>
      <c r="P1096" s="11" t="n">
        <v>1</v>
      </c>
      <c r="Q1096" s="5" t="n">
        <v>1</v>
      </c>
      <c r="R1096" s="5"/>
      <c r="S1096" s="5"/>
      <c r="T1096" s="11" t="n">
        <v>1</v>
      </c>
      <c r="U1096" s="5"/>
      <c r="V1096" s="5"/>
      <c r="W1096" s="5"/>
      <c r="X1096" s="5"/>
      <c r="Y1096" s="5"/>
      <c r="Z1096" s="5"/>
      <c r="AA1096" s="11" t="n">
        <v>0</v>
      </c>
      <c r="AB1096" s="5"/>
    </row>
    <row r="1097" customFormat="false" ht="15.75" hidden="false" customHeight="false" outlineLevel="0" collapsed="false">
      <c r="A1097" s="5" t="s">
        <v>2441</v>
      </c>
      <c r="B1097" s="5" t="s">
        <v>2442</v>
      </c>
      <c r="C1097" s="5" t="s">
        <v>2443</v>
      </c>
      <c r="D1097" s="5"/>
      <c r="E1097" s="14" t="s">
        <v>2444</v>
      </c>
      <c r="F1097" s="5"/>
      <c r="G1097" s="5"/>
      <c r="H1097" s="5" t="n">
        <f aca="false">(COUNTIF(J1097:EC1097,"=0")+COUNTIF(J1097:EC1097,"=1"))</f>
        <v>2</v>
      </c>
      <c r="I1097" s="15" t="n">
        <f aca="false">IFERROR(ROUND(10-AVERAGE(J1097:EC1097)*10,0),0)</f>
        <v>5</v>
      </c>
      <c r="J1097" s="5"/>
      <c r="K1097" s="5"/>
      <c r="L1097" s="5"/>
      <c r="M1097" s="5"/>
      <c r="N1097" s="5"/>
      <c r="O1097" s="5"/>
      <c r="P1097" s="5" t="n">
        <v>0</v>
      </c>
      <c r="Q1097" s="5"/>
      <c r="R1097" s="5"/>
      <c r="S1097" s="5" t="n">
        <v>1</v>
      </c>
      <c r="T1097" s="5"/>
      <c r="U1097" s="5"/>
      <c r="V1097" s="5"/>
      <c r="W1097" s="5"/>
      <c r="X1097" s="5"/>
      <c r="Y1097" s="5"/>
      <c r="Z1097" s="5"/>
      <c r="AA1097" s="5"/>
      <c r="AB1097" s="5"/>
    </row>
    <row r="1098" customFormat="false" ht="15.75" hidden="false" customHeight="false" outlineLevel="0" collapsed="false">
      <c r="A1098" s="5" t="s">
        <v>2445</v>
      </c>
      <c r="B1098" s="5" t="s">
        <v>2445</v>
      </c>
      <c r="C1098" s="5" t="s">
        <v>79</v>
      </c>
      <c r="D1098" s="5"/>
      <c r="E1098" s="5"/>
      <c r="F1098" s="5"/>
      <c r="G1098" s="9" t="s">
        <v>2446</v>
      </c>
      <c r="H1098" s="5" t="n">
        <f aca="false">(COUNTIF(J1098:EC1098,"=0")+COUNTIF(J1098:EC1098,"=1"))</f>
        <v>7</v>
      </c>
      <c r="I1098" s="12" t="n">
        <f aca="false">IFERROR(ROUND(10-AVERAGE(J1098:EC1098)*10,0),0)</f>
        <v>7</v>
      </c>
      <c r="J1098" s="11" t="n">
        <v>0</v>
      </c>
      <c r="K1098" s="11" t="n">
        <v>0</v>
      </c>
      <c r="L1098" s="5"/>
      <c r="M1098" s="5"/>
      <c r="N1098" s="5"/>
      <c r="O1098" s="5"/>
      <c r="P1098" s="11" t="n">
        <v>0</v>
      </c>
      <c r="Q1098" s="11" t="n">
        <v>0</v>
      </c>
      <c r="R1098" s="5"/>
      <c r="S1098" s="11" t="n">
        <v>1</v>
      </c>
      <c r="T1098" s="5"/>
      <c r="U1098" s="5"/>
      <c r="V1098" s="5"/>
      <c r="W1098" s="5"/>
      <c r="X1098" s="5"/>
      <c r="Y1098" s="5"/>
      <c r="Z1098" s="11" t="n">
        <v>0</v>
      </c>
      <c r="AA1098" s="5"/>
      <c r="AB1098" s="5"/>
      <c r="AF1098" s="5" t="n">
        <v>1</v>
      </c>
    </row>
    <row r="1099" customFormat="false" ht="15.75" hidden="false" customHeight="false" outlineLevel="0" collapsed="false">
      <c r="A1099" s="5" t="s">
        <v>2447</v>
      </c>
      <c r="B1099" s="5" t="s">
        <v>2448</v>
      </c>
      <c r="C1099" s="5" t="s">
        <v>2449</v>
      </c>
      <c r="D1099" s="5"/>
      <c r="E1099" s="5"/>
      <c r="F1099" s="5"/>
      <c r="G1099" s="9" t="s">
        <v>2450</v>
      </c>
      <c r="H1099" s="5" t="n">
        <f aca="false">(COUNTIF(J1099:EC1099,"=0")+COUNTIF(J1099:EC1099,"=1"))</f>
        <v>4</v>
      </c>
      <c r="I1099" s="10" t="n">
        <f aca="false">IFERROR(ROUND(10-AVERAGE(J1099:EC1099)*10,0),0)</f>
        <v>10</v>
      </c>
      <c r="J1099" s="5" t="n">
        <v>0</v>
      </c>
      <c r="K1099" s="11" t="n">
        <v>0</v>
      </c>
      <c r="L1099" s="5"/>
      <c r="M1099" s="5"/>
      <c r="N1099" s="5"/>
      <c r="O1099" s="5"/>
      <c r="P1099" s="11" t="n">
        <v>0</v>
      </c>
      <c r="Q1099" s="5"/>
      <c r="R1099" s="5"/>
      <c r="S1099" s="5"/>
      <c r="T1099" s="5"/>
      <c r="U1099" s="5"/>
      <c r="V1099" s="5"/>
      <c r="W1099" s="5"/>
      <c r="X1099" s="5"/>
      <c r="Y1099" s="5"/>
      <c r="Z1099" s="11" t="n">
        <v>0</v>
      </c>
      <c r="AA1099" s="5"/>
      <c r="AB1099" s="5"/>
    </row>
    <row r="1100" customFormat="false" ht="15.75" hidden="false" customHeight="false" outlineLevel="0" collapsed="false">
      <c r="A1100" s="5" t="s">
        <v>2447</v>
      </c>
      <c r="B1100" s="5" t="s">
        <v>2448</v>
      </c>
      <c r="C1100" s="5" t="s">
        <v>87</v>
      </c>
      <c r="D1100" s="25"/>
      <c r="E1100" s="5"/>
      <c r="F1100" s="5"/>
      <c r="G1100" s="9" t="s">
        <v>2451</v>
      </c>
      <c r="H1100" s="5" t="n">
        <f aca="false">(COUNTIF(J1100:EC1100,"=0")+COUNTIF(J1100:EC1100,"=1"))</f>
        <v>6</v>
      </c>
      <c r="I1100" s="21" t="n">
        <f aca="false">IFERROR(ROUND(10-AVERAGE(J1100:EC1100)*10,0),0)</f>
        <v>2</v>
      </c>
      <c r="J1100" s="5" t="n">
        <v>1</v>
      </c>
      <c r="K1100" s="11" t="n">
        <v>0</v>
      </c>
      <c r="L1100" s="5"/>
      <c r="M1100" s="5"/>
      <c r="N1100" s="5"/>
      <c r="O1100" s="5" t="n">
        <v>1</v>
      </c>
      <c r="P1100" s="11" t="n">
        <v>1</v>
      </c>
      <c r="Q1100" s="5" t="n">
        <v>1</v>
      </c>
      <c r="R1100" s="5"/>
      <c r="S1100" s="5"/>
      <c r="T1100" s="5"/>
      <c r="U1100" s="5"/>
      <c r="V1100" s="5"/>
      <c r="W1100" s="5"/>
      <c r="X1100" s="5"/>
      <c r="Y1100" s="5"/>
      <c r="Z1100" s="11" t="n">
        <v>1</v>
      </c>
      <c r="AA1100" s="5"/>
      <c r="AB1100" s="5"/>
    </row>
    <row r="1101" customFormat="false" ht="15.75" hidden="false" customHeight="false" outlineLevel="0" collapsed="false">
      <c r="A1101" s="5" t="s">
        <v>2447</v>
      </c>
      <c r="B1101" s="5" t="s">
        <v>2448</v>
      </c>
      <c r="C1101" s="5" t="s">
        <v>2452</v>
      </c>
      <c r="D1101" s="5"/>
      <c r="E1101" s="5"/>
      <c r="F1101" s="5"/>
      <c r="G1101" s="5"/>
      <c r="H1101" s="5" t="n">
        <f aca="false">(COUNTIF(J1101:EC1101,"=0")+COUNTIF(J1101:EC1101,"=1"))</f>
        <v>5</v>
      </c>
      <c r="I1101" s="16" t="n">
        <f aca="false">IFERROR(ROUND(10-AVERAGE(J1101:EC1101)*10,0),0)</f>
        <v>8</v>
      </c>
      <c r="J1101" s="5" t="n">
        <v>0</v>
      </c>
      <c r="K1101" s="11" t="n">
        <v>0</v>
      </c>
      <c r="L1101" s="5"/>
      <c r="M1101" s="5"/>
      <c r="N1101" s="5"/>
      <c r="O1101" s="5"/>
      <c r="P1101" s="11" t="n">
        <v>0</v>
      </c>
      <c r="Q1101" s="5"/>
      <c r="R1101" s="5"/>
      <c r="S1101" s="5" t="n">
        <v>0</v>
      </c>
      <c r="T1101" s="5"/>
      <c r="U1101" s="5"/>
      <c r="V1101" s="5"/>
      <c r="W1101" s="5"/>
      <c r="X1101" s="5"/>
      <c r="Y1101" s="5"/>
      <c r="Z1101" s="11" t="n">
        <v>1</v>
      </c>
      <c r="AA1101" s="5"/>
      <c r="AB1101" s="5"/>
    </row>
    <row r="1102" customFormat="false" ht="15.75" hidden="false" customHeight="false" outlineLevel="0" collapsed="false">
      <c r="A1102" s="5" t="s">
        <v>2447</v>
      </c>
      <c r="B1102" s="5" t="s">
        <v>2448</v>
      </c>
      <c r="C1102" s="5" t="s">
        <v>2453</v>
      </c>
      <c r="D1102" s="25"/>
      <c r="E1102" s="5"/>
      <c r="F1102" s="5"/>
      <c r="G1102" s="9" t="s">
        <v>2454</v>
      </c>
      <c r="H1102" s="5" t="n">
        <f aca="false">(COUNTIF(J1102:EC1102,"=0")+COUNTIF(J1102:EC1102,"=1"))</f>
        <v>6</v>
      </c>
      <c r="I1102" s="10" t="n">
        <f aca="false">IFERROR(ROUND(10-AVERAGE(J1102:EC1102)*10,0),0)</f>
        <v>10</v>
      </c>
      <c r="J1102" s="5" t="n">
        <v>0</v>
      </c>
      <c r="K1102" s="11" t="n">
        <v>0</v>
      </c>
      <c r="L1102" s="5"/>
      <c r="M1102" s="5"/>
      <c r="N1102" s="5"/>
      <c r="O1102" s="5"/>
      <c r="P1102" s="11" t="n">
        <v>0</v>
      </c>
      <c r="Q1102" s="5"/>
      <c r="R1102" s="5"/>
      <c r="S1102" s="5"/>
      <c r="T1102" s="5"/>
      <c r="U1102" s="5"/>
      <c r="V1102" s="5"/>
      <c r="W1102" s="5" t="n">
        <v>0</v>
      </c>
      <c r="X1102" s="5"/>
      <c r="Y1102" s="5"/>
      <c r="Z1102" s="11" t="n">
        <v>0</v>
      </c>
      <c r="AA1102" s="11" t="n">
        <v>0</v>
      </c>
      <c r="AB1102" s="5"/>
    </row>
    <row r="1103" customFormat="false" ht="15.75" hidden="false" customHeight="false" outlineLevel="0" collapsed="false">
      <c r="A1103" s="5" t="s">
        <v>2455</v>
      </c>
      <c r="B1103" s="5" t="s">
        <v>2455</v>
      </c>
      <c r="C1103" s="5" t="s">
        <v>2456</v>
      </c>
      <c r="D1103" s="5"/>
      <c r="E1103" s="5"/>
      <c r="F1103" s="5"/>
      <c r="G1103" s="9" t="s">
        <v>2457</v>
      </c>
      <c r="H1103" s="5" t="n">
        <f aca="false">(COUNTIF(J1103:EC1103,"=0")+COUNTIF(J1103:EC1103,"=1"))</f>
        <v>5</v>
      </c>
      <c r="I1103" s="16" t="n">
        <f aca="false">IFERROR(ROUND(10-AVERAGE(J1103:EC1103)*10,0),0)</f>
        <v>8</v>
      </c>
      <c r="J1103" s="5" t="n">
        <v>0</v>
      </c>
      <c r="K1103" s="11" t="n">
        <v>0</v>
      </c>
      <c r="L1103" s="5"/>
      <c r="M1103" s="5"/>
      <c r="N1103" s="5"/>
      <c r="O1103" s="5"/>
      <c r="P1103" s="11" t="n">
        <v>1</v>
      </c>
      <c r="Q1103" s="5" t="n">
        <v>0</v>
      </c>
      <c r="R1103" s="5"/>
      <c r="S1103" s="5"/>
      <c r="T1103" s="5"/>
      <c r="U1103" s="5"/>
      <c r="V1103" s="5"/>
      <c r="W1103" s="5"/>
      <c r="X1103" s="5"/>
      <c r="Y1103" s="5"/>
      <c r="Z1103" s="11" t="n">
        <v>0</v>
      </c>
      <c r="AA1103" s="5"/>
      <c r="AB1103" s="5"/>
    </row>
    <row r="1104" customFormat="false" ht="15.75" hidden="false" customHeight="false" outlineLevel="0" collapsed="false">
      <c r="A1104" s="5" t="s">
        <v>2458</v>
      </c>
      <c r="B1104" s="5" t="s">
        <v>2458</v>
      </c>
      <c r="C1104" s="5" t="s">
        <v>108</v>
      </c>
      <c r="D1104" s="5"/>
      <c r="E1104" s="5"/>
      <c r="F1104" s="5"/>
      <c r="G1104" s="5"/>
      <c r="H1104" s="5" t="n">
        <f aca="false">(COUNTIF(J1104:EC1104,"=0")+COUNTIF(J1104:EC1104,"=1"))</f>
        <v>8</v>
      </c>
      <c r="I1104" s="10" t="n">
        <f aca="false">IFERROR(ROUND(10-AVERAGE(J1104:EC1104)*10,0),0)</f>
        <v>10</v>
      </c>
      <c r="J1104" s="11" t="n">
        <v>0</v>
      </c>
      <c r="K1104" s="11" t="n">
        <v>0</v>
      </c>
      <c r="L1104" s="11" t="n">
        <v>0</v>
      </c>
      <c r="M1104" s="5"/>
      <c r="N1104" s="5"/>
      <c r="O1104" s="11" t="n">
        <v>0</v>
      </c>
      <c r="P1104" s="11" t="n">
        <v>0</v>
      </c>
      <c r="Q1104" s="11" t="n">
        <v>0</v>
      </c>
      <c r="R1104" s="5"/>
      <c r="S1104" s="11" t="n">
        <v>0</v>
      </c>
      <c r="T1104" s="11" t="n">
        <v>0</v>
      </c>
      <c r="U1104" s="5"/>
      <c r="V1104" s="5"/>
      <c r="W1104" s="5"/>
      <c r="X1104" s="5"/>
      <c r="Y1104" s="5"/>
      <c r="Z1104" s="5"/>
      <c r="AA1104" s="5"/>
      <c r="AB1104" s="5"/>
    </row>
    <row r="1105" customFormat="false" ht="15.75" hidden="false" customHeight="false" outlineLevel="0" collapsed="false">
      <c r="A1105" s="5" t="s">
        <v>2459</v>
      </c>
      <c r="B1105" s="5" t="s">
        <v>2460</v>
      </c>
      <c r="C1105" s="5" t="s">
        <v>2461</v>
      </c>
      <c r="D1105" s="5" t="s">
        <v>2462</v>
      </c>
      <c r="E1105" s="14" t="s">
        <v>2463</v>
      </c>
      <c r="F1105" s="5"/>
      <c r="G1105" s="5"/>
      <c r="H1105" s="5" t="n">
        <f aca="false">(COUNTIF(J1105:EC1105,"=0")+COUNTIF(J1105:EC1105,"=1"))</f>
        <v>1</v>
      </c>
      <c r="I1105" s="13" t="n">
        <f aca="false">IFERROR(ROUND(10-AVERAGE(J1105:EC1105)*10,0),0)</f>
        <v>0</v>
      </c>
      <c r="J1105" s="5"/>
      <c r="K1105" s="5"/>
      <c r="L1105" s="5"/>
      <c r="M1105" s="5"/>
      <c r="N1105" s="5"/>
      <c r="O1105" s="5"/>
      <c r="P1105" s="5" t="n">
        <v>1</v>
      </c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customFormat="false" ht="15.75" hidden="false" customHeight="false" outlineLevel="0" collapsed="false">
      <c r="A1106" s="5" t="s">
        <v>2459</v>
      </c>
      <c r="B1106" s="5" t="s">
        <v>2460</v>
      </c>
      <c r="C1106" s="5" t="s">
        <v>2464</v>
      </c>
      <c r="D1106" s="5"/>
      <c r="E1106" s="14" t="s">
        <v>2465</v>
      </c>
      <c r="F1106" s="5"/>
      <c r="G1106" s="5"/>
      <c r="H1106" s="5" t="n">
        <f aca="false">(COUNTIF(J1106:EC1106,"=0")+COUNTIF(J1106:EC1106,"=1"))</f>
        <v>1</v>
      </c>
      <c r="I1106" s="19" t="n">
        <f aca="false">IFERROR(ROUND(10-AVERAGE(J1106:EC1106)*10,0),0)</f>
        <v>0</v>
      </c>
      <c r="J1106" s="5"/>
      <c r="K1106" s="5"/>
      <c r="L1106" s="5"/>
      <c r="M1106" s="5"/>
      <c r="N1106" s="5"/>
      <c r="O1106" s="5"/>
      <c r="P1106" s="5" t="n">
        <v>1</v>
      </c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customFormat="false" ht="15.75" hidden="false" customHeight="false" outlineLevel="0" collapsed="false">
      <c r="A1107" s="5" t="s">
        <v>2459</v>
      </c>
      <c r="B1107" s="5" t="s">
        <v>2466</v>
      </c>
      <c r="C1107" s="5" t="s">
        <v>2467</v>
      </c>
      <c r="D1107" s="5"/>
      <c r="E1107" s="14" t="s">
        <v>2468</v>
      </c>
      <c r="F1107" s="5"/>
      <c r="G1107" s="5"/>
      <c r="H1107" s="5" t="n">
        <f aca="false">(COUNTIF(J1107:EC1107,"=0")+COUNTIF(J1107:EC1107,"=1"))</f>
        <v>2</v>
      </c>
      <c r="I1107" s="15" t="n">
        <f aca="false">IFERROR(ROUND(10-AVERAGE(J1107:EC1107)*10,0),0)</f>
        <v>5</v>
      </c>
      <c r="J1107" s="5"/>
      <c r="K1107" s="5"/>
      <c r="L1107" s="5"/>
      <c r="M1107" s="5"/>
      <c r="N1107" s="5"/>
      <c r="O1107" s="5"/>
      <c r="P1107" s="5" t="n">
        <v>0</v>
      </c>
      <c r="Q1107" s="5"/>
      <c r="R1107" s="5"/>
      <c r="S1107" s="5" t="n">
        <v>1</v>
      </c>
      <c r="T1107" s="5"/>
      <c r="U1107" s="5"/>
      <c r="V1107" s="5"/>
      <c r="W1107" s="5"/>
      <c r="X1107" s="5"/>
      <c r="Y1107" s="5"/>
      <c r="Z1107" s="5"/>
      <c r="AA1107" s="5"/>
      <c r="AB1107" s="5"/>
    </row>
    <row r="1108" customFormat="false" ht="15.75" hidden="false" customHeight="false" outlineLevel="0" collapsed="false">
      <c r="A1108" s="5" t="s">
        <v>2459</v>
      </c>
      <c r="B1108" s="5" t="s">
        <v>2466</v>
      </c>
      <c r="C1108" s="5" t="s">
        <v>2469</v>
      </c>
      <c r="D1108" s="5"/>
      <c r="E1108" s="14" t="s">
        <v>2470</v>
      </c>
      <c r="F1108" s="5"/>
      <c r="G1108" s="5"/>
      <c r="H1108" s="5" t="n">
        <f aca="false">(COUNTIF(J1108:EC1108,"=0")+COUNTIF(J1108:EC1108,"=1"))</f>
        <v>2</v>
      </c>
      <c r="I1108" s="15" t="n">
        <f aca="false">IFERROR(ROUND(10-AVERAGE(J1108:EC1108)*10,0),0)</f>
        <v>5</v>
      </c>
      <c r="J1108" s="5"/>
      <c r="K1108" s="5"/>
      <c r="L1108" s="5"/>
      <c r="M1108" s="5"/>
      <c r="N1108" s="5"/>
      <c r="O1108" s="5"/>
      <c r="P1108" s="5" t="n">
        <v>0</v>
      </c>
      <c r="Q1108" s="5"/>
      <c r="R1108" s="5"/>
      <c r="S1108" s="5" t="n">
        <v>1</v>
      </c>
      <c r="T1108" s="5"/>
      <c r="U1108" s="5"/>
      <c r="V1108" s="5"/>
      <c r="W1108" s="5"/>
      <c r="X1108" s="5"/>
      <c r="Y1108" s="5"/>
      <c r="Z1108" s="5"/>
      <c r="AA1108" s="5"/>
      <c r="AB1108" s="5"/>
    </row>
    <row r="1109" customFormat="false" ht="15.75" hidden="false" customHeight="false" outlineLevel="0" collapsed="false">
      <c r="A1109" s="5" t="s">
        <v>2459</v>
      </c>
      <c r="B1109" s="5" t="s">
        <v>2471</v>
      </c>
      <c r="C1109" s="5" t="s">
        <v>2472</v>
      </c>
      <c r="D1109" s="5"/>
      <c r="E1109" s="14" t="s">
        <v>2473</v>
      </c>
      <c r="F1109" s="5"/>
      <c r="G1109" s="14" t="s">
        <v>2474</v>
      </c>
      <c r="H1109" s="5" t="n">
        <f aca="false">(COUNTIF(J1109:EC1109,"=0")+COUNTIF(J1109:EC1109,"=1"))</f>
        <v>4</v>
      </c>
      <c r="I1109" s="12" t="n">
        <f aca="false">IFERROR(ROUND(10-AVERAGE(J1109:EC1109)*10,0),0)</f>
        <v>8</v>
      </c>
      <c r="J1109" s="11" t="n">
        <v>0</v>
      </c>
      <c r="K1109" s="11" t="n">
        <v>0</v>
      </c>
      <c r="L1109" s="5"/>
      <c r="M1109" s="5"/>
      <c r="N1109" s="5"/>
      <c r="O1109" s="5"/>
      <c r="P1109" s="11" t="n">
        <v>1</v>
      </c>
      <c r="Q1109" s="5"/>
      <c r="R1109" s="5"/>
      <c r="S1109" s="5"/>
      <c r="T1109" s="11" t="n">
        <v>0</v>
      </c>
      <c r="U1109" s="5"/>
      <c r="V1109" s="5"/>
      <c r="W1109" s="5"/>
      <c r="X1109" s="5"/>
      <c r="Y1109" s="5"/>
      <c r="Z1109" s="5"/>
      <c r="AA1109" s="5"/>
      <c r="AB1109" s="5"/>
    </row>
    <row r="1110" customFormat="false" ht="15.75" hidden="false" customHeight="false" outlineLevel="0" collapsed="false">
      <c r="A1110" s="5" t="s">
        <v>2459</v>
      </c>
      <c r="B1110" s="5" t="s">
        <v>2471</v>
      </c>
      <c r="C1110" s="5" t="s">
        <v>2475</v>
      </c>
      <c r="D1110" s="5"/>
      <c r="E1110" s="14" t="s">
        <v>2476</v>
      </c>
      <c r="F1110" s="5"/>
      <c r="G1110" s="14" t="s">
        <v>2477</v>
      </c>
      <c r="H1110" s="5" t="n">
        <f aca="false">(COUNTIF(J1110:EC1110,"=0")+COUNTIF(J1110:EC1110,"=1"))</f>
        <v>6</v>
      </c>
      <c r="I1110" s="12" t="n">
        <f aca="false">IFERROR(ROUND(10-AVERAGE(J1110:EC1110)*10,0),0)</f>
        <v>8</v>
      </c>
      <c r="J1110" s="11" t="n">
        <v>0</v>
      </c>
      <c r="K1110" s="11" t="n">
        <v>0</v>
      </c>
      <c r="L1110" s="5"/>
      <c r="M1110" s="5"/>
      <c r="N1110" s="5"/>
      <c r="O1110" s="5"/>
      <c r="P1110" s="11" t="n">
        <v>0</v>
      </c>
      <c r="Q1110" s="5"/>
      <c r="R1110" s="5"/>
      <c r="S1110" s="5"/>
      <c r="T1110" s="11" t="n">
        <v>0</v>
      </c>
      <c r="U1110" s="5"/>
      <c r="V1110" s="5"/>
      <c r="W1110" s="5"/>
      <c r="X1110" s="11" t="n">
        <v>1</v>
      </c>
      <c r="Y1110" s="5"/>
      <c r="Z1110" s="11" t="n">
        <v>0</v>
      </c>
      <c r="AA1110" s="5"/>
      <c r="AB1110" s="5"/>
    </row>
    <row r="1111" customFormat="false" ht="15.75" hidden="false" customHeight="false" outlineLevel="0" collapsed="false">
      <c r="A1111" s="5" t="s">
        <v>2459</v>
      </c>
      <c r="B1111" s="5" t="s">
        <v>2478</v>
      </c>
      <c r="C1111" s="5" t="s">
        <v>2479</v>
      </c>
      <c r="D1111" s="5"/>
      <c r="E1111" s="5"/>
      <c r="F1111" s="5"/>
      <c r="G1111" s="9" t="s">
        <v>2480</v>
      </c>
      <c r="H1111" s="5" t="n">
        <f aca="false">(COUNTIF(J1111:EC1111,"=0")+COUNTIF(J1111:EC1111,"=1"))</f>
        <v>7</v>
      </c>
      <c r="I1111" s="16" t="n">
        <f aca="false">IFERROR(ROUND(10-AVERAGE(J1111:EC1111)*10,0),0)</f>
        <v>9</v>
      </c>
      <c r="J1111" s="5" t="n">
        <v>0</v>
      </c>
      <c r="K1111" s="11" t="n">
        <v>0</v>
      </c>
      <c r="L1111" s="5"/>
      <c r="M1111" s="5"/>
      <c r="N1111" s="5"/>
      <c r="O1111" s="5"/>
      <c r="P1111" s="11" t="n">
        <v>0</v>
      </c>
      <c r="Q1111" s="5" t="n">
        <v>0</v>
      </c>
      <c r="R1111" s="5"/>
      <c r="S1111" s="11" t="n">
        <v>1</v>
      </c>
      <c r="T1111" s="5"/>
      <c r="U1111" s="5"/>
      <c r="V1111" s="5"/>
      <c r="W1111" s="5" t="n">
        <v>0</v>
      </c>
      <c r="X1111" s="5"/>
      <c r="Y1111" s="5"/>
      <c r="Z1111" s="5"/>
      <c r="AA1111" s="5"/>
      <c r="AB1111" s="5"/>
      <c r="AD1111" s="5" t="n">
        <v>0</v>
      </c>
    </row>
    <row r="1112" customFormat="false" ht="15.75" hidden="false" customHeight="false" outlineLevel="0" collapsed="false">
      <c r="A1112" s="5" t="s">
        <v>2459</v>
      </c>
      <c r="B1112" s="5" t="s">
        <v>2481</v>
      </c>
      <c r="C1112" s="5" t="s">
        <v>2482</v>
      </c>
      <c r="D1112" s="5"/>
      <c r="E1112" s="5"/>
      <c r="F1112" s="5"/>
      <c r="G1112" s="9" t="s">
        <v>2483</v>
      </c>
      <c r="H1112" s="5" t="n">
        <f aca="false">(COUNTIF(J1112:EC1112,"=0")+COUNTIF(J1112:EC1112,"=1"))</f>
        <v>4</v>
      </c>
      <c r="I1112" s="21" t="n">
        <f aca="false">IFERROR(ROUND(10-AVERAGE(J1112:EC1112)*10,0),0)</f>
        <v>3</v>
      </c>
      <c r="J1112" s="5" t="n">
        <v>1</v>
      </c>
      <c r="K1112" s="11" t="n">
        <v>0</v>
      </c>
      <c r="L1112" s="5"/>
      <c r="M1112" s="5"/>
      <c r="N1112" s="5"/>
      <c r="O1112" s="5"/>
      <c r="P1112" s="11" t="n">
        <v>1</v>
      </c>
      <c r="Q1112" s="5"/>
      <c r="R1112" s="5"/>
      <c r="S1112" s="11" t="n">
        <v>1</v>
      </c>
      <c r="T1112" s="5"/>
      <c r="U1112" s="5"/>
      <c r="V1112" s="5"/>
      <c r="W1112" s="5"/>
      <c r="X1112" s="5"/>
      <c r="Y1112" s="5"/>
      <c r="Z1112" s="5"/>
      <c r="AA1112" s="5"/>
      <c r="AB1112" s="5"/>
    </row>
    <row r="1113" customFormat="false" ht="15.75" hidden="false" customHeight="false" outlineLevel="0" collapsed="false">
      <c r="A1113" s="5" t="s">
        <v>2459</v>
      </c>
      <c r="B1113" s="5" t="s">
        <v>2481</v>
      </c>
      <c r="C1113" s="5" t="s">
        <v>2484</v>
      </c>
      <c r="D1113" s="5"/>
      <c r="E1113" s="5"/>
      <c r="F1113" s="5"/>
      <c r="G1113" s="9" t="s">
        <v>2485</v>
      </c>
      <c r="H1113" s="5" t="n">
        <f aca="false">(COUNTIF(J1113:EC1113,"=0")+COUNTIF(J1113:EC1113,"=1"))</f>
        <v>4</v>
      </c>
      <c r="I1113" s="16" t="n">
        <f aca="false">IFERROR(ROUND(10-AVERAGE(J1113:EC1113)*10,0),0)</f>
        <v>8</v>
      </c>
      <c r="J1113" s="5" t="n">
        <v>0</v>
      </c>
      <c r="K1113" s="11" t="n">
        <v>0</v>
      </c>
      <c r="L1113" s="5"/>
      <c r="M1113" s="5"/>
      <c r="N1113" s="5"/>
      <c r="O1113" s="5"/>
      <c r="P1113" s="11" t="n">
        <v>0</v>
      </c>
      <c r="Q1113" s="5"/>
      <c r="R1113" s="5"/>
      <c r="S1113" s="11" t="n">
        <v>1</v>
      </c>
      <c r="T1113" s="5"/>
      <c r="U1113" s="5"/>
      <c r="V1113" s="5"/>
      <c r="W1113" s="5"/>
      <c r="X1113" s="5"/>
      <c r="Y1113" s="5"/>
      <c r="Z1113" s="5"/>
      <c r="AA1113" s="5"/>
      <c r="AB1113" s="5"/>
    </row>
    <row r="1114" customFormat="false" ht="15.75" hidden="false" customHeight="false" outlineLevel="0" collapsed="false">
      <c r="A1114" s="5" t="s">
        <v>2459</v>
      </c>
      <c r="B1114" s="5" t="s">
        <v>2481</v>
      </c>
      <c r="C1114" s="5" t="s">
        <v>2486</v>
      </c>
      <c r="D1114" s="5"/>
      <c r="E1114" s="5"/>
      <c r="F1114" s="5"/>
      <c r="G1114" s="9" t="s">
        <v>2487</v>
      </c>
      <c r="H1114" s="5" t="n">
        <f aca="false">(COUNTIF(J1114:EC1114,"=0")+COUNTIF(J1114:EC1114,"=1"))</f>
        <v>4</v>
      </c>
      <c r="I1114" s="16" t="n">
        <f aca="false">IFERROR(ROUND(10-AVERAGE(J1114:EC1114)*10,0),0)</f>
        <v>8</v>
      </c>
      <c r="J1114" s="5" t="n">
        <v>0</v>
      </c>
      <c r="K1114" s="11" t="n">
        <v>0</v>
      </c>
      <c r="L1114" s="5"/>
      <c r="M1114" s="5"/>
      <c r="N1114" s="5"/>
      <c r="O1114" s="5"/>
      <c r="P1114" s="11" t="n">
        <v>0</v>
      </c>
      <c r="Q1114" s="5"/>
      <c r="R1114" s="5"/>
      <c r="S1114" s="11" t="n">
        <v>1</v>
      </c>
      <c r="T1114" s="5"/>
      <c r="U1114" s="5"/>
      <c r="V1114" s="5"/>
      <c r="W1114" s="5"/>
      <c r="X1114" s="5"/>
      <c r="Y1114" s="5"/>
      <c r="Z1114" s="5"/>
      <c r="AA1114" s="5"/>
      <c r="AB1114" s="5"/>
    </row>
    <row r="1115" customFormat="false" ht="15.75" hidden="false" customHeight="false" outlineLevel="0" collapsed="false">
      <c r="A1115" s="5" t="s">
        <v>2459</v>
      </c>
      <c r="B1115" s="5" t="s">
        <v>2481</v>
      </c>
      <c r="C1115" s="5" t="s">
        <v>2488</v>
      </c>
      <c r="D1115" s="5"/>
      <c r="E1115" s="5"/>
      <c r="F1115" s="5"/>
      <c r="G1115" s="9" t="s">
        <v>2489</v>
      </c>
      <c r="H1115" s="5" t="n">
        <f aca="false">(COUNTIF(J1115:EC1115,"=0")+COUNTIF(J1115:EC1115,"=1"))</f>
        <v>5</v>
      </c>
      <c r="I1115" s="21" t="n">
        <f aca="false">IFERROR(ROUND(10-AVERAGE(J1115:EC1115)*10,0),0)</f>
        <v>4</v>
      </c>
      <c r="J1115" s="5" t="n">
        <v>1</v>
      </c>
      <c r="K1115" s="11" t="n">
        <v>0</v>
      </c>
      <c r="L1115" s="5"/>
      <c r="M1115" s="5"/>
      <c r="N1115" s="5"/>
      <c r="O1115" s="5"/>
      <c r="P1115" s="11" t="n">
        <v>1</v>
      </c>
      <c r="Q1115" s="5"/>
      <c r="R1115" s="5"/>
      <c r="S1115" s="11" t="n">
        <v>1</v>
      </c>
      <c r="T1115" s="5"/>
      <c r="U1115" s="5"/>
      <c r="V1115" s="5"/>
      <c r="W1115" s="5" t="n">
        <v>0</v>
      </c>
      <c r="X1115" s="5"/>
      <c r="Y1115" s="5"/>
      <c r="Z1115" s="5"/>
      <c r="AA1115" s="5"/>
      <c r="AB1115" s="5"/>
    </row>
    <row r="1116" customFormat="false" ht="15.75" hidden="false" customHeight="false" outlineLevel="0" collapsed="false">
      <c r="A1116" s="5" t="s">
        <v>2459</v>
      </c>
      <c r="B1116" s="5" t="s">
        <v>2481</v>
      </c>
      <c r="C1116" s="5" t="s">
        <v>2490</v>
      </c>
      <c r="D1116" s="5"/>
      <c r="E1116" s="5"/>
      <c r="F1116" s="5"/>
      <c r="G1116" s="9" t="s">
        <v>2491</v>
      </c>
      <c r="H1116" s="5" t="n">
        <f aca="false">(COUNTIF(J1116:EC1116,"=0")+COUNTIF(J1116:EC1116,"=1"))</f>
        <v>4</v>
      </c>
      <c r="I1116" s="21" t="n">
        <f aca="false">IFERROR(ROUND(10-AVERAGE(J1116:EC1116)*10,0),0)</f>
        <v>3</v>
      </c>
      <c r="J1116" s="5" t="n">
        <v>1</v>
      </c>
      <c r="K1116" s="11" t="n">
        <v>0</v>
      </c>
      <c r="L1116" s="5"/>
      <c r="M1116" s="5"/>
      <c r="N1116" s="5"/>
      <c r="O1116" s="5"/>
      <c r="P1116" s="11" t="n">
        <v>1</v>
      </c>
      <c r="Q1116" s="5"/>
      <c r="R1116" s="5"/>
      <c r="S1116" s="11" t="n">
        <v>1</v>
      </c>
      <c r="T1116" s="5"/>
      <c r="U1116" s="5"/>
      <c r="V1116" s="5"/>
      <c r="W1116" s="5"/>
      <c r="X1116" s="5"/>
      <c r="Y1116" s="5"/>
      <c r="Z1116" s="5"/>
      <c r="AA1116" s="5"/>
      <c r="AB1116" s="5"/>
    </row>
    <row r="1117" customFormat="false" ht="15.75" hidden="false" customHeight="false" outlineLevel="0" collapsed="false">
      <c r="A1117" s="5" t="s">
        <v>2459</v>
      </c>
      <c r="B1117" s="5" t="s">
        <v>2481</v>
      </c>
      <c r="C1117" s="5" t="s">
        <v>2492</v>
      </c>
      <c r="D1117" s="5"/>
      <c r="E1117" s="5"/>
      <c r="F1117" s="5"/>
      <c r="G1117" s="9" t="s">
        <v>2493</v>
      </c>
      <c r="H1117" s="5" t="n">
        <f aca="false">(COUNTIF(J1117:EC1117,"=0")+COUNTIF(J1117:EC1117,"=1"))</f>
        <v>4</v>
      </c>
      <c r="I1117" s="16" t="n">
        <f aca="false">IFERROR(ROUND(10-AVERAGE(J1117:EC1117)*10,0),0)</f>
        <v>8</v>
      </c>
      <c r="J1117" s="5" t="n">
        <v>0</v>
      </c>
      <c r="K1117" s="11" t="n">
        <v>0</v>
      </c>
      <c r="L1117" s="5"/>
      <c r="M1117" s="5"/>
      <c r="N1117" s="5"/>
      <c r="O1117" s="5"/>
      <c r="P1117" s="11" t="n">
        <v>0</v>
      </c>
      <c r="Q1117" s="5"/>
      <c r="R1117" s="5"/>
      <c r="S1117" s="11" t="n">
        <v>1</v>
      </c>
      <c r="T1117" s="5"/>
      <c r="U1117" s="5"/>
      <c r="V1117" s="5"/>
      <c r="W1117" s="5"/>
      <c r="X1117" s="5"/>
      <c r="Y1117" s="5"/>
      <c r="Z1117" s="5"/>
      <c r="AA1117" s="5"/>
      <c r="AB1117" s="5"/>
    </row>
    <row r="1118" customFormat="false" ht="15.75" hidden="false" customHeight="false" outlineLevel="0" collapsed="false">
      <c r="A1118" s="5" t="s">
        <v>2459</v>
      </c>
      <c r="B1118" s="5" t="s">
        <v>2481</v>
      </c>
      <c r="C1118" s="5" t="s">
        <v>2494</v>
      </c>
      <c r="D1118" s="5"/>
      <c r="E1118" s="5"/>
      <c r="F1118" s="5"/>
      <c r="G1118" s="9" t="s">
        <v>2495</v>
      </c>
      <c r="H1118" s="5" t="n">
        <f aca="false">(COUNTIF(J1118:EC1118,"=0")+COUNTIF(J1118:EC1118,"=1"))</f>
        <v>4</v>
      </c>
      <c r="I1118" s="16" t="n">
        <f aca="false">IFERROR(ROUND(10-AVERAGE(J1118:EC1118)*10,0),0)</f>
        <v>8</v>
      </c>
      <c r="J1118" s="5" t="n">
        <v>0</v>
      </c>
      <c r="K1118" s="11" t="n">
        <v>0</v>
      </c>
      <c r="L1118" s="5"/>
      <c r="M1118" s="5"/>
      <c r="N1118" s="5"/>
      <c r="O1118" s="5"/>
      <c r="P1118" s="11" t="n">
        <v>0</v>
      </c>
      <c r="Q1118" s="5"/>
      <c r="R1118" s="5"/>
      <c r="S1118" s="11" t="n">
        <v>1</v>
      </c>
      <c r="T1118" s="5"/>
      <c r="U1118" s="5"/>
      <c r="V1118" s="5"/>
      <c r="W1118" s="5"/>
      <c r="X1118" s="5"/>
      <c r="Y1118" s="5"/>
      <c r="Z1118" s="5"/>
      <c r="AA1118" s="5"/>
      <c r="AB1118" s="5"/>
    </row>
    <row r="1119" customFormat="false" ht="15.75" hidden="false" customHeight="false" outlineLevel="0" collapsed="false">
      <c r="A1119" s="5" t="s">
        <v>2459</v>
      </c>
      <c r="B1119" s="5" t="s">
        <v>2481</v>
      </c>
      <c r="C1119" s="5" t="s">
        <v>2496</v>
      </c>
      <c r="D1119" s="5"/>
      <c r="E1119" s="5"/>
      <c r="F1119" s="5"/>
      <c r="G1119" s="9" t="s">
        <v>2497</v>
      </c>
      <c r="H1119" s="5" t="n">
        <f aca="false">(COUNTIF(J1119:EC1119,"=0")+COUNTIF(J1119:EC1119,"=1"))</f>
        <v>4</v>
      </c>
      <c r="I1119" s="16" t="n">
        <f aca="false">IFERROR(ROUND(10-AVERAGE(J1119:EC1119)*10,0),0)</f>
        <v>5</v>
      </c>
      <c r="J1119" s="5" t="n">
        <v>1</v>
      </c>
      <c r="K1119" s="11" t="n">
        <v>0</v>
      </c>
      <c r="L1119" s="5"/>
      <c r="M1119" s="5"/>
      <c r="N1119" s="5"/>
      <c r="O1119" s="5"/>
      <c r="P1119" s="11" t="n">
        <v>0</v>
      </c>
      <c r="Q1119" s="5"/>
      <c r="R1119" s="5"/>
      <c r="S1119" s="11" t="n">
        <v>1</v>
      </c>
      <c r="T1119" s="5"/>
      <c r="U1119" s="5"/>
      <c r="V1119" s="5"/>
      <c r="W1119" s="5"/>
      <c r="X1119" s="5"/>
      <c r="Y1119" s="5"/>
      <c r="Z1119" s="5"/>
      <c r="AA1119" s="5"/>
      <c r="AB1119" s="5"/>
    </row>
    <row r="1120" customFormat="false" ht="15.75" hidden="false" customHeight="false" outlineLevel="0" collapsed="false">
      <c r="A1120" s="5" t="s">
        <v>2459</v>
      </c>
      <c r="B1120" s="5" t="s">
        <v>2481</v>
      </c>
      <c r="C1120" s="5" t="s">
        <v>2498</v>
      </c>
      <c r="D1120" s="5"/>
      <c r="E1120" s="14" t="s">
        <v>2499</v>
      </c>
      <c r="F1120" s="5"/>
      <c r="G1120" s="14" t="s">
        <v>2500</v>
      </c>
      <c r="H1120" s="5" t="n">
        <f aca="false">(COUNTIF(J1120:EC1120,"=0")+COUNTIF(J1120:EC1120,"=1"))</f>
        <v>6</v>
      </c>
      <c r="I1120" s="19" t="n">
        <f aca="false">IFERROR(ROUND(10-AVERAGE(J1120:EC1120)*10,0),0)</f>
        <v>5</v>
      </c>
      <c r="J1120" s="11" t="n">
        <v>1</v>
      </c>
      <c r="K1120" s="11" t="n">
        <v>0</v>
      </c>
      <c r="L1120" s="5"/>
      <c r="M1120" s="5"/>
      <c r="N1120" s="5"/>
      <c r="O1120" s="5"/>
      <c r="P1120" s="11" t="n">
        <v>1</v>
      </c>
      <c r="Q1120" s="11" t="n">
        <v>0</v>
      </c>
      <c r="R1120" s="5"/>
      <c r="S1120" s="11" t="n">
        <v>1</v>
      </c>
      <c r="T1120" s="11" t="n">
        <v>0</v>
      </c>
      <c r="U1120" s="5"/>
      <c r="V1120" s="5"/>
      <c r="W1120" s="5"/>
      <c r="X1120" s="5"/>
      <c r="Y1120" s="5"/>
      <c r="Z1120" s="5"/>
      <c r="AA1120" s="5"/>
      <c r="AB1120" s="5"/>
    </row>
    <row r="1121" customFormat="false" ht="15.75" hidden="false" customHeight="false" outlineLevel="0" collapsed="false">
      <c r="A1121" s="5" t="s">
        <v>2459</v>
      </c>
      <c r="B1121" s="5" t="s">
        <v>2481</v>
      </c>
      <c r="C1121" s="5" t="s">
        <v>2501</v>
      </c>
      <c r="D1121" s="5"/>
      <c r="E1121" s="5"/>
      <c r="F1121" s="5"/>
      <c r="G1121" s="9" t="s">
        <v>2502</v>
      </c>
      <c r="H1121" s="5" t="n">
        <f aca="false">(COUNTIF(J1121:EC1121,"=0")+COUNTIF(J1121:EC1121,"=1"))</f>
        <v>4</v>
      </c>
      <c r="I1121" s="16" t="n">
        <f aca="false">IFERROR(ROUND(10-AVERAGE(J1121:EC1121)*10,0),0)</f>
        <v>8</v>
      </c>
      <c r="J1121" s="5" t="n">
        <v>0</v>
      </c>
      <c r="K1121" s="11" t="n">
        <v>0</v>
      </c>
      <c r="L1121" s="5"/>
      <c r="M1121" s="5"/>
      <c r="N1121" s="5"/>
      <c r="O1121" s="5"/>
      <c r="P1121" s="11" t="n">
        <v>0</v>
      </c>
      <c r="Q1121" s="5"/>
      <c r="R1121" s="5"/>
      <c r="S1121" s="11" t="n">
        <v>1</v>
      </c>
      <c r="T1121" s="5"/>
      <c r="U1121" s="5"/>
      <c r="V1121" s="5"/>
      <c r="W1121" s="5"/>
      <c r="X1121" s="5"/>
      <c r="Y1121" s="5"/>
      <c r="Z1121" s="5"/>
      <c r="AA1121" s="5"/>
      <c r="AB1121" s="5"/>
    </row>
    <row r="1122" customFormat="false" ht="15.75" hidden="false" customHeight="false" outlineLevel="0" collapsed="false">
      <c r="A1122" s="5" t="s">
        <v>2459</v>
      </c>
      <c r="B1122" s="5" t="s">
        <v>2481</v>
      </c>
      <c r="C1122" s="5" t="s">
        <v>2503</v>
      </c>
      <c r="D1122" s="5"/>
      <c r="E1122" s="14" t="s">
        <v>2504</v>
      </c>
      <c r="F1122" s="5"/>
      <c r="G1122" s="14" t="s">
        <v>2505</v>
      </c>
      <c r="H1122" s="5" t="n">
        <f aca="false">(COUNTIF(J1122:EC1122,"=0")+COUNTIF(J1122:EC1122,"=1"))</f>
        <v>5</v>
      </c>
      <c r="I1122" s="16" t="n">
        <f aca="false">IFERROR(ROUND(10-AVERAGE(J1122:EC1122)*10,0),0)</f>
        <v>8</v>
      </c>
      <c r="J1122" s="5" t="n">
        <v>0</v>
      </c>
      <c r="K1122" s="11" t="n">
        <v>0</v>
      </c>
      <c r="L1122" s="5"/>
      <c r="M1122" s="5"/>
      <c r="N1122" s="5"/>
      <c r="O1122" s="5"/>
      <c r="P1122" s="11" t="n">
        <v>0</v>
      </c>
      <c r="Q1122" s="5"/>
      <c r="R1122" s="5"/>
      <c r="S1122" s="11" t="n">
        <v>1</v>
      </c>
      <c r="T1122" s="5"/>
      <c r="U1122" s="5"/>
      <c r="V1122" s="5"/>
      <c r="W1122" s="5" t="n">
        <v>0</v>
      </c>
      <c r="X1122" s="5"/>
      <c r="Y1122" s="5"/>
      <c r="Z1122" s="5"/>
      <c r="AA1122" s="5"/>
      <c r="AB1122" s="5"/>
    </row>
    <row r="1123" customFormat="false" ht="15.75" hidden="false" customHeight="false" outlineLevel="0" collapsed="false">
      <c r="A1123" s="5" t="s">
        <v>2459</v>
      </c>
      <c r="B1123" s="5" t="s">
        <v>2481</v>
      </c>
      <c r="C1123" s="5" t="s">
        <v>1361</v>
      </c>
      <c r="D1123" s="5"/>
      <c r="E1123" s="5"/>
      <c r="F1123" s="5"/>
      <c r="G1123" s="9" t="s">
        <v>2506</v>
      </c>
      <c r="H1123" s="11" t="n">
        <f aca="false">(COUNTIF(J1123:EJ1123,"=0")+COUNTIF(J1123:EJ1123,"=1"))</f>
        <v>6</v>
      </c>
      <c r="I1123" s="19" t="n">
        <f aca="false">ROUND(10-AVERAGE(J1123:EJ1123)*10,0)</f>
        <v>5</v>
      </c>
      <c r="J1123" s="11" t="n">
        <v>1</v>
      </c>
      <c r="K1123" s="11" t="n">
        <v>0</v>
      </c>
      <c r="L1123" s="5"/>
      <c r="M1123" s="5"/>
      <c r="N1123" s="5"/>
      <c r="O1123" s="5"/>
      <c r="P1123" s="11" t="n">
        <v>1</v>
      </c>
      <c r="Q1123" s="11" t="n">
        <v>0</v>
      </c>
      <c r="R1123" s="5"/>
      <c r="S1123" s="11" t="n">
        <v>1</v>
      </c>
      <c r="T1123" s="11" t="n">
        <v>0</v>
      </c>
      <c r="U1123" s="5"/>
      <c r="V1123" s="5"/>
      <c r="W1123" s="5"/>
      <c r="X1123" s="5"/>
      <c r="Y1123" s="5"/>
      <c r="Z1123" s="5"/>
      <c r="AA1123" s="5"/>
      <c r="AB1123" s="5"/>
      <c r="AC1123" s="5"/>
    </row>
    <row r="1124" customFormat="false" ht="15.75" hidden="false" customHeight="false" outlineLevel="0" collapsed="false">
      <c r="A1124" s="5" t="s">
        <v>2459</v>
      </c>
      <c r="B1124" s="5" t="s">
        <v>2481</v>
      </c>
      <c r="C1124" s="5" t="s">
        <v>2507</v>
      </c>
      <c r="D1124" s="5"/>
      <c r="E1124" s="5"/>
      <c r="F1124" s="5"/>
      <c r="G1124" s="9" t="s">
        <v>2508</v>
      </c>
      <c r="H1124" s="5" t="n">
        <f aca="false">(COUNTIF(J1124:EC1124,"=0")+COUNTIF(J1124:EC1124,"=1"))</f>
        <v>4</v>
      </c>
      <c r="I1124" s="21" t="n">
        <f aca="false">IFERROR(ROUND(10-AVERAGE(J1124:EC1124)*10,0),0)</f>
        <v>5</v>
      </c>
      <c r="J1124" s="5" t="n">
        <v>0</v>
      </c>
      <c r="K1124" s="11" t="n">
        <v>0</v>
      </c>
      <c r="L1124" s="5"/>
      <c r="M1124" s="5"/>
      <c r="N1124" s="5"/>
      <c r="O1124" s="5"/>
      <c r="P1124" s="11" t="n">
        <v>1</v>
      </c>
      <c r="Q1124" s="5"/>
      <c r="R1124" s="5"/>
      <c r="S1124" s="11" t="n">
        <v>1</v>
      </c>
      <c r="T1124" s="5"/>
      <c r="U1124" s="5"/>
      <c r="V1124" s="5"/>
      <c r="W1124" s="5"/>
      <c r="X1124" s="5"/>
      <c r="Y1124" s="5"/>
      <c r="Z1124" s="5"/>
      <c r="AA1124" s="5"/>
      <c r="AB1124" s="5"/>
    </row>
    <row r="1125" customFormat="false" ht="15.75" hidden="false" customHeight="false" outlineLevel="0" collapsed="false">
      <c r="A1125" s="5" t="s">
        <v>2459</v>
      </c>
      <c r="B1125" s="5" t="s">
        <v>2481</v>
      </c>
      <c r="C1125" s="5" t="s">
        <v>2509</v>
      </c>
      <c r="D1125" s="5"/>
      <c r="E1125" s="5"/>
      <c r="F1125" s="5"/>
      <c r="G1125" s="9" t="s">
        <v>2510</v>
      </c>
      <c r="H1125" s="5" t="n">
        <f aca="false">(COUNTIF(J1125:EC1125,"=0")+COUNTIF(J1125:EC1125,"=1"))</f>
        <v>4</v>
      </c>
      <c r="I1125" s="21" t="n">
        <f aca="false">IFERROR(ROUND(10-AVERAGE(J1125:EC1125)*10,0),0)</f>
        <v>5</v>
      </c>
      <c r="J1125" s="5" t="n">
        <v>0</v>
      </c>
      <c r="K1125" s="11" t="n">
        <v>0</v>
      </c>
      <c r="L1125" s="5"/>
      <c r="M1125" s="5"/>
      <c r="N1125" s="5"/>
      <c r="O1125" s="5"/>
      <c r="P1125" s="11" t="n">
        <v>1</v>
      </c>
      <c r="Q1125" s="5"/>
      <c r="R1125" s="5"/>
      <c r="S1125" s="11" t="n">
        <v>1</v>
      </c>
      <c r="T1125" s="5"/>
      <c r="U1125" s="5"/>
      <c r="V1125" s="5"/>
      <c r="W1125" s="5"/>
      <c r="X1125" s="5"/>
      <c r="Y1125" s="5"/>
      <c r="Z1125" s="5"/>
      <c r="AA1125" s="5"/>
      <c r="AB1125" s="5"/>
    </row>
    <row r="1126" customFormat="false" ht="15.75" hidden="false" customHeight="false" outlineLevel="0" collapsed="false">
      <c r="A1126" s="5" t="s">
        <v>2459</v>
      </c>
      <c r="B1126" s="5" t="s">
        <v>2481</v>
      </c>
      <c r="C1126" s="5" t="s">
        <v>2511</v>
      </c>
      <c r="D1126" s="5"/>
      <c r="E1126" s="5"/>
      <c r="F1126" s="5"/>
      <c r="G1126" s="9" t="s">
        <v>2512</v>
      </c>
      <c r="H1126" s="5" t="n">
        <f aca="false">(COUNTIF(J1126:EC1126,"=0")+COUNTIF(J1126:EC1126,"=1"))</f>
        <v>4</v>
      </c>
      <c r="I1126" s="21" t="n">
        <f aca="false">IFERROR(ROUND(10-AVERAGE(J1126:EC1126)*10,0),0)</f>
        <v>3</v>
      </c>
      <c r="J1126" s="5" t="n">
        <v>1</v>
      </c>
      <c r="K1126" s="11" t="n">
        <v>0</v>
      </c>
      <c r="L1126" s="5"/>
      <c r="M1126" s="5"/>
      <c r="N1126" s="5"/>
      <c r="O1126" s="5"/>
      <c r="P1126" s="11" t="n">
        <v>1</v>
      </c>
      <c r="Q1126" s="5"/>
      <c r="R1126" s="5"/>
      <c r="S1126" s="11" t="n">
        <v>1</v>
      </c>
      <c r="T1126" s="5"/>
      <c r="U1126" s="5"/>
      <c r="V1126" s="5"/>
      <c r="W1126" s="5"/>
      <c r="X1126" s="5"/>
      <c r="Y1126" s="5"/>
      <c r="Z1126" s="5"/>
      <c r="AA1126" s="5"/>
      <c r="AB1126" s="5"/>
    </row>
    <row r="1127" customFormat="false" ht="15.75" hidden="false" customHeight="false" outlineLevel="0" collapsed="false">
      <c r="A1127" s="5" t="s">
        <v>2459</v>
      </c>
      <c r="B1127" s="5" t="s">
        <v>2481</v>
      </c>
      <c r="C1127" s="5" t="s">
        <v>2513</v>
      </c>
      <c r="D1127" s="5"/>
      <c r="E1127" s="5"/>
      <c r="F1127" s="5"/>
      <c r="G1127" s="5"/>
      <c r="H1127" s="5" t="n">
        <f aca="false">(COUNTIF(J1127:EC1127,"=0")+COUNTIF(J1127:EC1127,"=1"))</f>
        <v>4</v>
      </c>
      <c r="I1127" s="21" t="n">
        <f aca="false">IFERROR(ROUND(10-AVERAGE(J1127:EC1127)*10,0),0)</f>
        <v>8</v>
      </c>
      <c r="J1127" s="5" t="n">
        <v>0</v>
      </c>
      <c r="K1127" s="11" t="n">
        <v>0</v>
      </c>
      <c r="L1127" s="5"/>
      <c r="M1127" s="5"/>
      <c r="N1127" s="5"/>
      <c r="O1127" s="5"/>
      <c r="P1127" s="11" t="n">
        <v>0</v>
      </c>
      <c r="Q1127" s="5"/>
      <c r="R1127" s="5"/>
      <c r="S1127" s="11" t="n">
        <v>1</v>
      </c>
      <c r="T1127" s="5"/>
      <c r="U1127" s="5"/>
      <c r="V1127" s="5"/>
      <c r="W1127" s="5"/>
      <c r="X1127" s="5"/>
      <c r="Y1127" s="5"/>
      <c r="Z1127" s="5"/>
      <c r="AA1127" s="5"/>
      <c r="AB1127" s="5"/>
    </row>
    <row r="1128" customFormat="false" ht="15.75" hidden="false" customHeight="false" outlineLevel="0" collapsed="false">
      <c r="A1128" s="5" t="s">
        <v>2459</v>
      </c>
      <c r="B1128" s="5" t="s">
        <v>2481</v>
      </c>
      <c r="C1128" s="5" t="s">
        <v>2514</v>
      </c>
      <c r="D1128" s="5"/>
      <c r="E1128" s="5"/>
      <c r="F1128" s="5"/>
      <c r="G1128" s="5"/>
      <c r="H1128" s="5" t="n">
        <f aca="false">(COUNTIF(J1128:EC1128,"=0")+COUNTIF(J1128:EC1128,"=1"))</f>
        <v>6</v>
      </c>
      <c r="I1128" s="16" t="n">
        <f aca="false">IFERROR(ROUND(10-AVERAGE(J1128:EC1128)*10,0),0)</f>
        <v>5</v>
      </c>
      <c r="J1128" s="5" t="n">
        <v>1</v>
      </c>
      <c r="K1128" s="11" t="n">
        <v>0</v>
      </c>
      <c r="L1128" s="5"/>
      <c r="M1128" s="5"/>
      <c r="N1128" s="5"/>
      <c r="O1128" s="5"/>
      <c r="P1128" s="11" t="n">
        <v>1</v>
      </c>
      <c r="Q1128" s="5" t="n">
        <v>0</v>
      </c>
      <c r="R1128" s="5"/>
      <c r="S1128" s="11" t="n">
        <v>1</v>
      </c>
      <c r="T1128" s="5"/>
      <c r="U1128" s="5"/>
      <c r="V1128" s="5"/>
      <c r="W1128" s="5" t="n">
        <v>0</v>
      </c>
      <c r="X1128" s="5"/>
      <c r="Y1128" s="5"/>
      <c r="Z1128" s="5"/>
      <c r="AA1128" s="5"/>
      <c r="AB1128" s="5"/>
    </row>
    <row r="1129" customFormat="false" ht="15.75" hidden="false" customHeight="false" outlineLevel="0" collapsed="false">
      <c r="A1129" s="5" t="s">
        <v>2459</v>
      </c>
      <c r="B1129" s="5" t="s">
        <v>2481</v>
      </c>
      <c r="C1129" s="5" t="s">
        <v>2515</v>
      </c>
      <c r="D1129" s="5"/>
      <c r="E1129" s="5"/>
      <c r="F1129" s="5"/>
      <c r="G1129" s="5"/>
      <c r="H1129" s="5" t="n">
        <f aca="false">(COUNTIF(J1129:EC1129,"=0")+COUNTIF(J1129:EC1129,"=1"))</f>
        <v>4</v>
      </c>
      <c r="I1129" s="16" t="n">
        <f aca="false">IFERROR(ROUND(10-AVERAGE(J1129:EC1129)*10,0),0)</f>
        <v>8</v>
      </c>
      <c r="J1129" s="5" t="n">
        <v>0</v>
      </c>
      <c r="K1129" s="11" t="n">
        <v>0</v>
      </c>
      <c r="L1129" s="5"/>
      <c r="M1129" s="5"/>
      <c r="N1129" s="5"/>
      <c r="O1129" s="5"/>
      <c r="P1129" s="11" t="n">
        <v>0</v>
      </c>
      <c r="Q1129" s="5"/>
      <c r="R1129" s="5"/>
      <c r="S1129" s="11" t="n">
        <v>1</v>
      </c>
      <c r="T1129" s="5"/>
      <c r="U1129" s="5"/>
      <c r="V1129" s="5"/>
      <c r="W1129" s="5"/>
      <c r="X1129" s="5"/>
      <c r="Y1129" s="5"/>
      <c r="Z1129" s="5"/>
      <c r="AA1129" s="5"/>
      <c r="AB1129" s="5"/>
    </row>
    <row r="1130" customFormat="false" ht="15.75" hidden="false" customHeight="false" outlineLevel="0" collapsed="false">
      <c r="A1130" s="5" t="s">
        <v>2459</v>
      </c>
      <c r="B1130" s="5" t="s">
        <v>2481</v>
      </c>
      <c r="C1130" s="5" t="s">
        <v>2516</v>
      </c>
      <c r="D1130" s="5"/>
      <c r="E1130" s="5"/>
      <c r="F1130" s="5"/>
      <c r="G1130" s="9" t="s">
        <v>2517</v>
      </c>
      <c r="H1130" s="5" t="n">
        <f aca="false">(COUNTIF(J1130:EC1130,"=0")+COUNTIF(J1130:EC1130,"=1"))</f>
        <v>4</v>
      </c>
      <c r="I1130" s="16" t="n">
        <f aca="false">IFERROR(ROUND(10-AVERAGE(J1130:EC1130)*10,0),0)</f>
        <v>8</v>
      </c>
      <c r="J1130" s="5" t="n">
        <v>0</v>
      </c>
      <c r="K1130" s="11" t="n">
        <v>0</v>
      </c>
      <c r="L1130" s="5"/>
      <c r="M1130" s="5"/>
      <c r="N1130" s="5"/>
      <c r="O1130" s="5"/>
      <c r="P1130" s="11" t="n">
        <v>0</v>
      </c>
      <c r="Q1130" s="5"/>
      <c r="R1130" s="5"/>
      <c r="S1130" s="11" t="n">
        <v>1</v>
      </c>
      <c r="T1130" s="5"/>
      <c r="U1130" s="5"/>
      <c r="V1130" s="5"/>
      <c r="W1130" s="5"/>
      <c r="X1130" s="5"/>
      <c r="Y1130" s="5"/>
      <c r="Z1130" s="5"/>
      <c r="AA1130" s="5"/>
      <c r="AB1130" s="5"/>
    </row>
    <row r="1131" customFormat="false" ht="15.75" hidden="false" customHeight="false" outlineLevel="0" collapsed="false">
      <c r="A1131" s="5" t="s">
        <v>2459</v>
      </c>
      <c r="B1131" s="5" t="s">
        <v>2481</v>
      </c>
      <c r="C1131" s="5" t="s">
        <v>2518</v>
      </c>
      <c r="D1131" s="5"/>
      <c r="E1131" s="5"/>
      <c r="F1131" s="5"/>
      <c r="G1131" s="9" t="s">
        <v>2519</v>
      </c>
      <c r="H1131" s="5" t="n">
        <f aca="false">(COUNTIF(J1131:EC1131,"=0")+COUNTIF(J1131:EC1131,"=1"))</f>
        <v>4</v>
      </c>
      <c r="I1131" s="16" t="n">
        <f aca="false">IFERROR(ROUND(10-AVERAGE(J1131:EC1131)*10,0),0)</f>
        <v>8</v>
      </c>
      <c r="J1131" s="5" t="n">
        <v>0</v>
      </c>
      <c r="K1131" s="11" t="n">
        <v>0</v>
      </c>
      <c r="L1131" s="5"/>
      <c r="M1131" s="5"/>
      <c r="N1131" s="5"/>
      <c r="O1131" s="5"/>
      <c r="P1131" s="11" t="n">
        <v>0</v>
      </c>
      <c r="Q1131" s="5"/>
      <c r="R1131" s="5"/>
      <c r="S1131" s="11" t="n">
        <v>1</v>
      </c>
      <c r="T1131" s="5"/>
      <c r="U1131" s="5"/>
      <c r="V1131" s="5"/>
      <c r="W1131" s="5"/>
      <c r="X1131" s="5"/>
      <c r="Y1131" s="5"/>
      <c r="Z1131" s="5"/>
      <c r="AA1131" s="5"/>
      <c r="AB1131" s="5"/>
    </row>
    <row r="1132" customFormat="false" ht="15.75" hidden="false" customHeight="false" outlineLevel="0" collapsed="false">
      <c r="A1132" s="5" t="s">
        <v>2459</v>
      </c>
      <c r="B1132" s="5" t="s">
        <v>2481</v>
      </c>
      <c r="C1132" s="5" t="s">
        <v>2520</v>
      </c>
      <c r="D1132" s="5"/>
      <c r="E1132" s="5"/>
      <c r="F1132" s="5"/>
      <c r="G1132" s="9" t="s">
        <v>2521</v>
      </c>
      <c r="H1132" s="5" t="n">
        <f aca="false">(COUNTIF(J1132:EC1132,"=0")+COUNTIF(J1132:EC1132,"=1"))</f>
        <v>6</v>
      </c>
      <c r="I1132" s="19" t="n">
        <f aca="false">IFERROR(ROUND(10-AVERAGE(J1132:EC1132)*10,0),0)</f>
        <v>5</v>
      </c>
      <c r="J1132" s="11" t="n">
        <v>1</v>
      </c>
      <c r="K1132" s="11" t="n">
        <v>0</v>
      </c>
      <c r="L1132" s="5"/>
      <c r="M1132" s="5"/>
      <c r="N1132" s="5"/>
      <c r="O1132" s="5"/>
      <c r="P1132" s="11" t="n">
        <v>1</v>
      </c>
      <c r="Q1132" s="5"/>
      <c r="R1132" s="5"/>
      <c r="S1132" s="11" t="n">
        <v>1</v>
      </c>
      <c r="T1132" s="11" t="n">
        <v>0</v>
      </c>
      <c r="U1132" s="5"/>
      <c r="V1132" s="5"/>
      <c r="W1132" s="5"/>
      <c r="X1132" s="5"/>
      <c r="Y1132" s="5"/>
      <c r="Z1132" s="11" t="n">
        <v>0</v>
      </c>
      <c r="AA1132" s="5"/>
      <c r="AB1132" s="5"/>
    </row>
    <row r="1133" customFormat="false" ht="15.75" hidden="false" customHeight="false" outlineLevel="0" collapsed="false">
      <c r="A1133" s="5" t="s">
        <v>2459</v>
      </c>
      <c r="B1133" s="5" t="s">
        <v>2481</v>
      </c>
      <c r="C1133" s="5" t="s">
        <v>2522</v>
      </c>
      <c r="D1133" s="5"/>
      <c r="E1133" s="5"/>
      <c r="F1133" s="5"/>
      <c r="G1133" s="9" t="s">
        <v>2523</v>
      </c>
      <c r="H1133" s="5" t="n">
        <f aca="false">(COUNTIF(J1133:EC1133,"=0")+COUNTIF(J1133:EC1133,"=1"))</f>
        <v>4</v>
      </c>
      <c r="I1133" s="16" t="n">
        <f aca="false">IFERROR(ROUND(10-AVERAGE(J1133:EC1133)*10,0),0)</f>
        <v>5</v>
      </c>
      <c r="J1133" s="5" t="n">
        <v>1</v>
      </c>
      <c r="K1133" s="11" t="n">
        <v>0</v>
      </c>
      <c r="L1133" s="5"/>
      <c r="M1133" s="5"/>
      <c r="N1133" s="5"/>
      <c r="O1133" s="5"/>
      <c r="P1133" s="11" t="n">
        <v>0</v>
      </c>
      <c r="Q1133" s="5"/>
      <c r="R1133" s="5"/>
      <c r="S1133" s="11" t="n">
        <v>1</v>
      </c>
      <c r="T1133" s="5"/>
      <c r="U1133" s="5"/>
      <c r="V1133" s="5"/>
      <c r="W1133" s="5"/>
      <c r="X1133" s="5"/>
      <c r="Y1133" s="5"/>
      <c r="Z1133" s="5"/>
      <c r="AA1133" s="5"/>
      <c r="AB1133" s="5"/>
    </row>
    <row r="1134" customFormat="false" ht="15.75" hidden="false" customHeight="false" outlineLevel="0" collapsed="false">
      <c r="A1134" s="5" t="s">
        <v>2524</v>
      </c>
      <c r="B1134" s="5" t="s">
        <v>2525</v>
      </c>
      <c r="C1134" s="5" t="s">
        <v>2526</v>
      </c>
      <c r="D1134" s="5"/>
      <c r="E1134" s="5"/>
      <c r="F1134" s="5"/>
      <c r="G1134" s="9" t="s">
        <v>2527</v>
      </c>
      <c r="H1134" s="5" t="n">
        <f aca="false">(COUNTIF(J1134:EC1134,"=0")+COUNTIF(J1134:EC1134,"=1"))</f>
        <v>8</v>
      </c>
      <c r="I1134" s="16" t="n">
        <f aca="false">IFERROR(ROUND(10-AVERAGE(J1134:EC1134)*10,0),0)</f>
        <v>8</v>
      </c>
      <c r="J1134" s="11" t="n">
        <v>0</v>
      </c>
      <c r="K1134" s="11" t="n">
        <v>0</v>
      </c>
      <c r="L1134" s="5"/>
      <c r="M1134" s="5"/>
      <c r="N1134" s="5"/>
      <c r="O1134" s="5"/>
      <c r="P1134" s="11" t="n">
        <v>0</v>
      </c>
      <c r="Q1134" s="5" t="n">
        <v>0</v>
      </c>
      <c r="R1134" s="5"/>
      <c r="S1134" s="11" t="n">
        <v>1</v>
      </c>
      <c r="T1134" s="11" t="n">
        <v>0</v>
      </c>
      <c r="U1134" s="5"/>
      <c r="V1134" s="5"/>
      <c r="W1134" s="5"/>
      <c r="X1134" s="11" t="n">
        <v>1</v>
      </c>
      <c r="Y1134" s="5"/>
      <c r="Z1134" s="11" t="n">
        <v>0</v>
      </c>
      <c r="AA1134" s="5"/>
      <c r="AB1134" s="5"/>
    </row>
    <row r="1135" customFormat="false" ht="15.75" hidden="false" customHeight="false" outlineLevel="0" collapsed="false">
      <c r="A1135" s="5" t="s">
        <v>2524</v>
      </c>
      <c r="B1135" s="5" t="s">
        <v>2528</v>
      </c>
      <c r="C1135" s="5" t="s">
        <v>2529</v>
      </c>
      <c r="D1135" s="5"/>
      <c r="E1135" s="5"/>
      <c r="F1135" s="5"/>
      <c r="G1135" s="9" t="s">
        <v>2530</v>
      </c>
      <c r="H1135" s="5" t="n">
        <f aca="false">(COUNTIF(J1135:EC1135,"=0")+COUNTIF(J1135:EC1135,"=1"))</f>
        <v>6</v>
      </c>
      <c r="I1135" s="12" t="n">
        <f aca="false">IFERROR(ROUND(10-AVERAGE(J1135:EC1135)*10,0),0)</f>
        <v>8</v>
      </c>
      <c r="J1135" s="11" t="n">
        <v>0</v>
      </c>
      <c r="K1135" s="11" t="n">
        <v>0</v>
      </c>
      <c r="L1135" s="5"/>
      <c r="M1135" s="5"/>
      <c r="N1135" s="5"/>
      <c r="O1135" s="5"/>
      <c r="P1135" s="11" t="n">
        <v>0</v>
      </c>
      <c r="Q1135" s="5"/>
      <c r="R1135" s="5"/>
      <c r="S1135" s="5"/>
      <c r="T1135" s="11" t="n">
        <v>0</v>
      </c>
      <c r="U1135" s="5"/>
      <c r="V1135" s="5"/>
      <c r="W1135" s="5"/>
      <c r="X1135" s="11" t="n">
        <v>1</v>
      </c>
      <c r="Y1135" s="5"/>
      <c r="Z1135" s="11" t="n">
        <v>0</v>
      </c>
      <c r="AA1135" s="5"/>
      <c r="AB1135" s="5"/>
    </row>
    <row r="1136" customFormat="false" ht="15.75" hidden="false" customHeight="false" outlineLevel="0" collapsed="false">
      <c r="A1136" s="5" t="s">
        <v>2531</v>
      </c>
      <c r="B1136" s="5" t="s">
        <v>2531</v>
      </c>
      <c r="C1136" s="5" t="s">
        <v>2532</v>
      </c>
      <c r="D1136" s="5"/>
      <c r="E1136" s="5"/>
      <c r="F1136" s="5"/>
      <c r="G1136" s="5"/>
      <c r="H1136" s="5" t="n">
        <f aca="false">(COUNTIF(J1136:EC1136,"=0")+COUNTIF(J1136:EC1136,"=1"))</f>
        <v>9</v>
      </c>
      <c r="I1136" s="23" t="n">
        <f aca="false">IFERROR(ROUND(10-AVERAGE(J1136:EC1136)*10,0),0)</f>
        <v>4</v>
      </c>
      <c r="J1136" s="11" t="n">
        <v>1</v>
      </c>
      <c r="K1136" s="11" t="n">
        <v>1</v>
      </c>
      <c r="L1136" s="11" t="n">
        <v>0</v>
      </c>
      <c r="M1136" s="5"/>
      <c r="N1136" s="5"/>
      <c r="O1136" s="11" t="n">
        <v>1</v>
      </c>
      <c r="P1136" s="11" t="n">
        <v>0</v>
      </c>
      <c r="Q1136" s="11" t="n">
        <v>1</v>
      </c>
      <c r="R1136" s="11" t="n">
        <v>1</v>
      </c>
      <c r="S1136" s="11" t="n">
        <v>0</v>
      </c>
      <c r="T1136" s="11" t="n">
        <v>0</v>
      </c>
      <c r="U1136" s="5"/>
      <c r="V1136" s="5"/>
      <c r="W1136" s="5"/>
      <c r="X1136" s="5"/>
      <c r="Y1136" s="5"/>
      <c r="Z1136" s="5"/>
      <c r="AA1136" s="5"/>
      <c r="AB1136" s="5"/>
    </row>
    <row r="1137" customFormat="false" ht="15.75" hidden="false" customHeight="false" outlineLevel="0" collapsed="false">
      <c r="A1137" s="5" t="s">
        <v>2531</v>
      </c>
      <c r="B1137" s="5" t="s">
        <v>2531</v>
      </c>
      <c r="C1137" s="5" t="s">
        <v>2533</v>
      </c>
      <c r="D1137" s="5"/>
      <c r="E1137" s="5"/>
      <c r="F1137" s="5"/>
      <c r="G1137" s="9" t="s">
        <v>2534</v>
      </c>
      <c r="H1137" s="5" t="n">
        <f aca="false">(COUNTIF(J1137:EC1137,"=0")+COUNTIF(J1137:EC1137,"=1"))</f>
        <v>9</v>
      </c>
      <c r="I1137" s="12" t="n">
        <f aca="false">IFERROR(ROUND(10-AVERAGE(J1137:EC1137)*10,0),0)</f>
        <v>8</v>
      </c>
      <c r="J1137" s="11" t="n">
        <v>0</v>
      </c>
      <c r="K1137" s="11" t="n">
        <v>0</v>
      </c>
      <c r="L1137" s="11" t="n">
        <v>0</v>
      </c>
      <c r="M1137" s="5"/>
      <c r="N1137" s="5"/>
      <c r="O1137" s="11" t="n">
        <v>1</v>
      </c>
      <c r="P1137" s="11" t="n">
        <v>0</v>
      </c>
      <c r="Q1137" s="11" t="n">
        <v>0</v>
      </c>
      <c r="R1137" s="11" t="n">
        <v>1</v>
      </c>
      <c r="S1137" s="11" t="n">
        <v>0</v>
      </c>
      <c r="T1137" s="11" t="n">
        <v>0</v>
      </c>
      <c r="U1137" s="5"/>
      <c r="V1137" s="5"/>
      <c r="W1137" s="5"/>
      <c r="X1137" s="5"/>
      <c r="Y1137" s="5"/>
      <c r="Z1137" s="5"/>
      <c r="AA1137" s="5"/>
      <c r="AB1137" s="5"/>
    </row>
    <row r="1138" customFormat="false" ht="15.75" hidden="false" customHeight="false" outlineLevel="0" collapsed="false">
      <c r="A1138" s="5" t="s">
        <v>2531</v>
      </c>
      <c r="B1138" s="5" t="s">
        <v>2531</v>
      </c>
      <c r="C1138" s="5" t="s">
        <v>2535</v>
      </c>
      <c r="D1138" s="5"/>
      <c r="E1138" s="5"/>
      <c r="F1138" s="5"/>
      <c r="G1138" s="5"/>
      <c r="H1138" s="5" t="n">
        <f aca="false">(COUNTIF(J1138:EC1138,"=0")+COUNTIF(J1138:EC1138,"=1"))</f>
        <v>7</v>
      </c>
      <c r="I1138" s="23" t="n">
        <f aca="false">IFERROR(ROUND(10-AVERAGE(J1138:EC1138)*10,0),0)</f>
        <v>4</v>
      </c>
      <c r="J1138" s="11" t="n">
        <v>0</v>
      </c>
      <c r="K1138" s="11" t="n">
        <v>1</v>
      </c>
      <c r="L1138" s="5"/>
      <c r="M1138" s="5"/>
      <c r="N1138" s="5"/>
      <c r="O1138" s="11" t="n">
        <v>1</v>
      </c>
      <c r="P1138" s="11" t="n">
        <v>1</v>
      </c>
      <c r="Q1138" s="11" t="n">
        <v>1</v>
      </c>
      <c r="R1138" s="5"/>
      <c r="S1138" s="11" t="n">
        <v>0</v>
      </c>
      <c r="T1138" s="11" t="n">
        <v>0</v>
      </c>
      <c r="U1138" s="5"/>
      <c r="V1138" s="5"/>
      <c r="W1138" s="5"/>
      <c r="X1138" s="5"/>
      <c r="Y1138" s="5"/>
      <c r="Z1138" s="5"/>
      <c r="AA1138" s="5"/>
      <c r="AB1138" s="5"/>
    </row>
    <row r="1139" customFormat="false" ht="15.75" hidden="false" customHeight="false" outlineLevel="0" collapsed="false">
      <c r="A1139" s="5" t="s">
        <v>2531</v>
      </c>
      <c r="B1139" s="5" t="s">
        <v>2531</v>
      </c>
      <c r="C1139" s="5" t="s">
        <v>2536</v>
      </c>
      <c r="D1139" s="5"/>
      <c r="E1139" s="5"/>
      <c r="F1139" s="5"/>
      <c r="G1139" s="5"/>
      <c r="H1139" s="5" t="n">
        <f aca="false">(COUNTIF(J1139:EC1139,"=0")+COUNTIF(J1139:EC1139,"=1"))</f>
        <v>8</v>
      </c>
      <c r="I1139" s="21" t="n">
        <f aca="false">IFERROR(ROUND(10-AVERAGE(J1139:EC1139)*10,0),0)</f>
        <v>4</v>
      </c>
      <c r="J1139" s="11" t="n">
        <v>1</v>
      </c>
      <c r="K1139" s="11" t="n">
        <v>1</v>
      </c>
      <c r="L1139" s="5"/>
      <c r="M1139" s="5"/>
      <c r="N1139" s="5"/>
      <c r="O1139" s="11" t="n">
        <v>1</v>
      </c>
      <c r="P1139" s="11" t="n">
        <v>1</v>
      </c>
      <c r="Q1139" s="11" t="n">
        <v>1</v>
      </c>
      <c r="R1139" s="5"/>
      <c r="S1139" s="11" t="n">
        <v>0</v>
      </c>
      <c r="T1139" s="11" t="n">
        <v>0</v>
      </c>
      <c r="U1139" s="5"/>
      <c r="V1139" s="5"/>
      <c r="W1139" s="5"/>
      <c r="X1139" s="5"/>
      <c r="Y1139" s="5"/>
      <c r="Z1139" s="5"/>
      <c r="AA1139" s="5"/>
      <c r="AB1139" s="5"/>
      <c r="AG1139" s="5" t="n">
        <v>0</v>
      </c>
    </row>
    <row r="1140" customFormat="false" ht="15.75" hidden="false" customHeight="false" outlineLevel="0" collapsed="false">
      <c r="A1140" s="5" t="s">
        <v>2531</v>
      </c>
      <c r="B1140" s="5" t="s">
        <v>2531</v>
      </c>
      <c r="C1140" s="5" t="s">
        <v>2537</v>
      </c>
      <c r="D1140" s="5"/>
      <c r="E1140" s="5"/>
      <c r="F1140" s="5"/>
      <c r="G1140" s="5"/>
      <c r="H1140" s="5" t="n">
        <f aca="false">(COUNTIF(J1140:EC1140,"=0")+COUNTIF(J1140:EC1140,"=1"))</f>
        <v>7</v>
      </c>
      <c r="I1140" s="23" t="n">
        <f aca="false">IFERROR(ROUND(10-AVERAGE(J1140:EC1140)*10,0),0)</f>
        <v>4</v>
      </c>
      <c r="J1140" s="11" t="n">
        <v>0</v>
      </c>
      <c r="K1140" s="11" t="n">
        <v>1</v>
      </c>
      <c r="L1140" s="5"/>
      <c r="M1140" s="5"/>
      <c r="N1140" s="5"/>
      <c r="O1140" s="11" t="n">
        <v>1</v>
      </c>
      <c r="P1140" s="11" t="n">
        <v>1</v>
      </c>
      <c r="Q1140" s="11" t="n">
        <v>1</v>
      </c>
      <c r="R1140" s="5"/>
      <c r="S1140" s="11" t="n">
        <v>0</v>
      </c>
      <c r="T1140" s="11" t="n">
        <v>0</v>
      </c>
      <c r="U1140" s="5"/>
      <c r="V1140" s="5"/>
      <c r="W1140" s="5"/>
      <c r="X1140" s="5"/>
      <c r="Y1140" s="5"/>
      <c r="Z1140" s="5"/>
      <c r="AA1140" s="5"/>
      <c r="AB1140" s="5"/>
    </row>
    <row r="1141" customFormat="false" ht="15.75" hidden="false" customHeight="false" outlineLevel="0" collapsed="false">
      <c r="A1141" s="5" t="s">
        <v>2531</v>
      </c>
      <c r="B1141" s="5" t="s">
        <v>2538</v>
      </c>
      <c r="C1141" s="5" t="s">
        <v>2539</v>
      </c>
      <c r="D1141" s="5"/>
      <c r="E1141" s="5"/>
      <c r="F1141" s="5"/>
      <c r="G1141" s="9" t="s">
        <v>2540</v>
      </c>
      <c r="H1141" s="5" t="n">
        <f aca="false">(COUNTIF(J1141:EC1141,"=0")+COUNTIF(J1141:EC1141,"=1"))</f>
        <v>3</v>
      </c>
      <c r="I1141" s="19" t="n">
        <f aca="false">IFERROR(ROUND(10-AVERAGE(J1141:EC1141)*10,0),0)</f>
        <v>7</v>
      </c>
      <c r="J1141" s="5" t="n">
        <v>0</v>
      </c>
      <c r="K1141" s="11" t="n">
        <v>0</v>
      </c>
      <c r="L1141" s="5"/>
      <c r="M1141" s="5"/>
      <c r="N1141" s="5"/>
      <c r="O1141" s="5"/>
      <c r="P1141" s="11" t="n">
        <v>1</v>
      </c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customFormat="false" ht="15.75" hidden="false" customHeight="false" outlineLevel="0" collapsed="false">
      <c r="A1142" s="5" t="s">
        <v>2531</v>
      </c>
      <c r="B1142" s="5" t="s">
        <v>2538</v>
      </c>
      <c r="C1142" s="5" t="s">
        <v>2541</v>
      </c>
      <c r="D1142" s="5"/>
      <c r="E1142" s="5"/>
      <c r="F1142" s="5"/>
      <c r="G1142" s="9" t="s">
        <v>2542</v>
      </c>
      <c r="H1142" s="5" t="n">
        <f aca="false">(COUNTIF(J1142:EC1142,"=0")+COUNTIF(J1142:EC1142,"=1"))</f>
        <v>9</v>
      </c>
      <c r="I1142" s="17" t="n">
        <f aca="false">IFERROR(ROUND(10-AVERAGE(J1142:EC1142)*10,0),0)</f>
        <v>9</v>
      </c>
      <c r="J1142" s="11" t="n">
        <v>0</v>
      </c>
      <c r="K1142" s="11" t="n">
        <v>0</v>
      </c>
      <c r="L1142" s="11" t="n">
        <v>0</v>
      </c>
      <c r="M1142" s="5"/>
      <c r="N1142" s="5"/>
      <c r="O1142" s="11" t="n">
        <v>0</v>
      </c>
      <c r="P1142" s="11" t="n">
        <v>0</v>
      </c>
      <c r="Q1142" s="11" t="n">
        <v>0</v>
      </c>
      <c r="R1142" s="11" t="n">
        <v>1</v>
      </c>
      <c r="S1142" s="11" t="n">
        <v>0</v>
      </c>
      <c r="T1142" s="11" t="n">
        <v>0</v>
      </c>
      <c r="U1142" s="5"/>
      <c r="V1142" s="5"/>
      <c r="W1142" s="5"/>
      <c r="X1142" s="5"/>
      <c r="Y1142" s="5"/>
      <c r="Z1142" s="5"/>
      <c r="AA1142" s="5"/>
      <c r="AB1142" s="5"/>
    </row>
    <row r="1143" customFormat="false" ht="15.75" hidden="false" customHeight="false" outlineLevel="0" collapsed="false">
      <c r="A1143" s="5" t="s">
        <v>2531</v>
      </c>
      <c r="B1143" s="5" t="s">
        <v>2543</v>
      </c>
      <c r="C1143" s="5" t="s">
        <v>2544</v>
      </c>
      <c r="D1143" s="5"/>
      <c r="E1143" s="5"/>
      <c r="F1143" s="5"/>
      <c r="G1143" s="5"/>
      <c r="H1143" s="5" t="n">
        <f aca="false">(COUNTIF(J1143:EC1143,"=0")+COUNTIF(J1143:EC1143,"=1"))</f>
        <v>9</v>
      </c>
      <c r="I1143" s="17" t="n">
        <f aca="false">IFERROR(ROUND(10-AVERAGE(J1143:EC1143)*10,0),0)</f>
        <v>9</v>
      </c>
      <c r="J1143" s="11" t="n">
        <v>0</v>
      </c>
      <c r="K1143" s="11" t="n">
        <v>0</v>
      </c>
      <c r="L1143" s="11" t="n">
        <v>0</v>
      </c>
      <c r="M1143" s="5"/>
      <c r="N1143" s="5"/>
      <c r="O1143" s="11" t="n">
        <v>1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1" t="n">
        <v>0</v>
      </c>
      <c r="U1143" s="5"/>
      <c r="V1143" s="5"/>
      <c r="W1143" s="5"/>
      <c r="X1143" s="5"/>
      <c r="Y1143" s="5"/>
      <c r="Z1143" s="5"/>
      <c r="AA1143" s="5"/>
      <c r="AB1143" s="5"/>
    </row>
    <row r="1144" customFormat="false" ht="15.75" hidden="false" customHeight="false" outlineLevel="0" collapsed="false">
      <c r="A1144" s="5" t="s">
        <v>2545</v>
      </c>
      <c r="D1144" s="5"/>
      <c r="E1144" s="5"/>
      <c r="F1144" s="5"/>
      <c r="G1144" s="5"/>
      <c r="H1144" s="5" t="n">
        <f aca="false">(COUNTIF(J1144:EC1144,"=0")+COUNTIF(J1144:EC1144,"=1"))</f>
        <v>0</v>
      </c>
      <c r="I1144" s="15" t="n">
        <f aca="false">IFERROR(ROUND(10-AVERAGE(J1144:EC1144)*10,0),0)</f>
        <v>0</v>
      </c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customFormat="false" ht="15.75" hidden="false" customHeight="false" outlineLevel="0" collapsed="false">
      <c r="A1145" s="5" t="s">
        <v>2546</v>
      </c>
      <c r="B1145" s="5" t="s">
        <v>2547</v>
      </c>
      <c r="C1145" s="5" t="s">
        <v>79</v>
      </c>
      <c r="D1145" s="5"/>
      <c r="E1145" s="5"/>
      <c r="F1145" s="5"/>
      <c r="G1145" s="5"/>
      <c r="H1145" s="5" t="n">
        <f aca="false">(COUNTIF(J1145:EC1145,"=0")+COUNTIF(J1145:EC1145,"=1"))</f>
        <v>13</v>
      </c>
      <c r="I1145" s="18" t="n">
        <f aca="false">IFERROR(ROUND(10-AVERAGE(J1145:EC1145)*10,0),0)</f>
        <v>4</v>
      </c>
      <c r="J1145" s="11" t="n">
        <v>1</v>
      </c>
      <c r="K1145" s="11" t="n">
        <v>1</v>
      </c>
      <c r="L1145" s="5"/>
      <c r="M1145" s="5"/>
      <c r="N1145" s="5"/>
      <c r="O1145" s="11" t="n">
        <v>1</v>
      </c>
      <c r="P1145" s="11" t="n">
        <v>1</v>
      </c>
      <c r="Q1145" s="11" t="n">
        <v>1</v>
      </c>
      <c r="R1145" s="11" t="n">
        <v>1</v>
      </c>
      <c r="S1145" s="5"/>
      <c r="T1145" s="11" t="n">
        <v>1</v>
      </c>
      <c r="U1145" s="5"/>
      <c r="V1145" s="11" t="n">
        <v>1</v>
      </c>
      <c r="W1145" s="5" t="n">
        <v>0</v>
      </c>
      <c r="X1145" s="5"/>
      <c r="Y1145" s="5"/>
      <c r="Z1145" s="5" t="n">
        <v>0</v>
      </c>
      <c r="AA1145" s="5"/>
      <c r="AB1145" s="5"/>
      <c r="AC1145" s="5" t="n">
        <v>0</v>
      </c>
      <c r="AE1145" s="5" t="n">
        <v>0</v>
      </c>
      <c r="AF1145" s="5" t="n">
        <v>0</v>
      </c>
    </row>
    <row r="1146" customFormat="false" ht="15.75" hidden="false" customHeight="false" outlineLevel="0" collapsed="false">
      <c r="A1146" s="5" t="s">
        <v>2546</v>
      </c>
      <c r="B1146" s="5" t="s">
        <v>2548</v>
      </c>
      <c r="C1146" s="5" t="s">
        <v>2549</v>
      </c>
      <c r="D1146" s="5"/>
      <c r="E1146" s="5"/>
      <c r="F1146" s="5"/>
      <c r="G1146" s="9" t="s">
        <v>2550</v>
      </c>
      <c r="H1146" s="5" t="n">
        <f aca="false">(COUNTIF(J1146:EC1146,"=0")+COUNTIF(J1146:EC1146,"=1"))</f>
        <v>8</v>
      </c>
      <c r="I1146" s="15" t="n">
        <f aca="false">IFERROR(ROUND(10-AVERAGE(J1146:EC1146)*10,0),0)</f>
        <v>6</v>
      </c>
      <c r="J1146" s="11" t="n">
        <v>0</v>
      </c>
      <c r="K1146" s="11" t="n">
        <v>0</v>
      </c>
      <c r="L1146" s="11" t="n">
        <v>1</v>
      </c>
      <c r="M1146" s="5"/>
      <c r="N1146" s="5"/>
      <c r="O1146" s="5"/>
      <c r="P1146" s="11" t="n">
        <v>1</v>
      </c>
      <c r="Q1146" s="11" t="n">
        <v>1</v>
      </c>
      <c r="R1146" s="5"/>
      <c r="S1146" s="5"/>
      <c r="T1146" s="11" t="n">
        <v>0</v>
      </c>
      <c r="U1146" s="5"/>
      <c r="V1146" s="11" t="n">
        <v>0</v>
      </c>
      <c r="W1146" s="5" t="n">
        <v>0</v>
      </c>
      <c r="X1146" s="5"/>
      <c r="Y1146" s="5"/>
      <c r="Z1146" s="5"/>
      <c r="AA1146" s="5"/>
      <c r="AB1146" s="5"/>
    </row>
    <row r="1147" customFormat="false" ht="15.75" hidden="false" customHeight="false" outlineLevel="0" collapsed="false">
      <c r="A1147" s="5" t="s">
        <v>2551</v>
      </c>
      <c r="B1147" s="5" t="s">
        <v>2552</v>
      </c>
      <c r="C1147" s="5" t="s">
        <v>2553</v>
      </c>
      <c r="D1147" s="5" t="s">
        <v>2554</v>
      </c>
      <c r="E1147" s="5"/>
      <c r="F1147" s="5"/>
      <c r="G1147" s="5"/>
      <c r="H1147" s="5" t="n">
        <f aca="false">(COUNTIF(J1147:EC1147,"=0")+COUNTIF(J1147:EC1147,"=1"))</f>
        <v>4</v>
      </c>
      <c r="I1147" s="10" t="n">
        <f aca="false">IFERROR(ROUND(10-AVERAGE(J1147:EC1147)*10,0),0)</f>
        <v>10</v>
      </c>
      <c r="J1147" s="5" t="n">
        <v>0</v>
      </c>
      <c r="K1147" s="11" t="n">
        <v>0</v>
      </c>
      <c r="L1147" s="5"/>
      <c r="M1147" s="5"/>
      <c r="N1147" s="5"/>
      <c r="O1147" s="5"/>
      <c r="P1147" s="11" t="n">
        <v>0</v>
      </c>
      <c r="Q1147" s="5"/>
      <c r="R1147" s="5"/>
      <c r="S1147" s="5"/>
      <c r="T1147" s="5"/>
      <c r="U1147" s="5"/>
      <c r="V1147" s="5"/>
      <c r="W1147" s="5"/>
      <c r="X1147" s="5"/>
      <c r="Y1147" s="5"/>
      <c r="Z1147" s="11" t="n">
        <v>0</v>
      </c>
      <c r="AA1147" s="5"/>
      <c r="AB1147" s="5"/>
    </row>
    <row r="1148" customFormat="false" ht="15.75" hidden="false" customHeight="false" outlineLevel="0" collapsed="false">
      <c r="A1148" s="5" t="s">
        <v>2551</v>
      </c>
      <c r="B1148" s="5" t="s">
        <v>2552</v>
      </c>
      <c r="C1148" s="5" t="s">
        <v>2555</v>
      </c>
      <c r="D1148" s="5" t="s">
        <v>2554</v>
      </c>
      <c r="E1148" s="5"/>
      <c r="F1148" s="5"/>
      <c r="G1148" s="5"/>
      <c r="H1148" s="5" t="n">
        <f aca="false">(COUNTIF(J1148:EC1148,"=0")+COUNTIF(J1148:EC1148,"=1"))</f>
        <v>5</v>
      </c>
      <c r="I1148" s="12" t="n">
        <f aca="false">IFERROR(ROUND(10-AVERAGE(J1148:EC1148)*10,0),0)</f>
        <v>8</v>
      </c>
      <c r="J1148" s="5" t="n">
        <v>0</v>
      </c>
      <c r="K1148" s="11" t="n">
        <v>0</v>
      </c>
      <c r="L1148" s="5"/>
      <c r="M1148" s="5"/>
      <c r="N1148" s="5"/>
      <c r="O1148" s="5"/>
      <c r="P1148" s="11" t="n">
        <v>0</v>
      </c>
      <c r="Q1148" s="5"/>
      <c r="R1148" s="5"/>
      <c r="S1148" s="5"/>
      <c r="T1148" s="5"/>
      <c r="U1148" s="5"/>
      <c r="V1148" s="5"/>
      <c r="W1148" s="5"/>
      <c r="X1148" s="5"/>
      <c r="Y1148" s="5"/>
      <c r="Z1148" s="11" t="n">
        <v>0</v>
      </c>
      <c r="AA1148" s="11" t="n">
        <v>1</v>
      </c>
      <c r="AB1148" s="5"/>
    </row>
    <row r="1149" customFormat="false" ht="15.75" hidden="false" customHeight="false" outlineLevel="0" collapsed="false">
      <c r="A1149" s="5" t="s">
        <v>2551</v>
      </c>
      <c r="B1149" s="5" t="s">
        <v>2556</v>
      </c>
      <c r="C1149" s="5" t="s">
        <v>2557</v>
      </c>
      <c r="D1149" s="5" t="s">
        <v>2554</v>
      </c>
      <c r="E1149" s="5"/>
      <c r="F1149" s="5"/>
      <c r="G1149" s="5"/>
      <c r="H1149" s="5" t="n">
        <f aca="false">(COUNTIF(J1149:EC1149,"=0")+COUNTIF(J1149:EC1149,"=1"))</f>
        <v>4</v>
      </c>
      <c r="I1149" s="10" t="n">
        <f aca="false">IFERROR(ROUND(10-AVERAGE(J1149:EC1149)*10,0),0)</f>
        <v>10</v>
      </c>
      <c r="J1149" s="5" t="n">
        <v>0</v>
      </c>
      <c r="K1149" s="11" t="n">
        <v>0</v>
      </c>
      <c r="L1149" s="5"/>
      <c r="M1149" s="5"/>
      <c r="N1149" s="5"/>
      <c r="O1149" s="5"/>
      <c r="P1149" s="11" t="n">
        <v>0</v>
      </c>
      <c r="Q1149" s="5"/>
      <c r="R1149" s="5"/>
      <c r="S1149" s="5"/>
      <c r="T1149" s="5"/>
      <c r="U1149" s="5"/>
      <c r="V1149" s="5"/>
      <c r="W1149" s="5"/>
      <c r="X1149" s="5"/>
      <c r="Y1149" s="5"/>
      <c r="Z1149" s="11" t="n">
        <v>0</v>
      </c>
      <c r="AA1149" s="5"/>
      <c r="AB1149" s="5"/>
    </row>
    <row r="1150" customFormat="false" ht="15.75" hidden="false" customHeight="false" outlineLevel="0" collapsed="false">
      <c r="A1150" s="5" t="s">
        <v>2551</v>
      </c>
      <c r="B1150" s="5" t="s">
        <v>2556</v>
      </c>
      <c r="C1150" s="5" t="s">
        <v>2558</v>
      </c>
      <c r="D1150" s="5" t="s">
        <v>2554</v>
      </c>
      <c r="E1150" s="5"/>
      <c r="F1150" s="5"/>
      <c r="G1150" s="5"/>
      <c r="H1150" s="5" t="n">
        <f aca="false">(COUNTIF(J1150:EC1150,"=0")+COUNTIF(J1150:EC1150,"=1"))</f>
        <v>4</v>
      </c>
      <c r="I1150" s="16" t="n">
        <f aca="false">IFERROR(ROUND(10-AVERAGE(J1150:EC1150)*10,0),0)</f>
        <v>8</v>
      </c>
      <c r="J1150" s="5" t="n">
        <v>0</v>
      </c>
      <c r="K1150" s="11" t="n">
        <v>0</v>
      </c>
      <c r="L1150" s="5"/>
      <c r="M1150" s="5"/>
      <c r="N1150" s="5"/>
      <c r="O1150" s="5"/>
      <c r="P1150" s="11" t="n">
        <v>1</v>
      </c>
      <c r="Q1150" s="5"/>
      <c r="R1150" s="5"/>
      <c r="S1150" s="5"/>
      <c r="T1150" s="5"/>
      <c r="U1150" s="5"/>
      <c r="V1150" s="5"/>
      <c r="W1150" s="5"/>
      <c r="X1150" s="5"/>
      <c r="Y1150" s="5"/>
      <c r="Z1150" s="11" t="n">
        <v>0</v>
      </c>
      <c r="AA1150" s="5"/>
      <c r="AB1150" s="5"/>
    </row>
    <row r="1151" customFormat="false" ht="15.75" hidden="false" customHeight="false" outlineLevel="0" collapsed="false">
      <c r="A1151" s="5" t="s">
        <v>2551</v>
      </c>
      <c r="B1151" s="5" t="s">
        <v>2556</v>
      </c>
      <c r="C1151" s="5" t="s">
        <v>2559</v>
      </c>
      <c r="D1151" s="5" t="s">
        <v>2554</v>
      </c>
      <c r="E1151" s="5"/>
      <c r="F1151" s="5"/>
      <c r="G1151" s="5"/>
      <c r="H1151" s="5" t="n">
        <f aca="false">(COUNTIF(J1151:EC1151,"=0")+COUNTIF(J1151:EC1151,"=1"))</f>
        <v>4</v>
      </c>
      <c r="I1151" s="10" t="n">
        <f aca="false">IFERROR(ROUND(10-AVERAGE(J1151:EC1151)*10,0),0)</f>
        <v>10</v>
      </c>
      <c r="J1151" s="5" t="n">
        <v>0</v>
      </c>
      <c r="K1151" s="11" t="n">
        <v>0</v>
      </c>
      <c r="L1151" s="5"/>
      <c r="M1151" s="5"/>
      <c r="N1151" s="5"/>
      <c r="O1151" s="5"/>
      <c r="P1151" s="11" t="n">
        <v>0</v>
      </c>
      <c r="Q1151" s="5"/>
      <c r="R1151" s="5"/>
      <c r="S1151" s="5"/>
      <c r="T1151" s="5"/>
      <c r="U1151" s="5"/>
      <c r="V1151" s="5"/>
      <c r="W1151" s="5"/>
      <c r="X1151" s="5"/>
      <c r="Y1151" s="5"/>
      <c r="Z1151" s="11" t="n">
        <v>0</v>
      </c>
      <c r="AA1151" s="5"/>
      <c r="AB1151" s="5"/>
    </row>
    <row r="1152" customFormat="false" ht="15.75" hidden="false" customHeight="false" outlineLevel="0" collapsed="false">
      <c r="A1152" s="5" t="s">
        <v>2551</v>
      </c>
      <c r="B1152" s="5" t="s">
        <v>2556</v>
      </c>
      <c r="C1152" s="5" t="s">
        <v>2560</v>
      </c>
      <c r="D1152" s="5" t="s">
        <v>2554</v>
      </c>
      <c r="E1152" s="5"/>
      <c r="F1152" s="5"/>
      <c r="G1152" s="5"/>
      <c r="H1152" s="5" t="n">
        <f aca="false">(COUNTIF(J1152:EC1152,"=0")+COUNTIF(J1152:EC1152,"=1"))</f>
        <v>4</v>
      </c>
      <c r="I1152" s="16" t="n">
        <f aca="false">IFERROR(ROUND(10-AVERAGE(J1152:EC1152)*10,0),0)</f>
        <v>8</v>
      </c>
      <c r="J1152" s="5" t="n">
        <v>0</v>
      </c>
      <c r="K1152" s="11" t="n">
        <v>0</v>
      </c>
      <c r="L1152" s="5"/>
      <c r="M1152" s="5"/>
      <c r="N1152" s="5"/>
      <c r="O1152" s="5"/>
      <c r="P1152" s="11" t="n">
        <v>0</v>
      </c>
      <c r="Q1152" s="5"/>
      <c r="R1152" s="5"/>
      <c r="S1152" s="5"/>
      <c r="T1152" s="5"/>
      <c r="U1152" s="5"/>
      <c r="V1152" s="5"/>
      <c r="W1152" s="5"/>
      <c r="X1152" s="5"/>
      <c r="Y1152" s="5"/>
      <c r="Z1152" s="11" t="n">
        <v>1</v>
      </c>
      <c r="AA1152" s="5"/>
      <c r="AB1152" s="5"/>
    </row>
    <row r="1153" customFormat="false" ht="15.75" hidden="false" customHeight="false" outlineLevel="0" collapsed="false">
      <c r="A1153" s="5" t="s">
        <v>2551</v>
      </c>
      <c r="B1153" s="5" t="s">
        <v>2556</v>
      </c>
      <c r="C1153" s="5" t="s">
        <v>2561</v>
      </c>
      <c r="D1153" s="5" t="s">
        <v>2554</v>
      </c>
      <c r="E1153" s="5"/>
      <c r="F1153" s="5"/>
      <c r="G1153" s="5"/>
      <c r="H1153" s="5" t="n">
        <f aca="false">(COUNTIF(J1153:EC1153,"=0")+COUNTIF(J1153:EC1153,"=1"))</f>
        <v>4</v>
      </c>
      <c r="I1153" s="10" t="n">
        <f aca="false">IFERROR(ROUND(10-AVERAGE(J1153:EC1153)*10,0),0)</f>
        <v>10</v>
      </c>
      <c r="J1153" s="5" t="n">
        <v>0</v>
      </c>
      <c r="K1153" s="11" t="n">
        <v>0</v>
      </c>
      <c r="L1153" s="5"/>
      <c r="M1153" s="5"/>
      <c r="N1153" s="5"/>
      <c r="O1153" s="5"/>
      <c r="P1153" s="11" t="n">
        <v>0</v>
      </c>
      <c r="Q1153" s="5"/>
      <c r="R1153" s="5"/>
      <c r="S1153" s="5"/>
      <c r="T1153" s="5"/>
      <c r="U1153" s="5"/>
      <c r="V1153" s="5"/>
      <c r="W1153" s="5"/>
      <c r="X1153" s="5"/>
      <c r="Y1153" s="5"/>
      <c r="Z1153" s="11" t="n">
        <v>0</v>
      </c>
      <c r="AA1153" s="5"/>
      <c r="AB1153" s="5"/>
    </row>
    <row r="1154" customFormat="false" ht="15.75" hidden="false" customHeight="false" outlineLevel="0" collapsed="false">
      <c r="A1154" s="5" t="s">
        <v>2551</v>
      </c>
      <c r="B1154" s="5" t="s">
        <v>2554</v>
      </c>
      <c r="C1154" s="5" t="s">
        <v>2562</v>
      </c>
      <c r="D1154" s="5"/>
      <c r="E1154" s="5"/>
      <c r="F1154" s="5"/>
      <c r="G1154" s="5"/>
      <c r="H1154" s="5" t="n">
        <f aca="false">(COUNTIF(J1154:EC1154,"=0")+COUNTIF(J1154:EC1154,"=1"))</f>
        <v>5</v>
      </c>
      <c r="I1154" s="16" t="n">
        <f aca="false">IFERROR(ROUND(10-AVERAGE(J1154:EC1154)*10,0),0)</f>
        <v>4</v>
      </c>
      <c r="J1154" s="5" t="n">
        <v>1</v>
      </c>
      <c r="K1154" s="11" t="n">
        <v>0</v>
      </c>
      <c r="L1154" s="5"/>
      <c r="M1154" s="5"/>
      <c r="N1154" s="5"/>
      <c r="O1154" s="5"/>
      <c r="P1154" s="11" t="n">
        <v>1</v>
      </c>
      <c r="Q1154" s="5" t="n">
        <v>1</v>
      </c>
      <c r="R1154" s="5"/>
      <c r="S1154" s="5"/>
      <c r="T1154" s="5"/>
      <c r="U1154" s="5"/>
      <c r="V1154" s="5"/>
      <c r="W1154" s="5"/>
      <c r="X1154" s="5"/>
      <c r="Y1154" s="5"/>
      <c r="Z1154" s="11" t="n">
        <v>0</v>
      </c>
      <c r="AA1154" s="5"/>
      <c r="AB1154" s="5"/>
    </row>
    <row r="1155" customFormat="false" ht="15.75" hidden="false" customHeight="false" outlineLevel="0" collapsed="false">
      <c r="A1155" s="5" t="s">
        <v>2551</v>
      </c>
      <c r="B1155" s="5" t="s">
        <v>2554</v>
      </c>
      <c r="C1155" s="5" t="s">
        <v>2563</v>
      </c>
      <c r="D1155" s="5" t="s">
        <v>2554</v>
      </c>
      <c r="E1155" s="5"/>
      <c r="F1155" s="5"/>
      <c r="G1155" s="5"/>
      <c r="H1155" s="5" t="n">
        <f aca="false">(COUNTIF(J1155:EC1155,"=0")+COUNTIF(J1155:EC1155,"=1"))</f>
        <v>4</v>
      </c>
      <c r="I1155" s="10" t="n">
        <f aca="false">IFERROR(ROUND(10-AVERAGE(J1155:EC1155)*10,0),0)</f>
        <v>10</v>
      </c>
      <c r="J1155" s="5" t="n">
        <v>0</v>
      </c>
      <c r="K1155" s="11" t="n">
        <v>0</v>
      </c>
      <c r="L1155" s="5"/>
      <c r="M1155" s="5"/>
      <c r="N1155" s="5"/>
      <c r="O1155" s="5"/>
      <c r="P1155" s="11" t="n">
        <v>0</v>
      </c>
      <c r="Q1155" s="5"/>
      <c r="R1155" s="5"/>
      <c r="S1155" s="5"/>
      <c r="T1155" s="5"/>
      <c r="U1155" s="5"/>
      <c r="V1155" s="5"/>
      <c r="W1155" s="5"/>
      <c r="X1155" s="5"/>
      <c r="Y1155" s="5"/>
      <c r="Z1155" s="11" t="n">
        <v>0</v>
      </c>
      <c r="AA1155" s="5"/>
      <c r="AB1155" s="5"/>
    </row>
    <row r="1156" customFormat="false" ht="15.75" hidden="false" customHeight="false" outlineLevel="0" collapsed="false">
      <c r="A1156" s="5" t="s">
        <v>2551</v>
      </c>
      <c r="B1156" s="5" t="s">
        <v>2554</v>
      </c>
      <c r="C1156" s="5" t="s">
        <v>2564</v>
      </c>
      <c r="D1156" s="5" t="s">
        <v>2554</v>
      </c>
      <c r="E1156" s="5"/>
      <c r="F1156" s="5"/>
      <c r="G1156" s="5"/>
      <c r="H1156" s="5" t="n">
        <f aca="false">(COUNTIF(J1156:EC1156,"=0")+COUNTIF(J1156:EC1156,"=1"))</f>
        <v>4</v>
      </c>
      <c r="I1156" s="10" t="n">
        <f aca="false">IFERROR(ROUND(10-AVERAGE(J1156:EC1156)*10,0),0)</f>
        <v>10</v>
      </c>
      <c r="J1156" s="5" t="n">
        <v>0</v>
      </c>
      <c r="K1156" s="11" t="n">
        <v>0</v>
      </c>
      <c r="L1156" s="5"/>
      <c r="M1156" s="5"/>
      <c r="N1156" s="5"/>
      <c r="O1156" s="5"/>
      <c r="P1156" s="11" t="n">
        <v>0</v>
      </c>
      <c r="Q1156" s="5"/>
      <c r="R1156" s="5"/>
      <c r="S1156" s="5"/>
      <c r="T1156" s="5"/>
      <c r="U1156" s="5"/>
      <c r="V1156" s="5"/>
      <c r="W1156" s="5"/>
      <c r="X1156" s="5"/>
      <c r="Y1156" s="5"/>
      <c r="Z1156" s="11" t="n">
        <v>0</v>
      </c>
      <c r="AA1156" s="5"/>
      <c r="AB1156" s="5"/>
    </row>
    <row r="1157" customFormat="false" ht="15.75" hidden="false" customHeight="false" outlineLevel="0" collapsed="false">
      <c r="A1157" s="5" t="s">
        <v>2551</v>
      </c>
      <c r="B1157" s="5" t="s">
        <v>2554</v>
      </c>
      <c r="C1157" s="5" t="s">
        <v>2565</v>
      </c>
      <c r="D1157" s="5" t="s">
        <v>2554</v>
      </c>
      <c r="E1157" s="5"/>
      <c r="F1157" s="5"/>
      <c r="G1157" s="5"/>
      <c r="H1157" s="5" t="n">
        <f aca="false">(COUNTIF(J1157:EC1157,"=0")+COUNTIF(J1157:EC1157,"=1"))</f>
        <v>5</v>
      </c>
      <c r="I1157" s="10" t="n">
        <f aca="false">IFERROR(ROUND(10-AVERAGE(J1157:EC1157)*10,0),0)</f>
        <v>6</v>
      </c>
      <c r="J1157" s="5" t="n">
        <v>1</v>
      </c>
      <c r="K1157" s="11" t="n">
        <v>0</v>
      </c>
      <c r="L1157" s="5"/>
      <c r="M1157" s="5"/>
      <c r="N1157" s="5"/>
      <c r="O1157" s="5"/>
      <c r="P1157" s="11" t="n">
        <v>0</v>
      </c>
      <c r="Q1157" s="5" t="n">
        <v>1</v>
      </c>
      <c r="R1157" s="5"/>
      <c r="S1157" s="5"/>
      <c r="T1157" s="5"/>
      <c r="U1157" s="5"/>
      <c r="V1157" s="5"/>
      <c r="W1157" s="5"/>
      <c r="X1157" s="5"/>
      <c r="Y1157" s="5"/>
      <c r="Z1157" s="11" t="n">
        <v>0</v>
      </c>
      <c r="AA1157" s="5"/>
      <c r="AB1157" s="5"/>
    </row>
    <row r="1158" customFormat="false" ht="15.75" hidden="false" customHeight="false" outlineLevel="0" collapsed="false">
      <c r="A1158" s="5" t="s">
        <v>2551</v>
      </c>
      <c r="B1158" s="5" t="s">
        <v>2566</v>
      </c>
      <c r="C1158" s="5" t="s">
        <v>2567</v>
      </c>
      <c r="D1158" s="5" t="s">
        <v>2554</v>
      </c>
      <c r="E1158" s="5"/>
      <c r="F1158" s="5"/>
      <c r="G1158" s="5"/>
      <c r="H1158" s="5" t="n">
        <f aca="false">(COUNTIF(J1158:EC1158,"=0")+COUNTIF(J1158:EC1158,"=1"))</f>
        <v>6</v>
      </c>
      <c r="I1158" s="16" t="n">
        <f aca="false">IFERROR(ROUND(10-AVERAGE(J1158:EC1158)*10,0),0)</f>
        <v>5</v>
      </c>
      <c r="J1158" s="5" t="n">
        <v>1</v>
      </c>
      <c r="K1158" s="11" t="n">
        <v>0</v>
      </c>
      <c r="L1158" s="5"/>
      <c r="M1158" s="5"/>
      <c r="N1158" s="5"/>
      <c r="O1158" s="5"/>
      <c r="P1158" s="11" t="n">
        <v>1</v>
      </c>
      <c r="Q1158" s="5" t="n">
        <v>1</v>
      </c>
      <c r="R1158" s="5"/>
      <c r="S1158" s="5" t="n">
        <v>0</v>
      </c>
      <c r="T1158" s="5"/>
      <c r="U1158" s="5"/>
      <c r="V1158" s="5"/>
      <c r="W1158" s="5"/>
      <c r="X1158" s="5"/>
      <c r="Y1158" s="5"/>
      <c r="Z1158" s="11" t="n">
        <v>0</v>
      </c>
      <c r="AA1158" s="5"/>
      <c r="AB1158" s="5"/>
    </row>
    <row r="1159" customFormat="false" ht="15.75" hidden="false" customHeight="false" outlineLevel="0" collapsed="false">
      <c r="A1159" s="5" t="s">
        <v>2551</v>
      </c>
      <c r="B1159" s="5" t="s">
        <v>2566</v>
      </c>
      <c r="C1159" s="5" t="s">
        <v>2568</v>
      </c>
      <c r="D1159" s="5" t="s">
        <v>2554</v>
      </c>
      <c r="E1159" s="5"/>
      <c r="F1159" s="5"/>
      <c r="G1159" s="9" t="s">
        <v>2569</v>
      </c>
      <c r="H1159" s="5" t="n">
        <f aca="false">(COUNTIF(J1159:EC1159,"=0")+COUNTIF(J1159:EC1159,"=1"))</f>
        <v>10</v>
      </c>
      <c r="I1159" s="17" t="n">
        <f aca="false">IFERROR(ROUND(10-AVERAGE(J1159:EC1159)*10,0),0)</f>
        <v>9</v>
      </c>
      <c r="J1159" s="11" t="n">
        <v>0</v>
      </c>
      <c r="K1159" s="11" t="n">
        <v>0</v>
      </c>
      <c r="L1159" s="11" t="n">
        <v>0</v>
      </c>
      <c r="M1159" s="5"/>
      <c r="N1159" s="5"/>
      <c r="O1159" s="11" t="n">
        <v>0</v>
      </c>
      <c r="P1159" s="11" t="n">
        <v>0</v>
      </c>
      <c r="Q1159" s="11" t="n">
        <v>0</v>
      </c>
      <c r="R1159" s="11" t="n">
        <v>1</v>
      </c>
      <c r="S1159" s="11" t="n">
        <v>0</v>
      </c>
      <c r="T1159" s="11" t="n">
        <v>0</v>
      </c>
      <c r="U1159" s="11" t="n">
        <v>0</v>
      </c>
      <c r="V1159" s="5"/>
      <c r="W1159" s="5"/>
      <c r="X1159" s="5"/>
      <c r="Y1159" s="5"/>
      <c r="Z1159" s="5"/>
      <c r="AA1159" s="5"/>
      <c r="AB1159" s="5"/>
    </row>
    <row r="1160" customFormat="false" ht="15.75" hidden="false" customHeight="false" outlineLevel="0" collapsed="false">
      <c r="A1160" s="5" t="s">
        <v>2551</v>
      </c>
      <c r="B1160" s="5" t="s">
        <v>2570</v>
      </c>
      <c r="C1160" s="5" t="s">
        <v>2571</v>
      </c>
      <c r="D1160" s="5" t="s">
        <v>2572</v>
      </c>
      <c r="E1160" s="5"/>
      <c r="F1160" s="5"/>
      <c r="G1160" s="5"/>
      <c r="H1160" s="5" t="n">
        <f aca="false">(COUNTIF(J1160:EC1160,"=0")+COUNTIF(J1160:EC1160,"=1"))</f>
        <v>4</v>
      </c>
      <c r="I1160" s="10" t="n">
        <f aca="false">IFERROR(ROUND(10-AVERAGE(J1160:EC1160)*10,0),0)</f>
        <v>8</v>
      </c>
      <c r="J1160" s="5" t="n">
        <v>1</v>
      </c>
      <c r="K1160" s="11" t="n">
        <v>0</v>
      </c>
      <c r="L1160" s="5"/>
      <c r="M1160" s="5"/>
      <c r="N1160" s="5"/>
      <c r="O1160" s="5"/>
      <c r="P1160" s="11" t="n">
        <v>0</v>
      </c>
      <c r="Q1160" s="5"/>
      <c r="R1160" s="5"/>
      <c r="S1160" s="5"/>
      <c r="T1160" s="5"/>
      <c r="U1160" s="5"/>
      <c r="V1160" s="5"/>
      <c r="W1160" s="5"/>
      <c r="X1160" s="5"/>
      <c r="Y1160" s="5"/>
      <c r="Z1160" s="11" t="n">
        <v>0</v>
      </c>
      <c r="AA1160" s="5"/>
      <c r="AB1160" s="5"/>
    </row>
    <row r="1161" customFormat="false" ht="15.75" hidden="false" customHeight="false" outlineLevel="0" collapsed="false">
      <c r="A1161" s="5" t="s">
        <v>2551</v>
      </c>
      <c r="B1161" s="5" t="s">
        <v>2570</v>
      </c>
      <c r="C1161" s="5" t="s">
        <v>2573</v>
      </c>
      <c r="D1161" s="5" t="s">
        <v>2572</v>
      </c>
      <c r="E1161" s="5"/>
      <c r="F1161" s="5"/>
      <c r="G1161" s="9" t="s">
        <v>2574</v>
      </c>
      <c r="H1161" s="5" t="n">
        <f aca="false">(COUNTIF(J1161:EC1161,"=0")+COUNTIF(J1161:EC1161,"=1"))</f>
        <v>11</v>
      </c>
      <c r="I1161" s="15" t="n">
        <f aca="false">IFERROR(ROUND(10-AVERAGE(J1161:EC1161)*10,0),0)</f>
        <v>6</v>
      </c>
      <c r="J1161" s="11" t="n">
        <v>1</v>
      </c>
      <c r="K1161" s="11" t="n">
        <v>0</v>
      </c>
      <c r="L1161" s="11" t="n">
        <v>0</v>
      </c>
      <c r="M1161" s="5"/>
      <c r="N1161" s="5"/>
      <c r="O1161" s="11" t="n">
        <v>0</v>
      </c>
      <c r="P1161" s="11" t="n">
        <v>1</v>
      </c>
      <c r="Q1161" s="11" t="n">
        <v>1</v>
      </c>
      <c r="R1161" s="11" t="n">
        <v>1</v>
      </c>
      <c r="S1161" s="11" t="n">
        <v>0</v>
      </c>
      <c r="T1161" s="11" t="n">
        <v>0</v>
      </c>
      <c r="U1161" s="11" t="n">
        <v>0</v>
      </c>
      <c r="V1161" s="5"/>
      <c r="W1161" s="5" t="n">
        <v>0</v>
      </c>
      <c r="X1161" s="5"/>
      <c r="Y1161" s="5"/>
      <c r="Z1161" s="5"/>
      <c r="AA1161" s="5"/>
      <c r="AB1161" s="5"/>
    </row>
    <row r="1162" customFormat="false" ht="15.75" hidden="false" customHeight="false" outlineLevel="0" collapsed="false">
      <c r="A1162" s="5" t="s">
        <v>2551</v>
      </c>
      <c r="B1162" s="5" t="s">
        <v>2570</v>
      </c>
      <c r="C1162" s="5" t="s">
        <v>2575</v>
      </c>
      <c r="D1162" s="5" t="s">
        <v>2554</v>
      </c>
      <c r="E1162" s="5"/>
      <c r="F1162" s="5"/>
      <c r="G1162" s="5"/>
      <c r="H1162" s="5" t="n">
        <f aca="false">(COUNTIF(J1162:EC1162,"=0")+COUNTIF(J1162:EC1162,"=1"))</f>
        <v>4</v>
      </c>
      <c r="I1162" s="10" t="n">
        <f aca="false">IFERROR(ROUND(10-AVERAGE(J1162:EC1162)*10,0),0)</f>
        <v>8</v>
      </c>
      <c r="J1162" s="5" t="n">
        <v>1</v>
      </c>
      <c r="K1162" s="11" t="n">
        <v>0</v>
      </c>
      <c r="L1162" s="5"/>
      <c r="M1162" s="5"/>
      <c r="N1162" s="5"/>
      <c r="O1162" s="5"/>
      <c r="P1162" s="11" t="n">
        <v>0</v>
      </c>
      <c r="Q1162" s="5"/>
      <c r="R1162" s="5"/>
      <c r="S1162" s="5"/>
      <c r="T1162" s="5"/>
      <c r="U1162" s="5"/>
      <c r="V1162" s="5"/>
      <c r="W1162" s="5"/>
      <c r="X1162" s="5"/>
      <c r="Y1162" s="5"/>
      <c r="Z1162" s="11" t="n">
        <v>0</v>
      </c>
      <c r="AA1162" s="5"/>
      <c r="AB1162" s="5"/>
    </row>
    <row r="1163" customFormat="false" ht="15.75" hidden="false" customHeight="false" outlineLevel="0" collapsed="false">
      <c r="A1163" s="5" t="s">
        <v>2551</v>
      </c>
      <c r="B1163" s="5" t="s">
        <v>2570</v>
      </c>
      <c r="C1163" s="5" t="s">
        <v>2576</v>
      </c>
      <c r="D1163" s="5" t="s">
        <v>2554</v>
      </c>
      <c r="E1163" s="5"/>
      <c r="F1163" s="5"/>
      <c r="G1163" s="5"/>
      <c r="H1163" s="5" t="n">
        <f aca="false">(COUNTIF(J1163:EC1163,"=0")+COUNTIF(J1163:EC1163,"=1"))</f>
        <v>4</v>
      </c>
      <c r="I1163" s="10" t="n">
        <f aca="false">IFERROR(ROUND(10-AVERAGE(J1163:EC1163)*10,0),0)</f>
        <v>8</v>
      </c>
      <c r="J1163" s="5" t="n">
        <v>1</v>
      </c>
      <c r="K1163" s="11" t="n">
        <v>0</v>
      </c>
      <c r="L1163" s="5"/>
      <c r="M1163" s="5"/>
      <c r="N1163" s="5"/>
      <c r="O1163" s="5"/>
      <c r="P1163" s="11" t="n">
        <v>0</v>
      </c>
      <c r="Q1163" s="5"/>
      <c r="R1163" s="5"/>
      <c r="S1163" s="5"/>
      <c r="T1163" s="5"/>
      <c r="U1163" s="5"/>
      <c r="V1163" s="5"/>
      <c r="W1163" s="5"/>
      <c r="X1163" s="5"/>
      <c r="Y1163" s="5"/>
      <c r="Z1163" s="11" t="n">
        <v>0</v>
      </c>
      <c r="AA1163" s="5"/>
      <c r="AB1163" s="5"/>
    </row>
    <row r="1164" customFormat="false" ht="15.75" hidden="false" customHeight="false" outlineLevel="0" collapsed="false">
      <c r="A1164" s="5" t="s">
        <v>2577</v>
      </c>
      <c r="B1164" s="5" t="s">
        <v>2578</v>
      </c>
      <c r="C1164" s="5" t="s">
        <v>2579</v>
      </c>
      <c r="D1164" s="5"/>
      <c r="E1164" s="5"/>
      <c r="F1164" s="5"/>
      <c r="G1164" s="9" t="s">
        <v>2580</v>
      </c>
      <c r="H1164" s="5" t="n">
        <f aca="false">(COUNTIF(J1164:EC1164,"=0")+COUNTIF(J1164:EC1164,"=1"))</f>
        <v>5</v>
      </c>
      <c r="I1164" s="19" t="n">
        <f aca="false">IFERROR(ROUND(10-AVERAGE(J1164:EC1164)*10,0),0)</f>
        <v>6</v>
      </c>
      <c r="J1164" s="5" t="n">
        <v>0</v>
      </c>
      <c r="K1164" s="11" t="n">
        <v>0</v>
      </c>
      <c r="L1164" s="5"/>
      <c r="M1164" s="5"/>
      <c r="N1164" s="5"/>
      <c r="O1164" s="5"/>
      <c r="P1164" s="11" t="n">
        <v>1</v>
      </c>
      <c r="Q1164" s="5" t="n">
        <v>0</v>
      </c>
      <c r="R1164" s="5" t="n">
        <v>1</v>
      </c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customFormat="false" ht="15.75" hidden="false" customHeight="false" outlineLevel="0" collapsed="false">
      <c r="A1165" s="5" t="s">
        <v>2577</v>
      </c>
      <c r="B1165" s="5" t="s">
        <v>2578</v>
      </c>
      <c r="C1165" s="5" t="s">
        <v>79</v>
      </c>
      <c r="D1165" s="5" t="s">
        <v>2581</v>
      </c>
      <c r="E1165" s="5"/>
      <c r="F1165" s="5"/>
      <c r="G1165" s="9" t="s">
        <v>2582</v>
      </c>
      <c r="H1165" s="5" t="n">
        <f aca="false">(COUNTIF(J1165:EC1165,"=0")+COUNTIF(J1165:EC1165,"=1"))</f>
        <v>11</v>
      </c>
      <c r="I1165" s="13" t="n">
        <f aca="false">IFERROR(ROUND(10-AVERAGE(J1165:EC1165)*10,0),0)</f>
        <v>3</v>
      </c>
      <c r="J1165" s="11" t="n">
        <v>1</v>
      </c>
      <c r="K1165" s="11" t="n">
        <v>1</v>
      </c>
      <c r="L1165" s="11" t="n">
        <v>1</v>
      </c>
      <c r="M1165" s="5"/>
      <c r="N1165" s="11" t="n">
        <v>1</v>
      </c>
      <c r="O1165" s="11" t="n">
        <v>0</v>
      </c>
      <c r="P1165" s="11" t="n">
        <v>1</v>
      </c>
      <c r="Q1165" s="11" t="n">
        <v>1</v>
      </c>
      <c r="R1165" s="11" t="n">
        <v>1</v>
      </c>
      <c r="S1165" s="11" t="n">
        <v>1</v>
      </c>
      <c r="T1165" s="11" t="n">
        <v>0</v>
      </c>
      <c r="U1165" s="5"/>
      <c r="V1165" s="5"/>
      <c r="W1165" s="5"/>
      <c r="X1165" s="5"/>
      <c r="Y1165" s="5"/>
      <c r="Z1165" s="5"/>
      <c r="AA1165" s="5"/>
      <c r="AB1165" s="5"/>
      <c r="AF1165" s="5" t="n">
        <v>0</v>
      </c>
    </row>
    <row r="1166" customFormat="false" ht="15.75" hidden="false" customHeight="false" outlineLevel="0" collapsed="false">
      <c r="A1166" s="5" t="s">
        <v>2577</v>
      </c>
      <c r="B1166" s="5" t="s">
        <v>2578</v>
      </c>
      <c r="C1166" s="5" t="s">
        <v>2583</v>
      </c>
      <c r="D1166" s="5"/>
      <c r="E1166" s="5"/>
      <c r="F1166" s="5"/>
      <c r="G1166" s="9" t="s">
        <v>2584</v>
      </c>
      <c r="H1166" s="5" t="n">
        <f aca="false">(COUNTIF(J1166:EC1166,"=0")+COUNTIF(J1166:EC1166,"=1"))</f>
        <v>11</v>
      </c>
      <c r="I1166" s="23" t="n">
        <f aca="false">IFERROR(ROUND(10-AVERAGE(J1166:EC1166)*10,0),0)</f>
        <v>5</v>
      </c>
      <c r="J1166" s="11" t="n">
        <v>1</v>
      </c>
      <c r="K1166" s="11" t="n">
        <v>0</v>
      </c>
      <c r="L1166" s="11" t="n">
        <v>1</v>
      </c>
      <c r="M1166" s="5"/>
      <c r="N1166" s="11" t="n">
        <v>1</v>
      </c>
      <c r="O1166" s="11" t="n">
        <v>0</v>
      </c>
      <c r="P1166" s="11" t="n">
        <v>1</v>
      </c>
      <c r="Q1166" s="11" t="n">
        <v>0</v>
      </c>
      <c r="R1166" s="11" t="n">
        <v>1</v>
      </c>
      <c r="S1166" s="11" t="n">
        <v>1</v>
      </c>
      <c r="T1166" s="11" t="n">
        <v>0</v>
      </c>
      <c r="U1166" s="5"/>
      <c r="V1166" s="5"/>
      <c r="W1166" s="5"/>
      <c r="X1166" s="5"/>
      <c r="Y1166" s="5"/>
      <c r="Z1166" s="5"/>
      <c r="AA1166" s="5"/>
      <c r="AB1166" s="5"/>
      <c r="AF1166" s="5" t="n">
        <v>0</v>
      </c>
    </row>
    <row r="1167" customFormat="false" ht="15.75" hidden="false" customHeight="false" outlineLevel="0" collapsed="false">
      <c r="A1167" s="5" t="s">
        <v>2577</v>
      </c>
      <c r="B1167" s="5" t="s">
        <v>2578</v>
      </c>
      <c r="C1167" s="5" t="s">
        <v>2585</v>
      </c>
      <c r="D1167" s="5"/>
      <c r="E1167" s="5"/>
      <c r="F1167" s="5"/>
      <c r="G1167" s="9" t="s">
        <v>2586</v>
      </c>
      <c r="H1167" s="5" t="n">
        <f aca="false">(COUNTIF(J1167:EC1167,"=0")+COUNTIF(J1167:EC1167,"=1"))</f>
        <v>11</v>
      </c>
      <c r="I1167" s="15" t="n">
        <f aca="false">IFERROR(ROUND(10-AVERAGE(J1167:EC1167)*10,0),0)</f>
        <v>6</v>
      </c>
      <c r="J1167" s="11" t="n">
        <v>0</v>
      </c>
      <c r="K1167" s="11" t="n">
        <v>0</v>
      </c>
      <c r="L1167" s="11" t="n">
        <v>1</v>
      </c>
      <c r="M1167" s="5"/>
      <c r="N1167" s="11" t="n">
        <v>1</v>
      </c>
      <c r="O1167" s="11" t="n">
        <v>0</v>
      </c>
      <c r="P1167" s="11" t="n">
        <v>0</v>
      </c>
      <c r="Q1167" s="11" t="n">
        <v>0</v>
      </c>
      <c r="R1167" s="11" t="n">
        <v>1</v>
      </c>
      <c r="S1167" s="11" t="n">
        <v>1</v>
      </c>
      <c r="T1167" s="11" t="n">
        <v>0</v>
      </c>
      <c r="U1167" s="5"/>
      <c r="V1167" s="5"/>
      <c r="W1167" s="5"/>
      <c r="X1167" s="5"/>
      <c r="Y1167" s="5"/>
      <c r="Z1167" s="5"/>
      <c r="AA1167" s="5"/>
      <c r="AB1167" s="5"/>
      <c r="AD1167" s="5" t="n">
        <v>0</v>
      </c>
    </row>
    <row r="1168" customFormat="false" ht="15.75" hidden="false" customHeight="false" outlineLevel="0" collapsed="false">
      <c r="A1168" s="5" t="s">
        <v>2587</v>
      </c>
      <c r="B1168" s="5" t="s">
        <v>2587</v>
      </c>
      <c r="C1168" s="5" t="s">
        <v>2588</v>
      </c>
      <c r="D1168" s="5"/>
      <c r="E1168" s="5"/>
      <c r="F1168" s="5"/>
      <c r="G1168" s="5"/>
      <c r="H1168" s="5" t="n">
        <f aca="false">(COUNTIF(J1168:EC1168,"=0")+COUNTIF(J1168:EC1168,"=1"))</f>
        <v>4</v>
      </c>
      <c r="I1168" s="10" t="n">
        <f aca="false">IFERROR(ROUND(10-AVERAGE(J1168:EC1168)*10,0),0)</f>
        <v>10</v>
      </c>
      <c r="J1168" s="5" t="n">
        <v>0</v>
      </c>
      <c r="K1168" s="11" t="n">
        <v>0</v>
      </c>
      <c r="L1168" s="5"/>
      <c r="M1168" s="5"/>
      <c r="N1168" s="5"/>
      <c r="O1168" s="5"/>
      <c r="P1168" s="11" t="n">
        <v>0</v>
      </c>
      <c r="Q1168" s="5"/>
      <c r="R1168" s="5"/>
      <c r="S1168" s="5"/>
      <c r="T1168" s="5"/>
      <c r="U1168" s="5"/>
      <c r="V1168" s="5"/>
      <c r="W1168" s="5"/>
      <c r="X1168" s="5"/>
      <c r="Y1168" s="5"/>
      <c r="Z1168" s="11" t="n">
        <v>0</v>
      </c>
      <c r="AA1168" s="5"/>
      <c r="AB1168" s="5"/>
    </row>
    <row r="1169" customFormat="false" ht="15.75" hidden="false" customHeight="false" outlineLevel="0" collapsed="false">
      <c r="A1169" s="5" t="s">
        <v>2587</v>
      </c>
      <c r="B1169" s="5" t="s">
        <v>2587</v>
      </c>
      <c r="C1169" s="5" t="s">
        <v>2589</v>
      </c>
      <c r="D1169" s="5"/>
      <c r="E1169" s="5"/>
      <c r="F1169" s="5"/>
      <c r="G1169" s="5"/>
      <c r="H1169" s="5" t="n">
        <f aca="false">(COUNTIF(J1169:EC1169,"=0")+COUNTIF(J1169:EC1169,"=1"))</f>
        <v>5</v>
      </c>
      <c r="I1169" s="10" t="n">
        <f aca="false">IFERROR(ROUND(10-AVERAGE(J1169:EC1169)*10,0),0)</f>
        <v>10</v>
      </c>
      <c r="J1169" s="5" t="n">
        <v>0</v>
      </c>
      <c r="K1169" s="11" t="n">
        <v>0</v>
      </c>
      <c r="L1169" s="5"/>
      <c r="M1169" s="5"/>
      <c r="N1169" s="5"/>
      <c r="O1169" s="5"/>
      <c r="P1169" s="11" t="n">
        <v>0</v>
      </c>
      <c r="Q1169" s="5"/>
      <c r="R1169" s="5"/>
      <c r="S1169" s="5" t="n">
        <v>0</v>
      </c>
      <c r="T1169" s="5"/>
      <c r="U1169" s="5"/>
      <c r="V1169" s="5"/>
      <c r="W1169" s="5"/>
      <c r="X1169" s="5"/>
      <c r="Y1169" s="5"/>
      <c r="Z1169" s="11" t="n">
        <v>0</v>
      </c>
      <c r="AA1169" s="5"/>
      <c r="AB1169" s="5"/>
    </row>
    <row r="1170" customFormat="false" ht="15.75" hidden="false" customHeight="false" outlineLevel="0" collapsed="false">
      <c r="A1170" s="5" t="s">
        <v>2587</v>
      </c>
      <c r="B1170" s="5" t="s">
        <v>2587</v>
      </c>
      <c r="C1170" s="5" t="s">
        <v>2590</v>
      </c>
      <c r="D1170" s="5"/>
      <c r="E1170" s="5"/>
      <c r="F1170" s="5"/>
      <c r="G1170" s="5"/>
      <c r="H1170" s="5" t="n">
        <f aca="false">(COUNTIF(J1170:EC1170,"=0")+COUNTIF(J1170:EC1170,"=1"))</f>
        <v>4</v>
      </c>
      <c r="I1170" s="10" t="n">
        <f aca="false">IFERROR(ROUND(10-AVERAGE(J1170:EC1170)*10,0),0)</f>
        <v>10</v>
      </c>
      <c r="J1170" s="5" t="n">
        <v>0</v>
      </c>
      <c r="K1170" s="11" t="n">
        <v>0</v>
      </c>
      <c r="L1170" s="5"/>
      <c r="M1170" s="5"/>
      <c r="N1170" s="5"/>
      <c r="O1170" s="5"/>
      <c r="P1170" s="11" t="n">
        <v>0</v>
      </c>
      <c r="Q1170" s="5"/>
      <c r="R1170" s="5"/>
      <c r="S1170" s="5"/>
      <c r="T1170" s="5"/>
      <c r="U1170" s="5"/>
      <c r="V1170" s="5"/>
      <c r="W1170" s="5"/>
      <c r="X1170" s="5"/>
      <c r="Y1170" s="5"/>
      <c r="Z1170" s="11" t="n">
        <v>0</v>
      </c>
      <c r="AA1170" s="5"/>
      <c r="AB1170" s="5"/>
    </row>
    <row r="1171" customFormat="false" ht="15.75" hidden="false" customHeight="false" outlineLevel="0" collapsed="false">
      <c r="A1171" s="5" t="s">
        <v>2587</v>
      </c>
      <c r="B1171" s="5" t="s">
        <v>2587</v>
      </c>
      <c r="C1171" s="5" t="s">
        <v>2591</v>
      </c>
      <c r="D1171" s="5"/>
      <c r="E1171" s="5"/>
      <c r="F1171" s="5"/>
      <c r="G1171" s="5"/>
      <c r="H1171" s="5" t="n">
        <f aca="false">(COUNTIF(J1171:EC1171,"=0")+COUNTIF(J1171:EC1171,"=1"))</f>
        <v>5</v>
      </c>
      <c r="I1171" s="10" t="n">
        <f aca="false">IFERROR(ROUND(10-AVERAGE(J1171:EC1171)*10,0),0)</f>
        <v>10</v>
      </c>
      <c r="J1171" s="5" t="n">
        <v>0</v>
      </c>
      <c r="K1171" s="11" t="n">
        <v>0</v>
      </c>
      <c r="L1171" s="5"/>
      <c r="M1171" s="5"/>
      <c r="N1171" s="5"/>
      <c r="O1171" s="5"/>
      <c r="P1171" s="11" t="n">
        <v>0</v>
      </c>
      <c r="Q1171" s="5"/>
      <c r="R1171" s="5"/>
      <c r="S1171" s="5"/>
      <c r="T1171" s="5"/>
      <c r="U1171" s="5"/>
      <c r="V1171" s="5"/>
      <c r="W1171" s="5" t="n">
        <v>0</v>
      </c>
      <c r="X1171" s="5"/>
      <c r="Y1171" s="5"/>
      <c r="Z1171" s="11" t="n">
        <v>0</v>
      </c>
      <c r="AA1171" s="5"/>
      <c r="AB1171" s="5"/>
    </row>
    <row r="1172" customFormat="false" ht="15.75" hidden="false" customHeight="false" outlineLevel="0" collapsed="false">
      <c r="A1172" s="5" t="s">
        <v>2587</v>
      </c>
      <c r="B1172" s="5" t="s">
        <v>2587</v>
      </c>
      <c r="C1172" s="5" t="s">
        <v>2592</v>
      </c>
      <c r="D1172" s="5"/>
      <c r="E1172" s="5"/>
      <c r="F1172" s="5"/>
      <c r="G1172" s="9" t="s">
        <v>2593</v>
      </c>
      <c r="H1172" s="5" t="n">
        <f aca="false">(COUNTIF(J1172:EC1172,"=0")+COUNTIF(J1172:EC1172,"=1"))</f>
        <v>4</v>
      </c>
      <c r="I1172" s="10" t="n">
        <f aca="false">IFERROR(ROUND(10-AVERAGE(J1172:EC1172)*10,0),0)</f>
        <v>10</v>
      </c>
      <c r="J1172" s="5" t="n">
        <v>0</v>
      </c>
      <c r="K1172" s="11" t="n">
        <v>0</v>
      </c>
      <c r="L1172" s="5"/>
      <c r="M1172" s="5"/>
      <c r="N1172" s="5"/>
      <c r="O1172" s="5"/>
      <c r="P1172" s="11" t="n">
        <v>0</v>
      </c>
      <c r="Q1172" s="5"/>
      <c r="R1172" s="5"/>
      <c r="S1172" s="5"/>
      <c r="T1172" s="5"/>
      <c r="U1172" s="5"/>
      <c r="V1172" s="5"/>
      <c r="W1172" s="5"/>
      <c r="X1172" s="5"/>
      <c r="Y1172" s="5"/>
      <c r="Z1172" s="11" t="n">
        <v>0</v>
      </c>
      <c r="AA1172" s="5"/>
      <c r="AB1172" s="5"/>
    </row>
    <row r="1173" customFormat="false" ht="15.75" hidden="false" customHeight="false" outlineLevel="0" collapsed="false">
      <c r="A1173" s="5" t="s">
        <v>2587</v>
      </c>
      <c r="B1173" s="5" t="s">
        <v>2587</v>
      </c>
      <c r="C1173" s="5" t="s">
        <v>2594</v>
      </c>
      <c r="D1173" s="5"/>
      <c r="E1173" s="5"/>
      <c r="F1173" s="5"/>
      <c r="G1173" s="5"/>
      <c r="H1173" s="5" t="n">
        <f aca="false">(COUNTIF(J1173:EC1173,"=0")+COUNTIF(J1173:EC1173,"=1"))</f>
        <v>3</v>
      </c>
      <c r="I1173" s="10" t="n">
        <f aca="false">IFERROR(ROUND(10-AVERAGE(J1173:EC1173)*10,0),0)</f>
        <v>10</v>
      </c>
      <c r="J1173" s="5" t="n">
        <v>0</v>
      </c>
      <c r="K1173" s="11" t="n">
        <v>0</v>
      </c>
      <c r="L1173" s="5"/>
      <c r="M1173" s="5"/>
      <c r="N1173" s="5"/>
      <c r="O1173" s="5"/>
      <c r="P1173" s="11" t="n">
        <v>0</v>
      </c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customFormat="false" ht="15.75" hidden="false" customHeight="false" outlineLevel="0" collapsed="false">
      <c r="A1174" s="5" t="s">
        <v>2587</v>
      </c>
      <c r="B1174" s="5" t="s">
        <v>2587</v>
      </c>
      <c r="C1174" s="5" t="s">
        <v>72</v>
      </c>
      <c r="D1174" s="5"/>
      <c r="E1174" s="5"/>
      <c r="F1174" s="5"/>
      <c r="G1174" s="9" t="s">
        <v>2595</v>
      </c>
      <c r="H1174" s="5" t="n">
        <f aca="false">(COUNTIF(J1174:EC1174,"=0")+COUNTIF(J1174:EC1174,"=1"))</f>
        <v>4</v>
      </c>
      <c r="I1174" s="10" t="n">
        <f aca="false">IFERROR(ROUND(10-AVERAGE(J1174:EC1174)*10,0),0)</f>
        <v>10</v>
      </c>
      <c r="J1174" s="11" t="n">
        <v>0</v>
      </c>
      <c r="K1174" s="11" t="n">
        <v>0</v>
      </c>
      <c r="L1174" s="5"/>
      <c r="M1174" s="5"/>
      <c r="N1174" s="5"/>
      <c r="O1174" s="5"/>
      <c r="P1174" s="11" t="n">
        <v>0</v>
      </c>
      <c r="Q1174" s="5"/>
      <c r="R1174" s="5"/>
      <c r="S1174" s="5"/>
      <c r="T1174" s="5"/>
      <c r="U1174" s="5"/>
      <c r="V1174" s="5"/>
      <c r="W1174" s="5"/>
      <c r="X1174" s="5"/>
      <c r="Y1174" s="5"/>
      <c r="Z1174" s="11" t="n">
        <v>0</v>
      </c>
      <c r="AA1174" s="5"/>
      <c r="AB1174" s="5"/>
    </row>
    <row r="1175" customFormat="false" ht="15.75" hidden="false" customHeight="false" outlineLevel="0" collapsed="false">
      <c r="A1175" s="5" t="s">
        <v>2587</v>
      </c>
      <c r="B1175" s="5" t="s">
        <v>2587</v>
      </c>
      <c r="C1175" s="5" t="s">
        <v>2596</v>
      </c>
      <c r="D1175" s="5"/>
      <c r="E1175" s="5"/>
      <c r="F1175" s="5"/>
      <c r="G1175" s="5"/>
      <c r="H1175" s="5" t="n">
        <f aca="false">(COUNTIF(J1175:EC1175,"=0")+COUNTIF(J1175:EC1175,"=1"))</f>
        <v>4</v>
      </c>
      <c r="I1175" s="10" t="n">
        <f aca="false">IFERROR(ROUND(10-AVERAGE(J1175:EC1175)*10,0),0)</f>
        <v>10</v>
      </c>
      <c r="J1175" s="5" t="n">
        <v>0</v>
      </c>
      <c r="K1175" s="11" t="n">
        <v>0</v>
      </c>
      <c r="L1175" s="5"/>
      <c r="M1175" s="5"/>
      <c r="N1175" s="5"/>
      <c r="O1175" s="5"/>
      <c r="P1175" s="11" t="n">
        <v>0</v>
      </c>
      <c r="Q1175" s="5"/>
      <c r="R1175" s="5"/>
      <c r="S1175" s="5"/>
      <c r="T1175" s="5"/>
      <c r="U1175" s="5"/>
      <c r="V1175" s="5"/>
      <c r="W1175" s="5"/>
      <c r="X1175" s="5"/>
      <c r="Y1175" s="5"/>
      <c r="Z1175" s="11" t="n">
        <v>0</v>
      </c>
      <c r="AA1175" s="5"/>
      <c r="AB1175" s="5"/>
    </row>
    <row r="1176" customFormat="false" ht="15.75" hidden="false" customHeight="false" outlineLevel="0" collapsed="false">
      <c r="A1176" s="5" t="s">
        <v>2597</v>
      </c>
      <c r="B1176" s="5" t="s">
        <v>2598</v>
      </c>
      <c r="C1176" s="5" t="s">
        <v>87</v>
      </c>
      <c r="D1176" s="5"/>
      <c r="E1176" s="5"/>
      <c r="F1176" s="5"/>
      <c r="G1176" s="9" t="s">
        <v>2599</v>
      </c>
      <c r="H1176" s="5" t="n">
        <f aca="false">(COUNTIF(J1176:EC1176,"=0")+COUNTIF(J1176:EC1176,"=1"))</f>
        <v>9</v>
      </c>
      <c r="I1176" s="19" t="n">
        <f aca="false">IFERROR(ROUND(10-AVERAGE(J1176:EC1176)*10,0),0)</f>
        <v>7</v>
      </c>
      <c r="J1176" s="11" t="n">
        <v>0</v>
      </c>
      <c r="K1176" s="11" t="n">
        <v>1</v>
      </c>
      <c r="L1176" s="5"/>
      <c r="M1176" s="5"/>
      <c r="N1176" s="5"/>
      <c r="O1176" s="5"/>
      <c r="P1176" s="11" t="n">
        <v>1</v>
      </c>
      <c r="Q1176" s="11" t="n">
        <v>0</v>
      </c>
      <c r="R1176" s="5"/>
      <c r="S1176" s="11" t="n">
        <v>1</v>
      </c>
      <c r="T1176" s="11" t="n">
        <v>0</v>
      </c>
      <c r="U1176" s="5"/>
      <c r="V1176" s="5"/>
      <c r="W1176" s="5"/>
      <c r="X1176" s="5"/>
      <c r="Y1176" s="5"/>
      <c r="Z1176" s="5" t="n">
        <v>0</v>
      </c>
      <c r="AA1176" s="5"/>
      <c r="AB1176" s="5"/>
      <c r="AD1176" s="5" t="n">
        <v>0</v>
      </c>
      <c r="AF1176" s="5" t="n">
        <v>0</v>
      </c>
    </row>
    <row r="1177" customFormat="false" ht="15.75" hidden="false" customHeight="false" outlineLevel="0" collapsed="false">
      <c r="A1177" s="5" t="s">
        <v>2600</v>
      </c>
      <c r="B1177" s="5" t="s">
        <v>2601</v>
      </c>
      <c r="C1177" s="5" t="s">
        <v>2602</v>
      </c>
      <c r="D1177" s="5"/>
      <c r="E1177" s="5"/>
      <c r="F1177" s="5"/>
      <c r="G1177" s="9" t="s">
        <v>2603</v>
      </c>
      <c r="H1177" s="5" t="n">
        <f aca="false">(COUNTIF(J1177:EC1177,"=0")+COUNTIF(J1177:EC1177,"=1"))</f>
        <v>9</v>
      </c>
      <c r="I1177" s="10" t="n">
        <f aca="false">IFERROR(ROUND(10-AVERAGE(J1177:EC1177)*10,0),0)</f>
        <v>10</v>
      </c>
      <c r="J1177" s="11" t="n">
        <v>0</v>
      </c>
      <c r="K1177" s="11" t="n">
        <v>0</v>
      </c>
      <c r="L1177" s="11" t="n">
        <v>0</v>
      </c>
      <c r="M1177" s="5"/>
      <c r="N1177" s="5"/>
      <c r="O1177" s="11" t="n">
        <v>0</v>
      </c>
      <c r="P1177" s="11" t="n">
        <v>0</v>
      </c>
      <c r="Q1177" s="11" t="n">
        <v>0</v>
      </c>
      <c r="R1177" s="5"/>
      <c r="S1177" s="11" t="n">
        <v>0</v>
      </c>
      <c r="T1177" s="11" t="n">
        <v>0</v>
      </c>
      <c r="U1177" s="5"/>
      <c r="V1177" s="5"/>
      <c r="W1177" s="5" t="n">
        <v>0</v>
      </c>
      <c r="X1177" s="5"/>
      <c r="Y1177" s="5"/>
      <c r="Z1177" s="5"/>
      <c r="AA1177" s="5"/>
      <c r="AB1177" s="5"/>
    </row>
    <row r="1178" customFormat="false" ht="15.75" hidden="false" customHeight="false" outlineLevel="0" collapsed="false">
      <c r="A1178" s="5" t="s">
        <v>2600</v>
      </c>
      <c r="B1178" s="5" t="s">
        <v>2604</v>
      </c>
      <c r="C1178" s="5" t="s">
        <v>2605</v>
      </c>
      <c r="D1178" s="5"/>
      <c r="E1178" s="5"/>
      <c r="F1178" s="5"/>
      <c r="G1178" s="9" t="s">
        <v>2606</v>
      </c>
      <c r="H1178" s="5" t="n">
        <f aca="false">(COUNTIF(J1178:EC1178,"=0")+COUNTIF(J1178:EC1178,"=1"))</f>
        <v>8</v>
      </c>
      <c r="I1178" s="17" t="n">
        <f aca="false">IFERROR(ROUND(10-AVERAGE(J1178:EC1178)*10,0),0)</f>
        <v>9</v>
      </c>
      <c r="J1178" s="11" t="n">
        <v>1</v>
      </c>
      <c r="K1178" s="11" t="n">
        <v>0</v>
      </c>
      <c r="L1178" s="11" t="n">
        <v>0</v>
      </c>
      <c r="M1178" s="5"/>
      <c r="N1178" s="5"/>
      <c r="O1178" s="11" t="n">
        <v>0</v>
      </c>
      <c r="P1178" s="11" t="n">
        <v>0</v>
      </c>
      <c r="Q1178" s="11" t="n">
        <v>0</v>
      </c>
      <c r="R1178" s="5"/>
      <c r="S1178" s="11" t="n">
        <v>0</v>
      </c>
      <c r="T1178" s="11" t="n">
        <v>0</v>
      </c>
      <c r="U1178" s="5"/>
      <c r="V1178" s="5"/>
      <c r="W1178" s="5"/>
      <c r="X1178" s="5"/>
      <c r="Y1178" s="5"/>
      <c r="Z1178" s="5"/>
      <c r="AA1178" s="5"/>
      <c r="AB1178" s="5"/>
    </row>
    <row r="1179" customFormat="false" ht="15.75" hidden="false" customHeight="false" outlineLevel="0" collapsed="false">
      <c r="A1179" s="5" t="s">
        <v>2600</v>
      </c>
      <c r="B1179" s="5" t="s">
        <v>2607</v>
      </c>
      <c r="C1179" s="5" t="s">
        <v>2608</v>
      </c>
      <c r="D1179" s="5"/>
      <c r="E1179" s="5"/>
      <c r="F1179" s="5"/>
      <c r="G1179" s="9" t="s">
        <v>2609</v>
      </c>
      <c r="H1179" s="5" t="n">
        <f aca="false">(COUNTIF(J1179:EC1179,"=0")+COUNTIF(J1179:EC1179,"=1"))</f>
        <v>8</v>
      </c>
      <c r="I1179" s="17" t="n">
        <f aca="false">IFERROR(ROUND(10-AVERAGE(J1179:EC1179)*10,0),0)</f>
        <v>9</v>
      </c>
      <c r="J1179" s="11" t="n">
        <v>1</v>
      </c>
      <c r="K1179" s="11" t="n">
        <v>0</v>
      </c>
      <c r="L1179" s="11" t="n">
        <v>0</v>
      </c>
      <c r="M1179" s="5"/>
      <c r="N1179" s="5"/>
      <c r="O1179" s="11" t="n">
        <v>0</v>
      </c>
      <c r="P1179" s="11" t="n">
        <v>0</v>
      </c>
      <c r="Q1179" s="11" t="n">
        <v>0</v>
      </c>
      <c r="R1179" s="5"/>
      <c r="S1179" s="11" t="n">
        <v>0</v>
      </c>
      <c r="T1179" s="11" t="n">
        <v>0</v>
      </c>
      <c r="U1179" s="5"/>
      <c r="V1179" s="5"/>
      <c r="W1179" s="5"/>
      <c r="X1179" s="5"/>
      <c r="Y1179" s="5"/>
      <c r="Z1179" s="5"/>
      <c r="AA1179" s="5"/>
      <c r="AB1179" s="5"/>
    </row>
    <row r="1180" customFormat="false" ht="15.75" hidden="false" customHeight="false" outlineLevel="0" collapsed="false">
      <c r="A1180" s="5" t="s">
        <v>2600</v>
      </c>
      <c r="B1180" s="5" t="s">
        <v>2610</v>
      </c>
      <c r="C1180" s="5" t="s">
        <v>2611</v>
      </c>
      <c r="D1180" s="5"/>
      <c r="E1180" s="5"/>
      <c r="F1180" s="5"/>
      <c r="G1180" s="5"/>
      <c r="H1180" s="5" t="n">
        <f aca="false">(COUNTIF(J1180:EC1180,"=0")+COUNTIF(J1180:EC1180,"=1"))</f>
        <v>8</v>
      </c>
      <c r="I1180" s="10" t="n">
        <f aca="false">IFERROR(ROUND(10-AVERAGE(J1180:EC1180)*10,0),0)</f>
        <v>10</v>
      </c>
      <c r="J1180" s="11" t="n">
        <v>0</v>
      </c>
      <c r="K1180" s="11" t="n">
        <v>0</v>
      </c>
      <c r="L1180" s="11" t="n">
        <v>0</v>
      </c>
      <c r="M1180" s="5"/>
      <c r="N1180" s="5"/>
      <c r="O1180" s="11" t="n">
        <v>0</v>
      </c>
      <c r="P1180" s="11" t="n">
        <v>0</v>
      </c>
      <c r="Q1180" s="11" t="n">
        <v>0</v>
      </c>
      <c r="R1180" s="5"/>
      <c r="S1180" s="11" t="n">
        <v>0</v>
      </c>
      <c r="T1180" s="11" t="n">
        <v>0</v>
      </c>
      <c r="U1180" s="5"/>
      <c r="V1180" s="5"/>
      <c r="W1180" s="5"/>
      <c r="X1180" s="5"/>
      <c r="Y1180" s="5"/>
      <c r="Z1180" s="5"/>
      <c r="AA1180" s="5"/>
      <c r="AB1180" s="5"/>
    </row>
    <row r="1181" customFormat="false" ht="15.75" hidden="false" customHeight="false" outlineLevel="0" collapsed="false">
      <c r="A1181" s="5" t="s">
        <v>2600</v>
      </c>
      <c r="B1181" s="5" t="s">
        <v>2612</v>
      </c>
      <c r="C1181" s="5" t="s">
        <v>2613</v>
      </c>
      <c r="D1181" s="5"/>
      <c r="E1181" s="5"/>
      <c r="F1181" s="5"/>
      <c r="G1181" s="9" t="s">
        <v>2614</v>
      </c>
      <c r="H1181" s="5" t="n">
        <f aca="false">(COUNTIF(J1181:EC1181,"=0")+COUNTIF(J1181:EC1181,"=1"))</f>
        <v>8</v>
      </c>
      <c r="I1181" s="10" t="n">
        <f aca="false">IFERROR(ROUND(10-AVERAGE(J1181:EC1181)*10,0),0)</f>
        <v>10</v>
      </c>
      <c r="J1181" s="11" t="n">
        <v>0</v>
      </c>
      <c r="K1181" s="11" t="n">
        <v>0</v>
      </c>
      <c r="L1181" s="11" t="n">
        <v>0</v>
      </c>
      <c r="M1181" s="5"/>
      <c r="N1181" s="5"/>
      <c r="O1181" s="11" t="n">
        <v>0</v>
      </c>
      <c r="P1181" s="11" t="n">
        <v>0</v>
      </c>
      <c r="Q1181" s="11" t="n">
        <v>0</v>
      </c>
      <c r="R1181" s="5"/>
      <c r="S1181" s="11" t="n">
        <v>0</v>
      </c>
      <c r="T1181" s="11" t="n">
        <v>0</v>
      </c>
      <c r="U1181" s="5"/>
      <c r="V1181" s="5"/>
      <c r="W1181" s="5"/>
      <c r="X1181" s="5"/>
      <c r="Y1181" s="5"/>
      <c r="Z1181" s="5"/>
      <c r="AA1181" s="5"/>
      <c r="AB1181" s="5"/>
    </row>
    <row r="1182" customFormat="false" ht="15.75" hidden="false" customHeight="false" outlineLevel="0" collapsed="false">
      <c r="A1182" s="5" t="s">
        <v>2600</v>
      </c>
      <c r="B1182" s="5" t="s">
        <v>2615</v>
      </c>
      <c r="C1182" s="5" t="s">
        <v>2616</v>
      </c>
      <c r="D1182" s="5"/>
      <c r="E1182" s="5"/>
      <c r="F1182" s="5"/>
      <c r="G1182" s="9" t="s">
        <v>2617</v>
      </c>
      <c r="H1182" s="5" t="n">
        <f aca="false">(COUNTIF(J1182:EC1182,"=0")+COUNTIF(J1182:EC1182,"=1"))</f>
        <v>8</v>
      </c>
      <c r="I1182" s="10" t="n">
        <f aca="false">IFERROR(ROUND(10-AVERAGE(J1182:EC1182)*10,0),0)</f>
        <v>10</v>
      </c>
      <c r="J1182" s="11" t="n">
        <v>0</v>
      </c>
      <c r="K1182" s="11" t="n">
        <v>0</v>
      </c>
      <c r="L1182" s="11" t="n">
        <v>0</v>
      </c>
      <c r="M1182" s="5"/>
      <c r="N1182" s="5"/>
      <c r="O1182" s="11" t="n">
        <v>0</v>
      </c>
      <c r="P1182" s="11" t="n">
        <v>0</v>
      </c>
      <c r="Q1182" s="11" t="n">
        <v>0</v>
      </c>
      <c r="R1182" s="5"/>
      <c r="S1182" s="11" t="n">
        <v>0</v>
      </c>
      <c r="T1182" s="11" t="n">
        <v>0</v>
      </c>
      <c r="U1182" s="5"/>
      <c r="V1182" s="5"/>
      <c r="W1182" s="5"/>
      <c r="X1182" s="5"/>
      <c r="Y1182" s="5"/>
      <c r="Z1182" s="5"/>
      <c r="AA1182" s="5"/>
      <c r="AB1182" s="5"/>
    </row>
    <row r="1183" customFormat="false" ht="15.75" hidden="false" customHeight="false" outlineLevel="0" collapsed="false">
      <c r="A1183" s="5" t="s">
        <v>2600</v>
      </c>
      <c r="B1183" s="5" t="s">
        <v>2618</v>
      </c>
      <c r="C1183" s="5" t="s">
        <v>2619</v>
      </c>
      <c r="D1183" s="5"/>
      <c r="E1183" s="5"/>
      <c r="F1183" s="5"/>
      <c r="G1183" s="9" t="s">
        <v>2620</v>
      </c>
      <c r="H1183" s="5" t="n">
        <f aca="false">(COUNTIF(J1183:EC1183,"=0")+COUNTIF(J1183:EC1183,"=1"))</f>
        <v>8</v>
      </c>
      <c r="I1183" s="10" t="n">
        <f aca="false">IFERROR(ROUND(10-AVERAGE(J1183:EC1183)*10,0),0)</f>
        <v>10</v>
      </c>
      <c r="J1183" s="11" t="n">
        <v>0</v>
      </c>
      <c r="K1183" s="11" t="n">
        <v>0</v>
      </c>
      <c r="L1183" s="11" t="n">
        <v>0</v>
      </c>
      <c r="M1183" s="5"/>
      <c r="N1183" s="5"/>
      <c r="O1183" s="11" t="n">
        <v>0</v>
      </c>
      <c r="P1183" s="11" t="n">
        <v>0</v>
      </c>
      <c r="Q1183" s="11" t="n">
        <v>0</v>
      </c>
      <c r="R1183" s="5"/>
      <c r="S1183" s="11" t="n">
        <v>0</v>
      </c>
      <c r="T1183" s="11" t="n">
        <v>0</v>
      </c>
      <c r="U1183" s="5"/>
      <c r="V1183" s="5"/>
      <c r="W1183" s="5"/>
      <c r="X1183" s="5"/>
      <c r="Y1183" s="5"/>
      <c r="Z1183" s="5"/>
      <c r="AA1183" s="5"/>
      <c r="AB1183" s="5"/>
    </row>
    <row r="1184" customFormat="false" ht="15.75" hidden="false" customHeight="false" outlineLevel="0" collapsed="false">
      <c r="A1184" s="5" t="s">
        <v>2600</v>
      </c>
      <c r="B1184" s="5" t="s">
        <v>2621</v>
      </c>
      <c r="C1184" s="5" t="s">
        <v>2622</v>
      </c>
      <c r="D1184" s="5"/>
      <c r="E1184" s="5"/>
      <c r="F1184" s="5"/>
      <c r="G1184" s="9" t="s">
        <v>2623</v>
      </c>
      <c r="H1184" s="5" t="n">
        <f aca="false">(COUNTIF(J1184:EC1184,"=0")+COUNTIF(J1184:EC1184,"=1"))</f>
        <v>8</v>
      </c>
      <c r="I1184" s="10" t="n">
        <f aca="false">IFERROR(ROUND(10-AVERAGE(J1184:EC1184)*10,0),0)</f>
        <v>10</v>
      </c>
      <c r="J1184" s="11" t="n">
        <v>0</v>
      </c>
      <c r="K1184" s="11" t="n">
        <v>0</v>
      </c>
      <c r="L1184" s="11" t="n">
        <v>0</v>
      </c>
      <c r="M1184" s="5"/>
      <c r="N1184" s="5"/>
      <c r="O1184" s="11" t="n">
        <v>0</v>
      </c>
      <c r="P1184" s="11" t="n">
        <v>0</v>
      </c>
      <c r="Q1184" s="11" t="n">
        <v>0</v>
      </c>
      <c r="R1184" s="5"/>
      <c r="S1184" s="11" t="n">
        <v>0</v>
      </c>
      <c r="T1184" s="11" t="n">
        <v>0</v>
      </c>
      <c r="U1184" s="5"/>
      <c r="V1184" s="5"/>
      <c r="W1184" s="5"/>
      <c r="X1184" s="5"/>
      <c r="Y1184" s="5"/>
      <c r="Z1184" s="5"/>
      <c r="AA1184" s="5"/>
      <c r="AB1184" s="5"/>
    </row>
    <row r="1185" customFormat="false" ht="15.75" hidden="false" customHeight="false" outlineLevel="0" collapsed="false">
      <c r="A1185" s="5" t="s">
        <v>2600</v>
      </c>
      <c r="B1185" s="5" t="s">
        <v>2624</v>
      </c>
      <c r="C1185" s="5" t="s">
        <v>2625</v>
      </c>
      <c r="D1185" s="5"/>
      <c r="E1185" s="5"/>
      <c r="F1185" s="5"/>
      <c r="G1185" s="9" t="s">
        <v>2626</v>
      </c>
      <c r="H1185" s="5" t="n">
        <f aca="false">(COUNTIF(J1185:EC1185,"=0")+COUNTIF(J1185:EC1185,"=1"))</f>
        <v>8</v>
      </c>
      <c r="I1185" s="10" t="n">
        <f aca="false">IFERROR(ROUND(10-AVERAGE(J1185:EC1185)*10,0),0)</f>
        <v>10</v>
      </c>
      <c r="J1185" s="11" t="n">
        <v>0</v>
      </c>
      <c r="K1185" s="11" t="n">
        <v>0</v>
      </c>
      <c r="L1185" s="11" t="n">
        <v>0</v>
      </c>
      <c r="M1185" s="5"/>
      <c r="N1185" s="5"/>
      <c r="O1185" s="11" t="n">
        <v>0</v>
      </c>
      <c r="P1185" s="11" t="n">
        <v>0</v>
      </c>
      <c r="Q1185" s="11" t="n">
        <v>0</v>
      </c>
      <c r="R1185" s="5"/>
      <c r="S1185" s="11" t="n">
        <v>0</v>
      </c>
      <c r="T1185" s="11" t="n">
        <v>0</v>
      </c>
      <c r="U1185" s="5"/>
      <c r="V1185" s="5"/>
      <c r="W1185" s="5"/>
      <c r="X1185" s="5"/>
      <c r="Y1185" s="5"/>
      <c r="Z1185" s="5"/>
      <c r="AA1185" s="5"/>
      <c r="AB1185" s="5"/>
    </row>
    <row r="1186" customFormat="false" ht="15.75" hidden="false" customHeight="false" outlineLevel="0" collapsed="false">
      <c r="A1186" s="5" t="s">
        <v>2600</v>
      </c>
      <c r="B1186" s="5" t="s">
        <v>2627</v>
      </c>
      <c r="C1186" s="5" t="s">
        <v>2628</v>
      </c>
      <c r="D1186" s="5"/>
      <c r="E1186" s="5"/>
      <c r="F1186" s="5"/>
      <c r="G1186" s="9" t="s">
        <v>2629</v>
      </c>
      <c r="H1186" s="5" t="n">
        <f aca="false">(COUNTIF(J1186:EC1186,"=0")+COUNTIF(J1186:EC1186,"=1"))</f>
        <v>8</v>
      </c>
      <c r="I1186" s="10" t="n">
        <f aca="false">IFERROR(ROUND(10-AVERAGE(J1186:EC1186)*10,0),0)</f>
        <v>10</v>
      </c>
      <c r="J1186" s="11" t="n">
        <v>0</v>
      </c>
      <c r="K1186" s="11" t="n">
        <v>0</v>
      </c>
      <c r="L1186" s="11" t="n">
        <v>0</v>
      </c>
      <c r="M1186" s="5"/>
      <c r="N1186" s="5"/>
      <c r="O1186" s="11" t="n">
        <v>0</v>
      </c>
      <c r="P1186" s="11" t="n">
        <v>0</v>
      </c>
      <c r="Q1186" s="11" t="n">
        <v>0</v>
      </c>
      <c r="R1186" s="5"/>
      <c r="S1186" s="11" t="n">
        <v>0</v>
      </c>
      <c r="T1186" s="11" t="n">
        <v>0</v>
      </c>
      <c r="U1186" s="5"/>
      <c r="V1186" s="5"/>
      <c r="W1186" s="5"/>
      <c r="X1186" s="5"/>
      <c r="Y1186" s="5"/>
      <c r="Z1186" s="5"/>
      <c r="AA1186" s="5"/>
      <c r="AB1186" s="5"/>
    </row>
    <row r="1187" customFormat="false" ht="15.75" hidden="false" customHeight="false" outlineLevel="0" collapsed="false">
      <c r="A1187" s="5" t="s">
        <v>2600</v>
      </c>
      <c r="B1187" s="5" t="s">
        <v>2630</v>
      </c>
      <c r="C1187" s="5" t="s">
        <v>2631</v>
      </c>
      <c r="D1187" s="5"/>
      <c r="E1187" s="5"/>
      <c r="F1187" s="5"/>
      <c r="G1187" s="9" t="s">
        <v>2632</v>
      </c>
      <c r="H1187" s="5" t="n">
        <f aca="false">(COUNTIF(J1187:EC1187,"=0")+COUNTIF(J1187:EC1187,"=1"))</f>
        <v>8</v>
      </c>
      <c r="I1187" s="10" t="n">
        <f aca="false">IFERROR(ROUND(10-AVERAGE(J1187:EC1187)*10,0),0)</f>
        <v>10</v>
      </c>
      <c r="J1187" s="11" t="n">
        <v>0</v>
      </c>
      <c r="K1187" s="11" t="n">
        <v>0</v>
      </c>
      <c r="L1187" s="11" t="n">
        <v>0</v>
      </c>
      <c r="M1187" s="5"/>
      <c r="N1187" s="5"/>
      <c r="O1187" s="11" t="n">
        <v>0</v>
      </c>
      <c r="P1187" s="11" t="n">
        <v>0</v>
      </c>
      <c r="Q1187" s="11" t="n">
        <v>0</v>
      </c>
      <c r="R1187" s="5"/>
      <c r="S1187" s="11" t="n">
        <v>0</v>
      </c>
      <c r="T1187" s="11" t="n">
        <v>0</v>
      </c>
      <c r="U1187" s="5"/>
      <c r="V1187" s="5"/>
      <c r="W1187" s="5"/>
      <c r="X1187" s="5"/>
      <c r="Y1187" s="5"/>
      <c r="Z1187" s="5"/>
      <c r="AA1187" s="5"/>
      <c r="AB1187" s="5"/>
    </row>
    <row r="1188" customFormat="false" ht="15.75" hidden="false" customHeight="false" outlineLevel="0" collapsed="false">
      <c r="A1188" s="5" t="s">
        <v>2600</v>
      </c>
      <c r="B1188" s="5" t="s">
        <v>2633</v>
      </c>
      <c r="C1188" s="5" t="s">
        <v>2634</v>
      </c>
      <c r="D1188" s="5"/>
      <c r="E1188" s="5"/>
      <c r="F1188" s="5"/>
      <c r="G1188" s="9" t="s">
        <v>2635</v>
      </c>
      <c r="H1188" s="5" t="n">
        <f aca="false">(COUNTIF(J1188:EC1188,"=0")+COUNTIF(J1188:EC1188,"=1"))</f>
        <v>8</v>
      </c>
      <c r="I1188" s="10" t="n">
        <f aca="false">IFERROR(ROUND(10-AVERAGE(J1188:EC1188)*10,0),0)</f>
        <v>10</v>
      </c>
      <c r="J1188" s="11" t="n">
        <v>0</v>
      </c>
      <c r="K1188" s="11" t="n">
        <v>0</v>
      </c>
      <c r="L1188" s="11" t="n">
        <v>0</v>
      </c>
      <c r="M1188" s="5"/>
      <c r="N1188" s="5"/>
      <c r="O1188" s="11" t="n">
        <v>0</v>
      </c>
      <c r="P1188" s="11" t="n">
        <v>0</v>
      </c>
      <c r="Q1188" s="11" t="n">
        <v>0</v>
      </c>
      <c r="R1188" s="5"/>
      <c r="S1188" s="11" t="n">
        <v>0</v>
      </c>
      <c r="T1188" s="11" t="n">
        <v>0</v>
      </c>
      <c r="U1188" s="5"/>
      <c r="V1188" s="5"/>
      <c r="W1188" s="5"/>
      <c r="X1188" s="5"/>
      <c r="Y1188" s="5"/>
      <c r="Z1188" s="5"/>
      <c r="AA1188" s="5"/>
      <c r="AB1188" s="5"/>
    </row>
    <row r="1189" customFormat="false" ht="15.75" hidden="false" customHeight="false" outlineLevel="0" collapsed="false">
      <c r="A1189" s="5" t="s">
        <v>2636</v>
      </c>
      <c r="B1189" s="5" t="s">
        <v>2636</v>
      </c>
      <c r="C1189" s="5" t="s">
        <v>2637</v>
      </c>
      <c r="D1189" s="5" t="s">
        <v>2638</v>
      </c>
      <c r="E1189" s="9" t="s">
        <v>2639</v>
      </c>
      <c r="F1189" s="5"/>
      <c r="G1189" s="9" t="s">
        <v>2640</v>
      </c>
      <c r="H1189" s="5" t="n">
        <f aca="false">(COUNTIF(J1189:EC1189,"=0")+COUNTIF(J1189:EC1189,"=1"))</f>
        <v>6</v>
      </c>
      <c r="I1189" s="12" t="n">
        <f aca="false">IFERROR(ROUND(10-AVERAGE(J1189:EC1189)*10,0),0)</f>
        <v>7</v>
      </c>
      <c r="J1189" s="11" t="n">
        <v>0</v>
      </c>
      <c r="K1189" s="11" t="n">
        <v>0</v>
      </c>
      <c r="L1189" s="5"/>
      <c r="M1189" s="5"/>
      <c r="N1189" s="5"/>
      <c r="O1189" s="5"/>
      <c r="P1189" s="11" t="n">
        <v>1</v>
      </c>
      <c r="Q1189" s="5"/>
      <c r="R1189" s="5"/>
      <c r="S1189" s="5" t="n">
        <v>1</v>
      </c>
      <c r="T1189" s="11" t="n">
        <v>0</v>
      </c>
      <c r="U1189" s="5"/>
      <c r="V1189" s="5"/>
      <c r="W1189" s="5"/>
      <c r="X1189" s="5"/>
      <c r="Y1189" s="5"/>
      <c r="Z1189" s="11" t="n">
        <v>0</v>
      </c>
      <c r="AA1189" s="5"/>
      <c r="AB1189" s="5"/>
    </row>
    <row r="1190" customFormat="false" ht="15.75" hidden="false" customHeight="false" outlineLevel="0" collapsed="false">
      <c r="A1190" s="5" t="s">
        <v>2636</v>
      </c>
      <c r="B1190" s="5" t="s">
        <v>2636</v>
      </c>
      <c r="C1190" s="5" t="s">
        <v>2641</v>
      </c>
      <c r="D1190" s="5" t="s">
        <v>2642</v>
      </c>
      <c r="E1190" s="9" t="s">
        <v>2643</v>
      </c>
      <c r="F1190" s="5"/>
      <c r="G1190" s="9" t="s">
        <v>2644</v>
      </c>
      <c r="H1190" s="5" t="n">
        <f aca="false">(COUNTIF(J1190:EC1190,"=0")+COUNTIF(J1190:EC1190,"=1"))</f>
        <v>6</v>
      </c>
      <c r="I1190" s="12" t="n">
        <f aca="false">IFERROR(ROUND(10-AVERAGE(J1190:EC1190)*10,0),0)</f>
        <v>7</v>
      </c>
      <c r="J1190" s="11" t="n">
        <v>0</v>
      </c>
      <c r="K1190" s="11" t="n">
        <v>0</v>
      </c>
      <c r="L1190" s="5"/>
      <c r="M1190" s="5"/>
      <c r="N1190" s="5"/>
      <c r="O1190" s="5"/>
      <c r="P1190" s="11" t="n">
        <v>1</v>
      </c>
      <c r="Q1190" s="5"/>
      <c r="R1190" s="5"/>
      <c r="S1190" s="5" t="n">
        <v>1</v>
      </c>
      <c r="T1190" s="11" t="n">
        <v>0</v>
      </c>
      <c r="U1190" s="5"/>
      <c r="V1190" s="5"/>
      <c r="W1190" s="5"/>
      <c r="X1190" s="5"/>
      <c r="Y1190" s="5"/>
      <c r="Z1190" s="11" t="n">
        <v>0</v>
      </c>
      <c r="AA1190" s="5"/>
      <c r="AB1190" s="5"/>
    </row>
    <row r="1191" customFormat="false" ht="15.75" hidden="false" customHeight="false" outlineLevel="0" collapsed="false">
      <c r="A1191" s="5" t="s">
        <v>2636</v>
      </c>
      <c r="B1191" s="5" t="s">
        <v>2636</v>
      </c>
      <c r="C1191" s="5" t="s">
        <v>2645</v>
      </c>
      <c r="D1191" s="5" t="s">
        <v>2646</v>
      </c>
      <c r="E1191" s="14" t="s">
        <v>2647</v>
      </c>
      <c r="F1191" s="5"/>
      <c r="G1191" s="5"/>
      <c r="H1191" s="5" t="n">
        <f aca="false">(COUNTIF(J1191:EC1191,"=0")+COUNTIF(J1191:EC1191,"=1"))</f>
        <v>2</v>
      </c>
      <c r="I1191" s="12" t="n">
        <f aca="false">IFERROR(ROUND(10-AVERAGE(J1191:EC1191)*10,0),0)</f>
        <v>0</v>
      </c>
      <c r="J1191" s="5"/>
      <c r="K1191" s="5"/>
      <c r="L1191" s="5"/>
      <c r="M1191" s="5"/>
      <c r="N1191" s="5"/>
      <c r="O1191" s="5"/>
      <c r="P1191" s="5" t="n">
        <v>1</v>
      </c>
      <c r="Q1191" s="5"/>
      <c r="R1191" s="5"/>
      <c r="S1191" s="5" t="n">
        <v>1</v>
      </c>
      <c r="T1191" s="5"/>
      <c r="U1191" s="5"/>
      <c r="V1191" s="5"/>
      <c r="W1191" s="5"/>
      <c r="X1191" s="5"/>
      <c r="Y1191" s="5"/>
      <c r="Z1191" s="5"/>
      <c r="AA1191" s="5"/>
      <c r="AB1191" s="5"/>
    </row>
    <row r="1192" customFormat="false" ht="15.75" hidden="false" customHeight="false" outlineLevel="0" collapsed="false">
      <c r="A1192" s="5" t="s">
        <v>2636</v>
      </c>
      <c r="B1192" s="5" t="s">
        <v>2636</v>
      </c>
      <c r="C1192" s="5" t="s">
        <v>2648</v>
      </c>
      <c r="D1192" s="5" t="s">
        <v>2649</v>
      </c>
      <c r="E1192" s="14" t="s">
        <v>2650</v>
      </c>
      <c r="F1192" s="5"/>
      <c r="G1192" s="5"/>
      <c r="H1192" s="5" t="n">
        <f aca="false">(COUNTIF(J1192:EC1192,"=0")+COUNTIF(J1192:EC1192,"=1"))</f>
        <v>2</v>
      </c>
      <c r="I1192" s="12" t="n">
        <f aca="false">IFERROR(ROUND(10-AVERAGE(J1192:EC1192)*10,0),0)</f>
        <v>0</v>
      </c>
      <c r="J1192" s="5"/>
      <c r="K1192" s="5"/>
      <c r="L1192" s="5"/>
      <c r="M1192" s="5"/>
      <c r="N1192" s="5"/>
      <c r="O1192" s="5"/>
      <c r="P1192" s="5" t="n">
        <v>1</v>
      </c>
      <c r="Q1192" s="5"/>
      <c r="R1192" s="5"/>
      <c r="S1192" s="5" t="n">
        <v>1</v>
      </c>
      <c r="T1192" s="5"/>
      <c r="U1192" s="5"/>
      <c r="V1192" s="5"/>
      <c r="W1192" s="5"/>
      <c r="X1192" s="5"/>
      <c r="Y1192" s="5"/>
      <c r="Z1192" s="5"/>
      <c r="AA1192" s="5"/>
      <c r="AB1192" s="5"/>
    </row>
    <row r="1193" customFormat="false" ht="15.75" hidden="false" customHeight="false" outlineLevel="0" collapsed="false">
      <c r="A1193" s="5" t="s">
        <v>2636</v>
      </c>
      <c r="B1193" s="5" t="s">
        <v>2636</v>
      </c>
      <c r="C1193" s="5" t="s">
        <v>2651</v>
      </c>
      <c r="D1193" s="5" t="s">
        <v>2652</v>
      </c>
      <c r="E1193" s="9" t="s">
        <v>2653</v>
      </c>
      <c r="F1193" s="5"/>
      <c r="G1193" s="9" t="s">
        <v>2654</v>
      </c>
      <c r="H1193" s="5" t="n">
        <f aca="false">(COUNTIF(J1193:EC1193,"=0")+COUNTIF(J1193:EC1193,"=1"))</f>
        <v>6</v>
      </c>
      <c r="I1193" s="12" t="n">
        <f aca="false">IFERROR(ROUND(10-AVERAGE(J1193:EC1193)*10,0),0)</f>
        <v>7</v>
      </c>
      <c r="J1193" s="11" t="n">
        <v>0</v>
      </c>
      <c r="K1193" s="11" t="n">
        <v>0</v>
      </c>
      <c r="L1193" s="5"/>
      <c r="M1193" s="5"/>
      <c r="N1193" s="5"/>
      <c r="O1193" s="5"/>
      <c r="P1193" s="11" t="n">
        <v>1</v>
      </c>
      <c r="Q1193" s="5"/>
      <c r="R1193" s="5"/>
      <c r="S1193" s="5" t="n">
        <v>1</v>
      </c>
      <c r="T1193" s="11" t="n">
        <v>0</v>
      </c>
      <c r="U1193" s="5"/>
      <c r="V1193" s="5"/>
      <c r="W1193" s="5"/>
      <c r="X1193" s="5"/>
      <c r="Y1193" s="5"/>
      <c r="Z1193" s="11" t="n">
        <v>0</v>
      </c>
      <c r="AA1193" s="5"/>
      <c r="AB1193" s="5"/>
    </row>
    <row r="1194" customFormat="false" ht="15.75" hidden="false" customHeight="false" outlineLevel="0" collapsed="false">
      <c r="A1194" s="5" t="s">
        <v>2636</v>
      </c>
      <c r="B1194" s="5" t="s">
        <v>2636</v>
      </c>
      <c r="C1194" s="5" t="s">
        <v>2655</v>
      </c>
      <c r="D1194" s="5" t="s">
        <v>2656</v>
      </c>
      <c r="E1194" s="14" t="s">
        <v>2657</v>
      </c>
      <c r="F1194" s="5"/>
      <c r="G1194" s="5"/>
      <c r="H1194" s="5" t="n">
        <f aca="false">(COUNTIF(J1194:EC1194,"=0")+COUNTIF(J1194:EC1194,"=1"))</f>
        <v>2</v>
      </c>
      <c r="I1194" s="12" t="n">
        <f aca="false">IFERROR(ROUND(10-AVERAGE(J1194:EC1194)*10,0),0)</f>
        <v>0</v>
      </c>
      <c r="J1194" s="5"/>
      <c r="K1194" s="5"/>
      <c r="L1194" s="5"/>
      <c r="M1194" s="5"/>
      <c r="N1194" s="5"/>
      <c r="O1194" s="5"/>
      <c r="P1194" s="5" t="n">
        <v>1</v>
      </c>
      <c r="Q1194" s="5"/>
      <c r="R1194" s="5"/>
      <c r="S1194" s="5" t="n">
        <v>1</v>
      </c>
      <c r="T1194" s="5"/>
      <c r="U1194" s="5"/>
      <c r="V1194" s="5"/>
      <c r="W1194" s="5"/>
      <c r="X1194" s="5"/>
      <c r="Y1194" s="5"/>
      <c r="Z1194" s="5"/>
      <c r="AA1194" s="5"/>
      <c r="AB1194" s="5"/>
    </row>
    <row r="1195" customFormat="false" ht="15.75" hidden="false" customHeight="false" outlineLevel="0" collapsed="false">
      <c r="A1195" s="5" t="s">
        <v>2636</v>
      </c>
      <c r="B1195" s="5" t="s">
        <v>2636</v>
      </c>
      <c r="C1195" s="5" t="s">
        <v>2658</v>
      </c>
      <c r="D1195" s="5"/>
      <c r="E1195" s="9" t="s">
        <v>2659</v>
      </c>
      <c r="F1195" s="5"/>
      <c r="G1195" s="9" t="s">
        <v>2660</v>
      </c>
      <c r="H1195" s="5" t="n">
        <f aca="false">(COUNTIF(J1195:EC1195,"=0")+COUNTIF(J1195:EC1195,"=1"))</f>
        <v>6</v>
      </c>
      <c r="I1195" s="12" t="n">
        <f aca="false">IFERROR(ROUND(10-AVERAGE(J1195:EC1195)*10,0),0)</f>
        <v>7</v>
      </c>
      <c r="J1195" s="11" t="n">
        <v>0</v>
      </c>
      <c r="K1195" s="11" t="n">
        <v>0</v>
      </c>
      <c r="L1195" s="5"/>
      <c r="M1195" s="5"/>
      <c r="N1195" s="5"/>
      <c r="O1195" s="5"/>
      <c r="P1195" s="11" t="n">
        <v>1</v>
      </c>
      <c r="Q1195" s="5"/>
      <c r="R1195" s="5"/>
      <c r="S1195" s="5" t="n">
        <v>1</v>
      </c>
      <c r="T1195" s="11" t="n">
        <v>0</v>
      </c>
      <c r="U1195" s="5"/>
      <c r="V1195" s="5"/>
      <c r="W1195" s="5"/>
      <c r="X1195" s="5"/>
      <c r="Y1195" s="5"/>
      <c r="Z1195" s="11" t="n">
        <v>0</v>
      </c>
      <c r="AA1195" s="5"/>
      <c r="AB1195" s="5"/>
    </row>
    <row r="1196" customFormat="false" ht="15.75" hidden="false" customHeight="false" outlineLevel="0" collapsed="false">
      <c r="A1196" s="5" t="s">
        <v>2636</v>
      </c>
      <c r="B1196" s="5" t="s">
        <v>2636</v>
      </c>
      <c r="C1196" s="5" t="s">
        <v>2661</v>
      </c>
      <c r="D1196" s="5" t="s">
        <v>2662</v>
      </c>
      <c r="E1196" s="14" t="s">
        <v>2663</v>
      </c>
      <c r="F1196" s="5"/>
      <c r="G1196" s="5"/>
      <c r="H1196" s="5" t="n">
        <f aca="false">(COUNTIF(J1196:EC1196,"=0")+COUNTIF(J1196:EC1196,"=1"))</f>
        <v>2</v>
      </c>
      <c r="I1196" s="12" t="n">
        <f aca="false">IFERROR(ROUND(10-AVERAGE(J1196:EC1196)*10,0),0)</f>
        <v>0</v>
      </c>
      <c r="J1196" s="5"/>
      <c r="K1196" s="5"/>
      <c r="L1196" s="5"/>
      <c r="M1196" s="5"/>
      <c r="N1196" s="5"/>
      <c r="O1196" s="5"/>
      <c r="P1196" s="5" t="n">
        <v>1</v>
      </c>
      <c r="Q1196" s="5"/>
      <c r="R1196" s="5"/>
      <c r="S1196" s="5" t="n">
        <v>1</v>
      </c>
      <c r="T1196" s="5"/>
      <c r="U1196" s="5"/>
      <c r="V1196" s="5"/>
      <c r="W1196" s="5"/>
      <c r="X1196" s="5"/>
      <c r="Y1196" s="5"/>
      <c r="Z1196" s="5"/>
      <c r="AA1196" s="5"/>
      <c r="AB1196" s="5"/>
    </row>
    <row r="1197" customFormat="false" ht="15.75" hidden="false" customHeight="false" outlineLevel="0" collapsed="false">
      <c r="A1197" s="5" t="s">
        <v>2636</v>
      </c>
      <c r="B1197" s="5" t="s">
        <v>2636</v>
      </c>
      <c r="C1197" s="5" t="s">
        <v>2664</v>
      </c>
      <c r="D1197" s="5" t="s">
        <v>2665</v>
      </c>
      <c r="E1197" s="9" t="s">
        <v>2666</v>
      </c>
      <c r="F1197" s="5"/>
      <c r="G1197" s="9" t="s">
        <v>2667</v>
      </c>
      <c r="H1197" s="5" t="n">
        <f aca="false">(COUNTIF(J1197:EC1197,"=0")+COUNTIF(J1197:EC1197,"=1"))</f>
        <v>6</v>
      </c>
      <c r="I1197" s="12" t="n">
        <f aca="false">IFERROR(ROUND(10-AVERAGE(J1197:EC1197)*10,0),0)</f>
        <v>7</v>
      </c>
      <c r="J1197" s="11" t="n">
        <v>0</v>
      </c>
      <c r="K1197" s="11" t="n">
        <v>0</v>
      </c>
      <c r="L1197" s="5"/>
      <c r="M1197" s="5"/>
      <c r="N1197" s="5"/>
      <c r="O1197" s="5"/>
      <c r="P1197" s="11" t="n">
        <v>1</v>
      </c>
      <c r="Q1197" s="5"/>
      <c r="R1197" s="5"/>
      <c r="S1197" s="5" t="n">
        <v>1</v>
      </c>
      <c r="T1197" s="11" t="n">
        <v>0</v>
      </c>
      <c r="U1197" s="5"/>
      <c r="V1197" s="5"/>
      <c r="W1197" s="5"/>
      <c r="X1197" s="5"/>
      <c r="Y1197" s="5"/>
      <c r="Z1197" s="11" t="n">
        <v>0</v>
      </c>
      <c r="AA1197" s="5"/>
      <c r="AB1197" s="5"/>
    </row>
    <row r="1198" customFormat="false" ht="15.75" hidden="false" customHeight="false" outlineLevel="0" collapsed="false">
      <c r="A1198" s="5" t="s">
        <v>2636</v>
      </c>
      <c r="B1198" s="5" t="s">
        <v>2636</v>
      </c>
      <c r="C1198" s="5" t="s">
        <v>2668</v>
      </c>
      <c r="D1198" s="5" t="s">
        <v>2669</v>
      </c>
      <c r="E1198" s="14" t="s">
        <v>2670</v>
      </c>
      <c r="F1198" s="5"/>
      <c r="G1198" s="5"/>
      <c r="H1198" s="5" t="n">
        <f aca="false">(COUNTIF(J1198:EC1198,"=0")+COUNTIF(J1198:EC1198,"=1"))</f>
        <v>2</v>
      </c>
      <c r="I1198" s="12" t="n">
        <f aca="false">IFERROR(ROUND(10-AVERAGE(J1198:EC1198)*10,0),0)</f>
        <v>0</v>
      </c>
      <c r="J1198" s="5"/>
      <c r="K1198" s="5"/>
      <c r="L1198" s="5"/>
      <c r="M1198" s="5"/>
      <c r="N1198" s="5"/>
      <c r="O1198" s="5"/>
      <c r="P1198" s="5" t="n">
        <v>1</v>
      </c>
      <c r="Q1198" s="5"/>
      <c r="R1198" s="5"/>
      <c r="S1198" s="5" t="n">
        <v>1</v>
      </c>
      <c r="T1198" s="5"/>
      <c r="U1198" s="5"/>
      <c r="V1198" s="5"/>
      <c r="W1198" s="5"/>
      <c r="X1198" s="5"/>
      <c r="Y1198" s="5"/>
      <c r="Z1198" s="5"/>
      <c r="AA1198" s="5"/>
      <c r="AB1198" s="5"/>
    </row>
    <row r="1199" customFormat="false" ht="15.75" hidden="false" customHeight="false" outlineLevel="0" collapsed="false">
      <c r="A1199" s="5" t="s">
        <v>2636</v>
      </c>
      <c r="B1199" s="5" t="s">
        <v>2636</v>
      </c>
      <c r="C1199" s="5" t="s">
        <v>2671</v>
      </c>
      <c r="D1199" s="5" t="s">
        <v>2672</v>
      </c>
      <c r="E1199" s="14" t="s">
        <v>2673</v>
      </c>
      <c r="F1199" s="5"/>
      <c r="G1199" s="14" t="s">
        <v>2674</v>
      </c>
      <c r="H1199" s="5" t="n">
        <f aca="false">(COUNTIF(J1199:EC1199,"=0")+COUNTIF(J1199:EC1199,"=1"))</f>
        <v>2</v>
      </c>
      <c r="I1199" s="15" t="n">
        <f aca="false">IFERROR(ROUND(10-AVERAGE(J1199:EC1199)*10,0),0)</f>
        <v>0</v>
      </c>
      <c r="J1199" s="5"/>
      <c r="K1199" s="5"/>
      <c r="L1199" s="5"/>
      <c r="M1199" s="5"/>
      <c r="N1199" s="5"/>
      <c r="O1199" s="5"/>
      <c r="P1199" s="5" t="n">
        <v>1</v>
      </c>
      <c r="Q1199" s="5"/>
      <c r="R1199" s="5"/>
      <c r="S1199" s="5" t="n">
        <v>1</v>
      </c>
      <c r="T1199" s="5"/>
      <c r="U1199" s="5"/>
      <c r="V1199" s="5"/>
      <c r="W1199" s="5"/>
      <c r="X1199" s="5"/>
      <c r="Y1199" s="5"/>
      <c r="Z1199" s="5"/>
      <c r="AA1199" s="5"/>
      <c r="AB1199" s="5"/>
    </row>
    <row r="1200" customFormat="false" ht="15.75" hidden="false" customHeight="false" outlineLevel="0" collapsed="false">
      <c r="A1200" s="5" t="s">
        <v>2675</v>
      </c>
      <c r="B1200" s="5" t="s">
        <v>2675</v>
      </c>
      <c r="C1200" s="5" t="s">
        <v>2676</v>
      </c>
      <c r="D1200" s="5"/>
      <c r="E1200" s="14" t="s">
        <v>2677</v>
      </c>
      <c r="F1200" s="5"/>
      <c r="G1200" s="14" t="s">
        <v>2678</v>
      </c>
      <c r="H1200" s="5" t="n">
        <f aca="false">(COUNTIF(J1200:EC1200,"=0")+COUNTIF(J1200:EC1200,"=1"))</f>
        <v>1</v>
      </c>
      <c r="I1200" s="15" t="n">
        <f aca="false">IFERROR(ROUND(10-AVERAGE(J1200:EC1200)*10,0),0)</f>
        <v>0</v>
      </c>
      <c r="J1200" s="5"/>
      <c r="K1200" s="5"/>
      <c r="L1200" s="5"/>
      <c r="M1200" s="5"/>
      <c r="N1200" s="5"/>
      <c r="O1200" s="5"/>
      <c r="P1200" s="5" t="n">
        <v>1</v>
      </c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customFormat="false" ht="15.75" hidden="false" customHeight="false" outlineLevel="0" collapsed="false">
      <c r="A1201" s="5" t="s">
        <v>2679</v>
      </c>
      <c r="B1201" s="5" t="s">
        <v>2679</v>
      </c>
      <c r="C1201" s="5" t="s">
        <v>79</v>
      </c>
      <c r="D1201" s="5"/>
      <c r="E1201" s="5"/>
      <c r="F1201" s="5"/>
      <c r="G1201" s="5"/>
      <c r="H1201" s="5" t="n">
        <f aca="false">(COUNTIF(J1201:EC1201,"=0")+COUNTIF(J1201:EC1201,"=1"))</f>
        <v>7</v>
      </c>
      <c r="I1201" s="17" t="n">
        <f aca="false">IFERROR(ROUND(10-AVERAGE(J1201:EC1201)*10,0),0)</f>
        <v>9</v>
      </c>
      <c r="J1201" s="11" t="n">
        <v>0</v>
      </c>
      <c r="K1201" s="11" t="n">
        <v>0</v>
      </c>
      <c r="L1201" s="5"/>
      <c r="M1201" s="5"/>
      <c r="N1201" s="5"/>
      <c r="O1201" s="11" t="n">
        <v>1</v>
      </c>
      <c r="P1201" s="11" t="n">
        <v>0</v>
      </c>
      <c r="Q1201" s="11" t="n">
        <v>0</v>
      </c>
      <c r="R1201" s="5"/>
      <c r="S1201" s="11" t="n">
        <v>0</v>
      </c>
      <c r="T1201" s="11" t="n">
        <v>0</v>
      </c>
      <c r="U1201" s="5"/>
      <c r="V1201" s="5"/>
      <c r="W1201" s="5"/>
      <c r="X1201" s="5"/>
      <c r="Y1201" s="5"/>
      <c r="Z1201" s="5"/>
      <c r="AA1201" s="5"/>
      <c r="AB1201" s="5"/>
    </row>
    <row r="1202" customFormat="false" ht="15.75" hidden="false" customHeight="false" outlineLevel="0" collapsed="false">
      <c r="A1202" s="5" t="s">
        <v>2680</v>
      </c>
      <c r="B1202" s="5" t="s">
        <v>2681</v>
      </c>
      <c r="C1202" s="5" t="s">
        <v>87</v>
      </c>
      <c r="D1202" s="5"/>
      <c r="E1202" s="5"/>
      <c r="F1202" s="5"/>
      <c r="G1202" s="9" t="s">
        <v>2682</v>
      </c>
      <c r="H1202" s="5" t="n">
        <f aca="false">(COUNTIF(J1202:EC1202,"=0")+COUNTIF(J1202:EC1202,"=1"))</f>
        <v>7</v>
      </c>
      <c r="I1202" s="23" t="n">
        <f aca="false">IFERROR(ROUND(10-AVERAGE(J1202:EC1202)*10,0),0)</f>
        <v>4</v>
      </c>
      <c r="J1202" s="11" t="n">
        <v>1</v>
      </c>
      <c r="K1202" s="11" t="n">
        <v>0</v>
      </c>
      <c r="L1202" s="5"/>
      <c r="M1202" s="5"/>
      <c r="N1202" s="5"/>
      <c r="O1202" s="11" t="n">
        <v>0</v>
      </c>
      <c r="P1202" s="11" t="n">
        <v>1</v>
      </c>
      <c r="Q1202" s="11" t="n">
        <v>1</v>
      </c>
      <c r="R1202" s="5"/>
      <c r="S1202" s="11" t="n">
        <v>1</v>
      </c>
      <c r="T1202" s="11" t="n">
        <v>0</v>
      </c>
      <c r="U1202" s="5"/>
      <c r="V1202" s="5"/>
      <c r="W1202" s="5"/>
      <c r="X1202" s="5"/>
      <c r="Y1202" s="5"/>
      <c r="Z1202" s="5"/>
      <c r="AA1202" s="5"/>
      <c r="AB1202" s="5"/>
    </row>
    <row r="1203" customFormat="false" ht="15.75" hidden="false" customHeight="false" outlineLevel="0" collapsed="false">
      <c r="A1203" s="5" t="s">
        <v>2680</v>
      </c>
      <c r="B1203" s="5" t="s">
        <v>2683</v>
      </c>
      <c r="C1203" s="5" t="s">
        <v>87</v>
      </c>
      <c r="D1203" s="5"/>
      <c r="E1203" s="5"/>
      <c r="F1203" s="5"/>
      <c r="G1203" s="9" t="s">
        <v>2684</v>
      </c>
      <c r="H1203" s="5" t="n">
        <f aca="false">(COUNTIF(J1203:EC1203,"=0")+COUNTIF(J1203:EC1203,"=1"))</f>
        <v>8</v>
      </c>
      <c r="I1203" s="21" t="n">
        <f aca="false">IFERROR(ROUND(10-AVERAGE(J1203:EC1203)*10,0),0)</f>
        <v>4</v>
      </c>
      <c r="J1203" s="11" t="n">
        <v>1</v>
      </c>
      <c r="K1203" s="11" t="n">
        <v>1</v>
      </c>
      <c r="L1203" s="5"/>
      <c r="M1203" s="5"/>
      <c r="N1203" s="5"/>
      <c r="O1203" s="11" t="n">
        <v>0</v>
      </c>
      <c r="P1203" s="11" t="n">
        <v>1</v>
      </c>
      <c r="Q1203" s="11" t="n">
        <v>1</v>
      </c>
      <c r="R1203" s="5"/>
      <c r="S1203" s="11" t="n">
        <v>1</v>
      </c>
      <c r="T1203" s="11" t="n">
        <v>0</v>
      </c>
      <c r="U1203" s="5"/>
      <c r="V1203" s="5"/>
      <c r="W1203" s="5"/>
      <c r="X1203" s="5"/>
      <c r="Y1203" s="5"/>
      <c r="Z1203" s="5"/>
      <c r="AA1203" s="5"/>
      <c r="AB1203" s="5"/>
      <c r="AF1203" s="5" t="n">
        <v>0</v>
      </c>
    </row>
    <row r="1204" customFormat="false" ht="15.75" hidden="false" customHeight="false" outlineLevel="0" collapsed="false">
      <c r="A1204" s="5" t="s">
        <v>2680</v>
      </c>
      <c r="B1204" s="5" t="s">
        <v>2685</v>
      </c>
      <c r="C1204" s="5" t="s">
        <v>2686</v>
      </c>
      <c r="D1204" s="5"/>
      <c r="E1204" s="5"/>
      <c r="F1204" s="5"/>
      <c r="G1204" s="5"/>
      <c r="H1204" s="5" t="n">
        <f aca="false">(COUNTIF(J1204:EC1204,"=0")+COUNTIF(J1204:EC1204,"=1"))</f>
        <v>3</v>
      </c>
      <c r="I1204" s="15" t="n">
        <f aca="false">IFERROR(ROUND(10-AVERAGE(J1204:EC1204)*10,0),0)</f>
        <v>3</v>
      </c>
      <c r="J1204" s="5"/>
      <c r="K1204" s="11" t="n">
        <v>0</v>
      </c>
      <c r="L1204" s="5"/>
      <c r="M1204" s="5"/>
      <c r="N1204" s="5"/>
      <c r="O1204" s="5"/>
      <c r="P1204" s="5" t="n">
        <v>1</v>
      </c>
      <c r="Q1204" s="5"/>
      <c r="R1204" s="5"/>
      <c r="S1204" s="5"/>
      <c r="T1204" s="5"/>
      <c r="U1204" s="5"/>
      <c r="V1204" s="5"/>
      <c r="W1204" s="5" t="n">
        <v>1</v>
      </c>
      <c r="X1204" s="5"/>
      <c r="Y1204" s="5"/>
      <c r="Z1204" s="5"/>
      <c r="AA1204" s="5"/>
      <c r="AB1204" s="5"/>
    </row>
    <row r="1205" customFormat="false" ht="15.75" hidden="false" customHeight="false" outlineLevel="0" collapsed="false">
      <c r="A1205" s="5" t="s">
        <v>2687</v>
      </c>
      <c r="B1205" s="5" t="s">
        <v>2688</v>
      </c>
      <c r="C1205" s="5" t="s">
        <v>2689</v>
      </c>
      <c r="D1205" s="5"/>
      <c r="E1205" s="5"/>
      <c r="F1205" s="5"/>
      <c r="G1205" s="9" t="s">
        <v>2690</v>
      </c>
      <c r="H1205" s="5" t="n">
        <f aca="false">(COUNTIF(J1205:EC1205,"=0")+COUNTIF(J1205:EC1205,"=1"))</f>
        <v>4</v>
      </c>
      <c r="I1205" s="19" t="n">
        <f aca="false">IFERROR(ROUND(10-AVERAGE(J1205:EC1205)*10,0),0)</f>
        <v>8</v>
      </c>
      <c r="J1205" s="5" t="n">
        <v>0</v>
      </c>
      <c r="K1205" s="11" t="n">
        <v>0</v>
      </c>
      <c r="L1205" s="5"/>
      <c r="M1205" s="5"/>
      <c r="N1205" s="5"/>
      <c r="O1205" s="5"/>
      <c r="P1205" s="11" t="n">
        <v>1</v>
      </c>
      <c r="Q1205" s="5"/>
      <c r="R1205" s="5"/>
      <c r="S1205" s="5"/>
      <c r="T1205" s="5" t="n">
        <v>0</v>
      </c>
      <c r="U1205" s="5"/>
      <c r="V1205" s="5"/>
      <c r="W1205" s="5"/>
      <c r="X1205" s="5"/>
      <c r="Y1205" s="5"/>
      <c r="Z1205" s="5"/>
      <c r="AA1205" s="5"/>
      <c r="AB1205" s="5"/>
    </row>
    <row r="1206" customFormat="false" ht="15.75" hidden="false" customHeight="false" outlineLevel="0" collapsed="false">
      <c r="A1206" s="5" t="s">
        <v>2687</v>
      </c>
      <c r="B1206" s="5" t="s">
        <v>2688</v>
      </c>
      <c r="C1206" s="5" t="s">
        <v>2691</v>
      </c>
      <c r="D1206" s="5"/>
      <c r="E1206" s="5"/>
      <c r="F1206" s="5"/>
      <c r="G1206" s="9" t="s">
        <v>2692</v>
      </c>
      <c r="H1206" s="5" t="n">
        <f aca="false">(COUNTIF(J1206:EC1206,"=0")+COUNTIF(J1206:EC1206,"=1"))</f>
        <v>4</v>
      </c>
      <c r="I1206" s="19" t="n">
        <f aca="false">IFERROR(ROUND(10-AVERAGE(J1206:EC1206)*10,0),0)</f>
        <v>8</v>
      </c>
      <c r="J1206" s="5" t="n">
        <v>0</v>
      </c>
      <c r="K1206" s="11" t="n">
        <v>0</v>
      </c>
      <c r="L1206" s="5"/>
      <c r="M1206" s="5"/>
      <c r="N1206" s="5"/>
      <c r="O1206" s="5"/>
      <c r="P1206" s="11" t="n">
        <v>1</v>
      </c>
      <c r="Q1206" s="5"/>
      <c r="R1206" s="5"/>
      <c r="S1206" s="5"/>
      <c r="T1206" s="5" t="n">
        <v>0</v>
      </c>
      <c r="U1206" s="5"/>
      <c r="V1206" s="5"/>
      <c r="W1206" s="5"/>
      <c r="X1206" s="5"/>
      <c r="Y1206" s="5"/>
      <c r="Z1206" s="5"/>
      <c r="AA1206" s="5"/>
      <c r="AB1206" s="5"/>
    </row>
    <row r="1207" customFormat="false" ht="15.75" hidden="false" customHeight="false" outlineLevel="0" collapsed="false">
      <c r="A1207" s="5" t="s">
        <v>2687</v>
      </c>
      <c r="B1207" s="5" t="s">
        <v>2688</v>
      </c>
      <c r="C1207" s="5" t="s">
        <v>2693</v>
      </c>
      <c r="D1207" s="5"/>
      <c r="E1207" s="5"/>
      <c r="F1207" s="5"/>
      <c r="G1207" s="9" t="s">
        <v>2694</v>
      </c>
      <c r="H1207" s="5" t="n">
        <f aca="false">(COUNTIF(J1207:EC1207,"=0")+COUNTIF(J1207:EC1207,"=1"))</f>
        <v>6</v>
      </c>
      <c r="I1207" s="12" t="n">
        <f aca="false">IFERROR(ROUND(10-AVERAGE(J1207:EC1207)*10,0),0)</f>
        <v>7</v>
      </c>
      <c r="J1207" s="11" t="n">
        <v>0</v>
      </c>
      <c r="K1207" s="11" t="n">
        <v>0</v>
      </c>
      <c r="L1207" s="5"/>
      <c r="M1207" s="5"/>
      <c r="N1207" s="5"/>
      <c r="O1207" s="5"/>
      <c r="P1207" s="11" t="n">
        <v>1</v>
      </c>
      <c r="Q1207" s="5"/>
      <c r="R1207" s="5"/>
      <c r="S1207" s="5"/>
      <c r="T1207" s="11" t="n">
        <v>1</v>
      </c>
      <c r="U1207" s="5"/>
      <c r="V1207" s="5"/>
      <c r="W1207" s="5" t="n">
        <v>0</v>
      </c>
      <c r="X1207" s="5"/>
      <c r="Y1207" s="5"/>
      <c r="Z1207" s="11" t="n">
        <v>0</v>
      </c>
      <c r="AA1207" s="5"/>
      <c r="AB1207" s="5"/>
    </row>
    <row r="1208" customFormat="false" ht="15.75" hidden="false" customHeight="false" outlineLevel="0" collapsed="false">
      <c r="A1208" s="5" t="s">
        <v>2687</v>
      </c>
      <c r="B1208" s="5" t="s">
        <v>2688</v>
      </c>
      <c r="C1208" s="5" t="s">
        <v>2695</v>
      </c>
      <c r="D1208" s="5"/>
      <c r="E1208" s="5"/>
      <c r="F1208" s="5"/>
      <c r="G1208" s="9" t="s">
        <v>2696</v>
      </c>
      <c r="H1208" s="5" t="n">
        <f aca="false">(COUNTIF(J1208:EC1208,"=0")+COUNTIF(J1208:EC1208,"=1"))</f>
        <v>5</v>
      </c>
      <c r="I1208" s="15" t="n">
        <f aca="false">IFERROR(ROUND(10-AVERAGE(J1208:EC1208)*10,0),0)</f>
        <v>4</v>
      </c>
      <c r="J1208" s="11" t="n">
        <v>0</v>
      </c>
      <c r="K1208" s="11" t="n">
        <v>0</v>
      </c>
      <c r="L1208" s="5"/>
      <c r="M1208" s="5"/>
      <c r="N1208" s="5"/>
      <c r="O1208" s="5"/>
      <c r="P1208" s="11" t="n">
        <v>1</v>
      </c>
      <c r="Q1208" s="5"/>
      <c r="R1208" s="5"/>
      <c r="S1208" s="5"/>
      <c r="T1208" s="11" t="n">
        <v>1</v>
      </c>
      <c r="U1208" s="5"/>
      <c r="V1208" s="5"/>
      <c r="W1208" s="5"/>
      <c r="X1208" s="5"/>
      <c r="Y1208" s="5"/>
      <c r="Z1208" s="11" t="n">
        <v>1</v>
      </c>
      <c r="AA1208" s="5"/>
      <c r="AB1208" s="5"/>
    </row>
    <row r="1209" customFormat="false" ht="15.75" hidden="false" customHeight="false" outlineLevel="0" collapsed="false">
      <c r="A1209" s="5" t="s">
        <v>2687</v>
      </c>
      <c r="B1209" s="5" t="s">
        <v>2688</v>
      </c>
      <c r="C1209" s="5" t="s">
        <v>2697</v>
      </c>
      <c r="D1209" s="5"/>
      <c r="E1209" s="5"/>
      <c r="F1209" s="5"/>
      <c r="G1209" s="9" t="s">
        <v>2698</v>
      </c>
      <c r="H1209" s="5" t="n">
        <f aca="false">(COUNTIF(J1209:EC1209,"=0")+COUNTIF(J1209:EC1209,"=1"))</f>
        <v>4</v>
      </c>
      <c r="I1209" s="19" t="n">
        <f aca="false">IFERROR(ROUND(10-AVERAGE(J1209:EC1209)*10,0),0)</f>
        <v>8</v>
      </c>
      <c r="J1209" s="5" t="n">
        <v>0</v>
      </c>
      <c r="K1209" s="11" t="n">
        <v>0</v>
      </c>
      <c r="L1209" s="5"/>
      <c r="M1209" s="5"/>
      <c r="N1209" s="5"/>
      <c r="O1209" s="5"/>
      <c r="P1209" s="11" t="n">
        <v>1</v>
      </c>
      <c r="Q1209" s="5"/>
      <c r="R1209" s="5"/>
      <c r="S1209" s="5"/>
      <c r="T1209" s="5" t="n">
        <v>0</v>
      </c>
      <c r="U1209" s="5"/>
      <c r="V1209" s="5"/>
      <c r="W1209" s="5"/>
      <c r="X1209" s="5"/>
      <c r="Y1209" s="5"/>
      <c r="Z1209" s="5"/>
      <c r="AA1209" s="5"/>
      <c r="AB1209" s="5"/>
    </row>
    <row r="1210" customFormat="false" ht="15.75" hidden="false" customHeight="false" outlineLevel="0" collapsed="false">
      <c r="A1210" s="5" t="s">
        <v>2687</v>
      </c>
      <c r="B1210" s="5" t="s">
        <v>2688</v>
      </c>
      <c r="C1210" s="5" t="s">
        <v>2699</v>
      </c>
      <c r="D1210" s="5"/>
      <c r="E1210" s="5"/>
      <c r="F1210" s="5"/>
      <c r="G1210" s="9" t="s">
        <v>2700</v>
      </c>
      <c r="H1210" s="5" t="n">
        <f aca="false">(COUNTIF(J1210:EC1210,"=0")+COUNTIF(J1210:EC1210,"=1"))</f>
        <v>5</v>
      </c>
      <c r="I1210" s="12" t="n">
        <f aca="false">IFERROR(ROUND(10-AVERAGE(J1210:EC1210)*10,0),0)</f>
        <v>8</v>
      </c>
      <c r="J1210" s="11" t="n">
        <v>0</v>
      </c>
      <c r="K1210" s="11" t="n">
        <v>0</v>
      </c>
      <c r="L1210" s="5"/>
      <c r="M1210" s="5"/>
      <c r="N1210" s="5"/>
      <c r="O1210" s="5"/>
      <c r="P1210" s="11" t="n">
        <v>1</v>
      </c>
      <c r="Q1210" s="5"/>
      <c r="R1210" s="5"/>
      <c r="S1210" s="5"/>
      <c r="T1210" s="11" t="n">
        <v>0</v>
      </c>
      <c r="U1210" s="5"/>
      <c r="V1210" s="5"/>
      <c r="W1210" s="5"/>
      <c r="X1210" s="5"/>
      <c r="Y1210" s="5"/>
      <c r="Z1210" s="11" t="n">
        <v>0</v>
      </c>
      <c r="AA1210" s="5"/>
      <c r="AB1210" s="5"/>
    </row>
    <row r="1211" customFormat="false" ht="15.75" hidden="false" customHeight="false" outlineLevel="0" collapsed="false">
      <c r="A1211" s="5" t="s">
        <v>2687</v>
      </c>
      <c r="B1211" s="5" t="s">
        <v>2688</v>
      </c>
      <c r="C1211" s="5" t="s">
        <v>2701</v>
      </c>
      <c r="D1211" s="5"/>
      <c r="E1211" s="5"/>
      <c r="F1211" s="5"/>
      <c r="G1211" s="9" t="s">
        <v>2702</v>
      </c>
      <c r="H1211" s="5" t="n">
        <f aca="false">(COUNTIF(J1211:EC1211,"=0")+COUNTIF(J1211:EC1211,"=1"))</f>
        <v>8</v>
      </c>
      <c r="I1211" s="16" t="n">
        <f aca="false">IFERROR(ROUND(10-AVERAGE(J1211:EC1211)*10,0),0)</f>
        <v>8</v>
      </c>
      <c r="J1211" s="11" t="n">
        <v>0</v>
      </c>
      <c r="K1211" s="11" t="n">
        <v>0</v>
      </c>
      <c r="L1211" s="5"/>
      <c r="M1211" s="5"/>
      <c r="N1211" s="5"/>
      <c r="O1211" s="11" t="n">
        <v>0</v>
      </c>
      <c r="P1211" s="11" t="n">
        <v>1</v>
      </c>
      <c r="Q1211" s="11" t="n">
        <v>1</v>
      </c>
      <c r="R1211" s="5"/>
      <c r="S1211" s="11" t="n">
        <v>0</v>
      </c>
      <c r="T1211" s="11" t="n">
        <v>0</v>
      </c>
      <c r="U1211" s="5"/>
      <c r="V1211" s="5"/>
      <c r="W1211" s="5"/>
      <c r="X1211" s="5"/>
      <c r="Y1211" s="5"/>
      <c r="Z1211" s="5"/>
      <c r="AA1211" s="5"/>
      <c r="AB1211" s="5"/>
      <c r="AF1211" s="5" t="n">
        <v>0</v>
      </c>
    </row>
    <row r="1212" customFormat="false" ht="15.75" hidden="false" customHeight="false" outlineLevel="0" collapsed="false">
      <c r="A1212" s="5" t="s">
        <v>2703</v>
      </c>
      <c r="B1212" s="5" t="s">
        <v>2703</v>
      </c>
      <c r="C1212" s="5" t="s">
        <v>2704</v>
      </c>
      <c r="D1212" s="5"/>
      <c r="E1212" s="5"/>
      <c r="F1212" s="5"/>
      <c r="G1212" s="14" t="s">
        <v>2705</v>
      </c>
      <c r="H1212" s="5" t="n">
        <f aca="false">(COUNTIF(J1212:EC1212,"=0")+COUNTIF(J1212:EC1212,"=1"))</f>
        <v>5</v>
      </c>
      <c r="I1212" s="10" t="n">
        <f aca="false">IFERROR(ROUND(10-AVERAGE(J1212:EC1212)*10,0),0)</f>
        <v>10</v>
      </c>
      <c r="J1212" s="5" t="n">
        <v>0</v>
      </c>
      <c r="K1212" s="11" t="n">
        <v>0</v>
      </c>
      <c r="L1212" s="5"/>
      <c r="M1212" s="5"/>
      <c r="N1212" s="5"/>
      <c r="O1212" s="5"/>
      <c r="P1212" s="11" t="n">
        <v>0</v>
      </c>
      <c r="Q1212" s="5"/>
      <c r="R1212" s="5"/>
      <c r="S1212" s="5"/>
      <c r="T1212" s="5"/>
      <c r="U1212" s="5"/>
      <c r="V1212" s="5"/>
      <c r="W1212" s="5" t="n">
        <v>0</v>
      </c>
      <c r="X1212" s="5"/>
      <c r="Y1212" s="5"/>
      <c r="Z1212" s="11" t="n">
        <v>0</v>
      </c>
      <c r="AA1212" s="5"/>
      <c r="AB1212" s="5"/>
    </row>
    <row r="1213" customFormat="false" ht="15.75" hidden="false" customHeight="false" outlineLevel="0" collapsed="false">
      <c r="A1213" s="5" t="s">
        <v>2706</v>
      </c>
      <c r="B1213" s="5" t="s">
        <v>2706</v>
      </c>
      <c r="C1213" s="5" t="s">
        <v>2707</v>
      </c>
      <c r="D1213" s="5"/>
      <c r="E1213" s="5"/>
      <c r="F1213" s="5"/>
      <c r="G1213" s="14" t="s">
        <v>2708</v>
      </c>
      <c r="H1213" s="5" t="n">
        <f aca="false">(COUNTIF(J1213:EC1213,"=0")+COUNTIF(J1213:EC1213,"=1"))</f>
        <v>8</v>
      </c>
      <c r="I1213" s="17" t="n">
        <f aca="false">IFERROR(ROUND(10-AVERAGE(J1213:EC1213)*10,0),0)</f>
        <v>9</v>
      </c>
      <c r="J1213" s="11" t="n">
        <v>0</v>
      </c>
      <c r="K1213" s="11" t="n">
        <v>0</v>
      </c>
      <c r="L1213" s="11" t="n">
        <v>0</v>
      </c>
      <c r="M1213" s="5"/>
      <c r="N1213" s="5"/>
      <c r="O1213" s="11" t="n">
        <v>1</v>
      </c>
      <c r="P1213" s="11" t="n">
        <v>0</v>
      </c>
      <c r="Q1213" s="11" t="n">
        <v>0</v>
      </c>
      <c r="R1213" s="5"/>
      <c r="S1213" s="11" t="n">
        <v>0</v>
      </c>
      <c r="T1213" s="11" t="n">
        <v>0</v>
      </c>
      <c r="U1213" s="5"/>
      <c r="V1213" s="5"/>
      <c r="W1213" s="5"/>
      <c r="X1213" s="5"/>
      <c r="Y1213" s="5"/>
      <c r="Z1213" s="5"/>
      <c r="AA1213" s="5"/>
      <c r="AB1213" s="5"/>
    </row>
    <row r="1214" customFormat="false" ht="15.75" hidden="false" customHeight="false" outlineLevel="0" collapsed="false">
      <c r="A1214" s="5" t="s">
        <v>2709</v>
      </c>
      <c r="B1214" s="5" t="s">
        <v>2710</v>
      </c>
      <c r="C1214" s="5" t="s">
        <v>2711</v>
      </c>
      <c r="D1214" s="5"/>
      <c r="E1214" s="5"/>
      <c r="F1214" s="5"/>
      <c r="G1214" s="9" t="s">
        <v>2712</v>
      </c>
      <c r="H1214" s="5" t="n">
        <f aca="false">(COUNTIF(J1214:EC1214,"=0")+COUNTIF(J1214:EC1214,"=1"))</f>
        <v>3</v>
      </c>
      <c r="I1214" s="16" t="n">
        <f aca="false">IFERROR(ROUND(10-AVERAGE(J1214:EC1214)*10,0),0)</f>
        <v>7</v>
      </c>
      <c r="J1214" s="11" t="n">
        <v>0</v>
      </c>
      <c r="K1214" s="11" t="n">
        <v>0</v>
      </c>
      <c r="L1214" s="5"/>
      <c r="M1214" s="5"/>
      <c r="N1214" s="5"/>
      <c r="O1214" s="5"/>
      <c r="P1214" s="11" t="n">
        <v>1</v>
      </c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customFormat="false" ht="15.75" hidden="false" customHeight="false" outlineLevel="0" collapsed="false">
      <c r="A1215" s="5" t="s">
        <v>2713</v>
      </c>
      <c r="B1215" s="5" t="s">
        <v>2714</v>
      </c>
      <c r="C1215" s="5" t="s">
        <v>2715</v>
      </c>
      <c r="D1215" s="5"/>
      <c r="E1215" s="5"/>
      <c r="F1215" s="5"/>
      <c r="G1215" s="9" t="s">
        <v>2716</v>
      </c>
      <c r="H1215" s="5" t="n">
        <f aca="false">(COUNTIF(J1215:EC1215,"=0")+COUNTIF(J1215:EC1215,"=1"))</f>
        <v>5</v>
      </c>
      <c r="I1215" s="12" t="n">
        <f aca="false">IFERROR(ROUND(10-AVERAGE(J1215:EC1215)*10,0),0)</f>
        <v>8</v>
      </c>
      <c r="J1215" s="11" t="n">
        <v>0</v>
      </c>
      <c r="K1215" s="11" t="n">
        <v>0</v>
      </c>
      <c r="L1215" s="5"/>
      <c r="M1215" s="5"/>
      <c r="N1215" s="5"/>
      <c r="O1215" s="5"/>
      <c r="P1215" s="11" t="n">
        <v>1</v>
      </c>
      <c r="Q1215" s="5"/>
      <c r="R1215" s="5"/>
      <c r="S1215" s="5"/>
      <c r="T1215" s="11" t="n">
        <v>0</v>
      </c>
      <c r="U1215" s="5"/>
      <c r="V1215" s="5"/>
      <c r="W1215" s="5"/>
      <c r="X1215" s="5"/>
      <c r="Y1215" s="5"/>
      <c r="Z1215" s="11" t="n">
        <v>0</v>
      </c>
      <c r="AA1215" s="5"/>
      <c r="AB1215" s="5"/>
    </row>
    <row r="1216" customFormat="false" ht="15.75" hidden="false" customHeight="false" outlineLevel="0" collapsed="false">
      <c r="A1216" s="5" t="s">
        <v>2713</v>
      </c>
      <c r="B1216" s="5" t="s">
        <v>2717</v>
      </c>
      <c r="C1216" s="5" t="s">
        <v>87</v>
      </c>
      <c r="D1216" s="5"/>
      <c r="E1216" s="5"/>
      <c r="F1216" s="5"/>
      <c r="G1216" s="9" t="s">
        <v>2718</v>
      </c>
      <c r="H1216" s="5" t="n">
        <f aca="false">(COUNTIF(J1216:EC1216,"=0")+COUNTIF(J1216:EC1216,"=1"))</f>
        <v>4</v>
      </c>
      <c r="I1216" s="12" t="n">
        <f aca="false">IFERROR(ROUND(10-AVERAGE(J1216:EC1216)*10,0),0)</f>
        <v>8</v>
      </c>
      <c r="J1216" s="11" t="n">
        <v>0</v>
      </c>
      <c r="K1216" s="11" t="n">
        <v>0</v>
      </c>
      <c r="L1216" s="5"/>
      <c r="M1216" s="5"/>
      <c r="N1216" s="5"/>
      <c r="O1216" s="5"/>
      <c r="P1216" s="11" t="n">
        <v>1</v>
      </c>
      <c r="Q1216" s="5"/>
      <c r="R1216" s="5"/>
      <c r="S1216" s="5"/>
      <c r="T1216" s="5"/>
      <c r="U1216" s="5"/>
      <c r="V1216" s="5"/>
      <c r="W1216" s="5"/>
      <c r="X1216" s="5"/>
      <c r="Y1216" s="5"/>
      <c r="Z1216" s="11" t="n">
        <v>0</v>
      </c>
      <c r="AA1216" s="5"/>
      <c r="AB1216" s="5"/>
    </row>
    <row r="1217" customFormat="false" ht="15.75" hidden="false" customHeight="false" outlineLevel="0" collapsed="false">
      <c r="A1217" s="5" t="s">
        <v>2719</v>
      </c>
      <c r="B1217" s="5" t="s">
        <v>2720</v>
      </c>
      <c r="C1217" s="5" t="s">
        <v>2721</v>
      </c>
      <c r="D1217" s="5"/>
      <c r="E1217" s="5"/>
      <c r="F1217" s="5"/>
      <c r="G1217" s="9" t="s">
        <v>2722</v>
      </c>
      <c r="H1217" s="5" t="n">
        <f aca="false">(COUNTIF(J1217:EC1217,"=0")+COUNTIF(J1217:EC1217,"=1"))</f>
        <v>10</v>
      </c>
      <c r="I1217" s="20" t="n">
        <f aca="false">IFERROR(ROUND(10-AVERAGE(J1217:EC1217)*10,0),0)</f>
        <v>3</v>
      </c>
      <c r="J1217" s="11" t="n">
        <v>1</v>
      </c>
      <c r="K1217" s="11" t="n">
        <v>1</v>
      </c>
      <c r="L1217" s="11" t="n">
        <v>1</v>
      </c>
      <c r="M1217" s="5"/>
      <c r="N1217" s="5"/>
      <c r="O1217" s="11" t="n">
        <v>1</v>
      </c>
      <c r="P1217" s="11" t="n">
        <v>1</v>
      </c>
      <c r="Q1217" s="11" t="n">
        <v>1</v>
      </c>
      <c r="R1217" s="5"/>
      <c r="S1217" s="11" t="n">
        <v>0</v>
      </c>
      <c r="T1217" s="11" t="n">
        <v>1</v>
      </c>
      <c r="U1217" s="5"/>
      <c r="V1217" s="5"/>
      <c r="W1217" s="5" t="n">
        <v>0</v>
      </c>
      <c r="X1217" s="5"/>
      <c r="Y1217" s="5"/>
      <c r="Z1217" s="5"/>
      <c r="AA1217" s="5"/>
      <c r="AB1217" s="5"/>
      <c r="AF1217" s="5" t="n">
        <v>0</v>
      </c>
    </row>
    <row r="1218" customFormat="false" ht="15.75" hidden="false" customHeight="false" outlineLevel="0" collapsed="false">
      <c r="A1218" s="5" t="s">
        <v>2723</v>
      </c>
      <c r="B1218" s="5" t="s">
        <v>2723</v>
      </c>
      <c r="C1218" s="5" t="s">
        <v>2724</v>
      </c>
      <c r="D1218" s="5"/>
      <c r="E1218" s="5"/>
      <c r="F1218" s="5"/>
      <c r="G1218" s="5"/>
      <c r="H1218" s="5" t="n">
        <f aca="false">(COUNTIF(J1218:EC1218,"=0")+COUNTIF(J1218:EC1218,"=1"))</f>
        <v>3</v>
      </c>
      <c r="I1218" s="10" t="n">
        <f aca="false">IFERROR(ROUND(10-AVERAGE(J1218:EC1218)*10,0),0)</f>
        <v>10</v>
      </c>
      <c r="J1218" s="5"/>
      <c r="K1218" s="11" t="n">
        <v>0</v>
      </c>
      <c r="L1218" s="5"/>
      <c r="M1218" s="5"/>
      <c r="N1218" s="5"/>
      <c r="O1218" s="5"/>
      <c r="P1218" s="11" t="n">
        <v>0</v>
      </c>
      <c r="Q1218" s="5"/>
      <c r="R1218" s="5"/>
      <c r="S1218" s="5"/>
      <c r="T1218" s="5"/>
      <c r="U1218" s="5"/>
      <c r="V1218" s="5"/>
      <c r="W1218" s="5"/>
      <c r="X1218" s="5"/>
      <c r="Y1218" s="5"/>
      <c r="Z1218" s="11" t="n">
        <v>0</v>
      </c>
      <c r="AA1218" s="5"/>
      <c r="AB1218" s="5"/>
    </row>
    <row r="1219" customFormat="false" ht="15.75" hidden="false" customHeight="false" outlineLevel="0" collapsed="false">
      <c r="A1219" s="5" t="s">
        <v>2725</v>
      </c>
      <c r="B1219" s="5" t="s">
        <v>2725</v>
      </c>
      <c r="C1219" s="5" t="s">
        <v>2726</v>
      </c>
      <c r="D1219" s="5"/>
      <c r="E1219" s="5"/>
      <c r="F1219" s="5"/>
      <c r="G1219" s="9" t="s">
        <v>2727</v>
      </c>
      <c r="H1219" s="5" t="n">
        <f aca="false">(COUNTIF(J1219:EC1219,"=0")+COUNTIF(J1219:EC1219,"=1"))</f>
        <v>5</v>
      </c>
      <c r="I1219" s="15" t="n">
        <f aca="false">IFERROR(ROUND(10-AVERAGE(J1219:EC1219)*10,0),0)</f>
        <v>6</v>
      </c>
      <c r="J1219" s="11" t="n">
        <v>1</v>
      </c>
      <c r="K1219" s="11" t="n">
        <v>0</v>
      </c>
      <c r="L1219" s="5"/>
      <c r="M1219" s="5"/>
      <c r="N1219" s="5"/>
      <c r="O1219" s="5"/>
      <c r="P1219" s="11" t="n">
        <v>1</v>
      </c>
      <c r="Q1219" s="5"/>
      <c r="R1219" s="5"/>
      <c r="S1219" s="5"/>
      <c r="T1219" s="11" t="n">
        <v>0</v>
      </c>
      <c r="U1219" s="5"/>
      <c r="V1219" s="5"/>
      <c r="W1219" s="5"/>
      <c r="X1219" s="5"/>
      <c r="Y1219" s="5"/>
      <c r="Z1219" s="11" t="n">
        <v>0</v>
      </c>
      <c r="AA1219" s="5"/>
      <c r="AB1219" s="5"/>
    </row>
    <row r="1220" customFormat="false" ht="15.75" hidden="false" customHeight="false" outlineLevel="0" collapsed="false">
      <c r="A1220" s="5" t="s">
        <v>2728</v>
      </c>
      <c r="B1220" s="5" t="s">
        <v>2728</v>
      </c>
      <c r="C1220" s="5" t="s">
        <v>2729</v>
      </c>
      <c r="D1220" s="5"/>
      <c r="E1220" s="5"/>
      <c r="F1220" s="5"/>
      <c r="G1220" s="5"/>
      <c r="H1220" s="5" t="n">
        <f aca="false">(COUNTIF(J1220:EC1220,"=0")+COUNTIF(J1220:EC1220,"=1"))</f>
        <v>7</v>
      </c>
      <c r="I1220" s="17" t="n">
        <f aca="false">IFERROR(ROUND(10-AVERAGE(J1220:EC1220)*10,0),0)</f>
        <v>9</v>
      </c>
      <c r="J1220" s="11" t="n">
        <v>0</v>
      </c>
      <c r="K1220" s="11" t="n">
        <v>0</v>
      </c>
      <c r="L1220" s="5"/>
      <c r="M1220" s="5"/>
      <c r="N1220" s="5"/>
      <c r="O1220" s="11" t="n">
        <v>1</v>
      </c>
      <c r="P1220" s="11" t="n">
        <v>0</v>
      </c>
      <c r="Q1220" s="11" t="n">
        <v>0</v>
      </c>
      <c r="R1220" s="5"/>
      <c r="S1220" s="11" t="n">
        <v>0</v>
      </c>
      <c r="T1220" s="11" t="n">
        <v>0</v>
      </c>
      <c r="U1220" s="5"/>
      <c r="V1220" s="5"/>
      <c r="W1220" s="5"/>
      <c r="X1220" s="5"/>
      <c r="Y1220" s="5"/>
      <c r="Z1220" s="5"/>
      <c r="AA1220" s="5"/>
      <c r="AB1220" s="5"/>
    </row>
    <row r="1221" customFormat="false" ht="15.75" hidden="false" customHeight="false" outlineLevel="0" collapsed="false">
      <c r="A1221" s="5" t="s">
        <v>2730</v>
      </c>
      <c r="B1221" s="5" t="s">
        <v>2731</v>
      </c>
      <c r="C1221" s="5" t="s">
        <v>2732</v>
      </c>
      <c r="D1221" s="5"/>
      <c r="E1221" s="5"/>
      <c r="F1221" s="5"/>
      <c r="G1221" s="9" t="s">
        <v>2733</v>
      </c>
      <c r="H1221" s="5" t="n">
        <f aca="false">(COUNTIF(J1221:EC1221,"=0")+COUNTIF(J1221:EC1221,"=1"))</f>
        <v>6</v>
      </c>
      <c r="I1221" s="12" t="n">
        <f aca="false">IFERROR(ROUND(10-AVERAGE(J1221:EC1221)*10,0),0)</f>
        <v>8</v>
      </c>
      <c r="J1221" s="11" t="n">
        <v>0</v>
      </c>
      <c r="K1221" s="11" t="n">
        <v>0</v>
      </c>
      <c r="L1221" s="5"/>
      <c r="M1221" s="5"/>
      <c r="N1221" s="5"/>
      <c r="O1221" s="5"/>
      <c r="P1221" s="11" t="n">
        <v>1</v>
      </c>
      <c r="Q1221" s="5"/>
      <c r="R1221" s="5"/>
      <c r="S1221" s="5"/>
      <c r="T1221" s="11" t="n">
        <v>0</v>
      </c>
      <c r="U1221" s="5"/>
      <c r="V1221" s="5"/>
      <c r="W1221" s="5" t="n">
        <v>0</v>
      </c>
      <c r="X1221" s="5"/>
      <c r="Y1221" s="5"/>
      <c r="Z1221" s="11" t="n">
        <v>0</v>
      </c>
      <c r="AA1221" s="5"/>
      <c r="AB1221" s="5"/>
    </row>
    <row r="1222" customFormat="false" ht="15.75" hidden="false" customHeight="false" outlineLevel="0" collapsed="false">
      <c r="A1222" s="5" t="s">
        <v>2734</v>
      </c>
      <c r="B1222" s="5" t="s">
        <v>2734</v>
      </c>
      <c r="C1222" s="5" t="s">
        <v>2735</v>
      </c>
      <c r="D1222" s="25"/>
      <c r="E1222" s="5"/>
      <c r="F1222" s="5"/>
      <c r="G1222" s="14" t="s">
        <v>2736</v>
      </c>
      <c r="H1222" s="5" t="n">
        <f aca="false">(COUNTIF(J1222:EC1222,"=0")+COUNTIF(J1222:EC1222,"=1"))</f>
        <v>5</v>
      </c>
      <c r="I1222" s="12" t="n">
        <f aca="false">IFERROR(ROUND(10-AVERAGE(J1222:EC1222)*10,0),0)</f>
        <v>8</v>
      </c>
      <c r="J1222" s="5" t="n">
        <v>0</v>
      </c>
      <c r="K1222" s="11" t="n">
        <v>0</v>
      </c>
      <c r="L1222" s="5"/>
      <c r="M1222" s="5"/>
      <c r="N1222" s="5"/>
      <c r="O1222" s="5"/>
      <c r="P1222" s="11" t="n">
        <v>0</v>
      </c>
      <c r="Q1222" s="5"/>
      <c r="R1222" s="5"/>
      <c r="S1222" s="5"/>
      <c r="T1222" s="5"/>
      <c r="U1222" s="5"/>
      <c r="V1222" s="5"/>
      <c r="W1222" s="5"/>
      <c r="X1222" s="5"/>
      <c r="Y1222" s="5"/>
      <c r="Z1222" s="11" t="n">
        <v>1</v>
      </c>
      <c r="AA1222" s="11" t="n">
        <v>0</v>
      </c>
      <c r="AB1222" s="5"/>
    </row>
    <row r="1223" customFormat="false" ht="15.75" hidden="false" customHeight="false" outlineLevel="0" collapsed="false">
      <c r="A1223" s="5" t="s">
        <v>2734</v>
      </c>
      <c r="B1223" s="5" t="s">
        <v>2734</v>
      </c>
      <c r="C1223" s="5" t="s">
        <v>2737</v>
      </c>
      <c r="D1223" s="25"/>
      <c r="E1223" s="5"/>
      <c r="F1223" s="5"/>
      <c r="G1223" s="9" t="s">
        <v>2738</v>
      </c>
      <c r="H1223" s="5" t="n">
        <f aca="false">(COUNTIF(J1223:EC1223,"=0")+COUNTIF(J1223:EC1223,"=1"))</f>
        <v>5</v>
      </c>
      <c r="I1223" s="19" t="n">
        <f aca="false">IFERROR(ROUND(10-AVERAGE(J1223:EC1223)*10,0),0)</f>
        <v>6</v>
      </c>
      <c r="J1223" s="11" t="n">
        <v>0</v>
      </c>
      <c r="K1223" s="11" t="n">
        <v>0</v>
      </c>
      <c r="L1223" s="5"/>
      <c r="M1223" s="5"/>
      <c r="N1223" s="5"/>
      <c r="O1223" s="5"/>
      <c r="P1223" s="11" t="n">
        <v>1</v>
      </c>
      <c r="Q1223" s="5"/>
      <c r="R1223" s="5"/>
      <c r="S1223" s="5"/>
      <c r="T1223" s="5"/>
      <c r="U1223" s="5"/>
      <c r="V1223" s="5"/>
      <c r="W1223" s="5" t="n">
        <v>0</v>
      </c>
      <c r="X1223" s="5"/>
      <c r="Y1223" s="5"/>
      <c r="Z1223" s="11" t="n">
        <v>1</v>
      </c>
      <c r="AA1223" s="5"/>
      <c r="AB1223" s="5"/>
    </row>
    <row r="1224" customFormat="false" ht="15.75" hidden="false" customHeight="false" outlineLevel="0" collapsed="false">
      <c r="A1224" s="5" t="s">
        <v>2734</v>
      </c>
      <c r="B1224" s="5" t="s">
        <v>2734</v>
      </c>
      <c r="C1224" s="5" t="s">
        <v>2739</v>
      </c>
      <c r="D1224" s="25"/>
      <c r="E1224" s="5"/>
      <c r="F1224" s="5"/>
      <c r="G1224" s="9" t="s">
        <v>2740</v>
      </c>
      <c r="H1224" s="5" t="n">
        <f aca="false">(COUNTIF(J1224:EC1224,"=0")+COUNTIF(J1224:EC1224,"=1"))</f>
        <v>4</v>
      </c>
      <c r="I1224" s="21" t="n">
        <f aca="false">IFERROR(ROUND(10-AVERAGE(J1224:EC1224)*10,0),0)</f>
        <v>5</v>
      </c>
      <c r="J1224" s="5" t="n">
        <v>0</v>
      </c>
      <c r="K1224" s="11" t="n">
        <v>0</v>
      </c>
      <c r="L1224" s="5"/>
      <c r="M1224" s="5"/>
      <c r="N1224" s="5"/>
      <c r="O1224" s="5"/>
      <c r="P1224" s="11" t="n">
        <v>1</v>
      </c>
      <c r="Q1224" s="5"/>
      <c r="R1224" s="5"/>
      <c r="S1224" s="5"/>
      <c r="T1224" s="5"/>
      <c r="U1224" s="5"/>
      <c r="V1224" s="5"/>
      <c r="W1224" s="5"/>
      <c r="X1224" s="5"/>
      <c r="Y1224" s="5"/>
      <c r="Z1224" s="11" t="n">
        <v>1</v>
      </c>
      <c r="AA1224" s="5"/>
      <c r="AB1224" s="5"/>
    </row>
    <row r="1225" customFormat="false" ht="15.75" hidden="false" customHeight="false" outlineLevel="0" collapsed="false">
      <c r="A1225" s="5" t="s">
        <v>2741</v>
      </c>
      <c r="B1225" s="5" t="s">
        <v>2742</v>
      </c>
      <c r="C1225" s="5" t="s">
        <v>2743</v>
      </c>
      <c r="D1225" s="5"/>
      <c r="E1225" s="5"/>
      <c r="F1225" s="5"/>
      <c r="G1225" s="9" t="s">
        <v>2744</v>
      </c>
      <c r="H1225" s="5" t="n">
        <f aca="false">(COUNTIF(J1225:EC1225,"=0")+COUNTIF(J1225:EC1225,"=1"))</f>
        <v>8</v>
      </c>
      <c r="I1225" s="16" t="n">
        <f aca="false">IFERROR(ROUND(10-AVERAGE(J1225:EC1225)*10,0),0)</f>
        <v>6</v>
      </c>
      <c r="J1225" s="11" t="n">
        <v>0</v>
      </c>
      <c r="K1225" s="11" t="n">
        <v>0</v>
      </c>
      <c r="L1225" s="5"/>
      <c r="M1225" s="5"/>
      <c r="N1225" s="5"/>
      <c r="O1225" s="5"/>
      <c r="P1225" s="11" t="n">
        <v>1</v>
      </c>
      <c r="Q1225" s="11" t="n">
        <v>0</v>
      </c>
      <c r="R1225" s="5"/>
      <c r="S1225" s="11" t="n">
        <v>1</v>
      </c>
      <c r="T1225" s="11" t="n">
        <v>0</v>
      </c>
      <c r="U1225" s="5"/>
      <c r="V1225" s="5"/>
      <c r="W1225" s="5" t="n">
        <v>1</v>
      </c>
      <c r="X1225" s="5"/>
      <c r="Y1225" s="5"/>
      <c r="Z1225" s="5"/>
      <c r="AA1225" s="5"/>
      <c r="AB1225" s="5"/>
      <c r="AF1225" s="5" t="n">
        <v>0</v>
      </c>
    </row>
    <row r="1226" customFormat="false" ht="15.75" hidden="false" customHeight="false" outlineLevel="0" collapsed="false">
      <c r="A1226" s="5" t="s">
        <v>2745</v>
      </c>
      <c r="B1226" s="5" t="s">
        <v>2746</v>
      </c>
      <c r="C1226" s="5" t="s">
        <v>2747</v>
      </c>
      <c r="D1226" s="5"/>
      <c r="E1226" s="5"/>
      <c r="F1226" s="5"/>
      <c r="G1226" s="14" t="s">
        <v>2748</v>
      </c>
      <c r="H1226" s="5" t="n">
        <f aca="false">(COUNTIF(J1226:EC1226,"=0")+COUNTIF(J1226:EC1226,"=1"))</f>
        <v>1</v>
      </c>
      <c r="I1226" s="16" t="n">
        <f aca="false">IFERROR(ROUND(10-AVERAGE(J1226:EC1226)*10,0),0)</f>
        <v>0</v>
      </c>
      <c r="J1226" s="5"/>
      <c r="K1226" s="5"/>
      <c r="L1226" s="5"/>
      <c r="M1226" s="5"/>
      <c r="N1226" s="5"/>
      <c r="O1226" s="5"/>
      <c r="P1226" s="5" t="n">
        <v>1</v>
      </c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customFormat="false" ht="15.75" hidden="false" customHeight="false" outlineLevel="0" collapsed="false">
      <c r="A1227" s="5" t="s">
        <v>2745</v>
      </c>
      <c r="B1227" s="5" t="s">
        <v>2745</v>
      </c>
      <c r="C1227" s="5" t="s">
        <v>2749</v>
      </c>
      <c r="D1227" s="5"/>
      <c r="E1227" s="5"/>
      <c r="F1227" s="5"/>
      <c r="G1227" s="9" t="s">
        <v>2750</v>
      </c>
      <c r="H1227" s="5" t="n">
        <f aca="false">(COUNTIF(J1227:EC1227,"=0")+COUNTIF(J1227:EC1227,"=1"))</f>
        <v>7</v>
      </c>
      <c r="I1227" s="21" t="n">
        <f aca="false">IFERROR(ROUND(10-AVERAGE(J1227:EC1227)*10,0),0)</f>
        <v>3</v>
      </c>
      <c r="J1227" s="11" t="n">
        <v>1</v>
      </c>
      <c r="K1227" s="11" t="n">
        <v>1</v>
      </c>
      <c r="L1227" s="5"/>
      <c r="M1227" s="5"/>
      <c r="N1227" s="5"/>
      <c r="O1227" s="5"/>
      <c r="P1227" s="11" t="n">
        <v>1</v>
      </c>
      <c r="Q1227" s="11" t="n">
        <v>1</v>
      </c>
      <c r="R1227" s="5"/>
      <c r="S1227" s="11" t="n">
        <v>0</v>
      </c>
      <c r="T1227" s="11" t="n">
        <v>0</v>
      </c>
      <c r="U1227" s="5"/>
      <c r="V1227" s="11" t="n">
        <v>1</v>
      </c>
      <c r="W1227" s="5"/>
      <c r="X1227" s="5"/>
      <c r="Y1227" s="5"/>
      <c r="Z1227" s="5"/>
      <c r="AA1227" s="5"/>
      <c r="AB1227" s="5"/>
    </row>
    <row r="1228" customFormat="false" ht="15.75" hidden="false" customHeight="false" outlineLevel="0" collapsed="false">
      <c r="A1228" s="5" t="s">
        <v>2745</v>
      </c>
      <c r="B1228" s="5" t="s">
        <v>2745</v>
      </c>
      <c r="C1228" s="5" t="s">
        <v>2751</v>
      </c>
      <c r="D1228" s="5"/>
      <c r="E1228" s="5"/>
      <c r="F1228" s="5"/>
      <c r="G1228" s="9" t="s">
        <v>2752</v>
      </c>
      <c r="H1228" s="5" t="n">
        <f aca="false">(COUNTIF(J1228:EC1228,"=0")+COUNTIF(J1228:EC1228,"=1"))</f>
        <v>10</v>
      </c>
      <c r="I1228" s="21" t="n">
        <f aca="false">IFERROR(ROUND(10-AVERAGE(J1228:EC1228)*10,0),0)</f>
        <v>3</v>
      </c>
      <c r="J1228" s="11" t="n">
        <v>1</v>
      </c>
      <c r="K1228" s="11" t="n">
        <v>1</v>
      </c>
      <c r="L1228" s="11" t="n">
        <v>1</v>
      </c>
      <c r="M1228" s="5"/>
      <c r="N1228" s="5"/>
      <c r="O1228" s="11" t="n">
        <v>0</v>
      </c>
      <c r="P1228" s="11" t="n">
        <v>1</v>
      </c>
      <c r="Q1228" s="11" t="n">
        <v>1</v>
      </c>
      <c r="R1228" s="11" t="n">
        <v>1</v>
      </c>
      <c r="S1228" s="11" t="n">
        <v>0</v>
      </c>
      <c r="T1228" s="11" t="n">
        <v>0</v>
      </c>
      <c r="U1228" s="5"/>
      <c r="V1228" s="11" t="n">
        <v>1</v>
      </c>
      <c r="W1228" s="5"/>
      <c r="X1228" s="5"/>
      <c r="Y1228" s="5"/>
      <c r="Z1228" s="5"/>
      <c r="AA1228" s="5"/>
      <c r="AB1228" s="5"/>
    </row>
    <row r="1229" customFormat="false" ht="15.75" hidden="false" customHeight="false" outlineLevel="0" collapsed="false">
      <c r="A1229" s="5" t="s">
        <v>2745</v>
      </c>
      <c r="B1229" s="5" t="s">
        <v>2745</v>
      </c>
      <c r="C1229" s="5" t="s">
        <v>2753</v>
      </c>
      <c r="D1229" s="5"/>
      <c r="E1229" s="5"/>
      <c r="F1229" s="5"/>
      <c r="G1229" s="9" t="s">
        <v>2754</v>
      </c>
      <c r="H1229" s="5" t="n">
        <f aca="false">(COUNTIF(J1229:EC1229,"=0")+COUNTIF(J1229:EC1229,"=1"))</f>
        <v>7</v>
      </c>
      <c r="I1229" s="23" t="n">
        <f aca="false">IFERROR(ROUND(10-AVERAGE(J1229:EC1229)*10,0),0)</f>
        <v>4</v>
      </c>
      <c r="J1229" s="11" t="n">
        <v>0</v>
      </c>
      <c r="K1229" s="11" t="n">
        <v>1</v>
      </c>
      <c r="L1229" s="5"/>
      <c r="M1229" s="5"/>
      <c r="N1229" s="5"/>
      <c r="O1229" s="5"/>
      <c r="P1229" s="11" t="n">
        <v>1</v>
      </c>
      <c r="Q1229" s="11" t="n">
        <v>1</v>
      </c>
      <c r="R1229" s="5"/>
      <c r="S1229" s="11" t="n">
        <v>0</v>
      </c>
      <c r="T1229" s="11" t="n">
        <v>0</v>
      </c>
      <c r="U1229" s="5"/>
      <c r="V1229" s="11" t="n">
        <v>1</v>
      </c>
      <c r="W1229" s="5"/>
      <c r="X1229" s="5"/>
      <c r="Y1229" s="5"/>
      <c r="Z1229" s="5"/>
      <c r="AA1229" s="5"/>
      <c r="AB1229" s="5"/>
    </row>
    <row r="1230" customFormat="false" ht="15.75" hidden="false" customHeight="false" outlineLevel="0" collapsed="false">
      <c r="A1230" s="5" t="s">
        <v>2745</v>
      </c>
      <c r="B1230" s="5" t="s">
        <v>2745</v>
      </c>
      <c r="C1230" s="5" t="s">
        <v>2755</v>
      </c>
      <c r="D1230" s="5"/>
      <c r="E1230" s="5"/>
      <c r="F1230" s="5"/>
      <c r="G1230" s="9" t="s">
        <v>2756</v>
      </c>
      <c r="H1230" s="5" t="n">
        <f aca="false">(COUNTIF(J1230:EC1230,"=0")+COUNTIF(J1230:EC1230,"=1"))</f>
        <v>7</v>
      </c>
      <c r="I1230" s="23" t="n">
        <f aca="false">IFERROR(ROUND(10-AVERAGE(J1230:EC1230)*10,0),0)</f>
        <v>4</v>
      </c>
      <c r="J1230" s="11" t="n">
        <v>0</v>
      </c>
      <c r="K1230" s="11" t="n">
        <v>1</v>
      </c>
      <c r="L1230" s="5"/>
      <c r="M1230" s="5"/>
      <c r="N1230" s="5"/>
      <c r="O1230" s="5"/>
      <c r="P1230" s="11" t="n">
        <v>1</v>
      </c>
      <c r="Q1230" s="11" t="n">
        <v>1</v>
      </c>
      <c r="R1230" s="5"/>
      <c r="S1230" s="11" t="n">
        <v>0</v>
      </c>
      <c r="T1230" s="11" t="n">
        <v>0</v>
      </c>
      <c r="U1230" s="5"/>
      <c r="V1230" s="11" t="n">
        <v>1</v>
      </c>
      <c r="W1230" s="5"/>
      <c r="X1230" s="5"/>
      <c r="Y1230" s="5"/>
      <c r="Z1230" s="5"/>
      <c r="AA1230" s="5"/>
      <c r="AB1230" s="5"/>
    </row>
    <row r="1231" customFormat="false" ht="15.75" hidden="false" customHeight="false" outlineLevel="0" collapsed="false">
      <c r="A1231" s="5" t="s">
        <v>2745</v>
      </c>
      <c r="B1231" s="5" t="s">
        <v>2745</v>
      </c>
      <c r="C1231" s="5" t="s">
        <v>2757</v>
      </c>
      <c r="D1231" s="5"/>
      <c r="E1231" s="5"/>
      <c r="F1231" s="5"/>
      <c r="G1231" s="5"/>
      <c r="H1231" s="5" t="n">
        <f aca="false">(COUNTIF(J1231:EC1231,"=0")+COUNTIF(J1231:EC1231,"=1"))</f>
        <v>10</v>
      </c>
      <c r="I1231" s="23" t="n">
        <f aca="false">IFERROR(ROUND(10-AVERAGE(J1231:EC1231)*10,0),0)</f>
        <v>4</v>
      </c>
      <c r="J1231" s="11" t="n">
        <v>0</v>
      </c>
      <c r="K1231" s="11" t="n">
        <v>1</v>
      </c>
      <c r="L1231" s="11" t="n">
        <v>1</v>
      </c>
      <c r="M1231" s="5"/>
      <c r="N1231" s="5"/>
      <c r="O1231" s="11" t="n">
        <v>0</v>
      </c>
      <c r="P1231" s="11" t="n">
        <v>1</v>
      </c>
      <c r="Q1231" s="11" t="n">
        <v>1</v>
      </c>
      <c r="R1231" s="11" t="n">
        <v>1</v>
      </c>
      <c r="S1231" s="11" t="n">
        <v>0</v>
      </c>
      <c r="T1231" s="11" t="n">
        <v>0</v>
      </c>
      <c r="U1231" s="5"/>
      <c r="V1231" s="11" t="n">
        <v>1</v>
      </c>
      <c r="W1231" s="5"/>
      <c r="X1231" s="5"/>
      <c r="Y1231" s="5"/>
      <c r="Z1231" s="5"/>
      <c r="AA1231" s="5"/>
      <c r="AB1231" s="5"/>
    </row>
    <row r="1232" customFormat="false" ht="15.75" hidden="false" customHeight="false" outlineLevel="0" collapsed="false">
      <c r="A1232" s="5" t="s">
        <v>2745</v>
      </c>
      <c r="B1232" s="5" t="s">
        <v>2745</v>
      </c>
      <c r="C1232" s="5" t="s">
        <v>2758</v>
      </c>
      <c r="D1232" s="5"/>
      <c r="E1232" s="5"/>
      <c r="F1232" s="5"/>
      <c r="G1232" s="9" t="s">
        <v>2759</v>
      </c>
      <c r="H1232" s="5" t="n">
        <f aca="false">(COUNTIF(J1232:EC1232,"=0")+COUNTIF(J1232:EC1232,"=1"))</f>
        <v>11</v>
      </c>
      <c r="I1232" s="18" t="n">
        <f aca="false">IFERROR(ROUND(10-AVERAGE(J1232:EC1232)*10,0),0)</f>
        <v>0</v>
      </c>
      <c r="J1232" s="11" t="n">
        <v>1</v>
      </c>
      <c r="K1232" s="11" t="n">
        <v>1</v>
      </c>
      <c r="L1232" s="11" t="n">
        <v>1</v>
      </c>
      <c r="M1232" s="5"/>
      <c r="N1232" s="5"/>
      <c r="O1232" s="11" t="n">
        <v>1</v>
      </c>
      <c r="P1232" s="11" t="n">
        <v>1</v>
      </c>
      <c r="Q1232" s="11" t="n">
        <v>1</v>
      </c>
      <c r="R1232" s="11" t="n">
        <v>1</v>
      </c>
      <c r="S1232" s="11" t="n">
        <v>1</v>
      </c>
      <c r="T1232" s="11" t="n">
        <v>1</v>
      </c>
      <c r="U1232" s="5"/>
      <c r="V1232" s="11" t="n">
        <v>1</v>
      </c>
      <c r="W1232" s="5"/>
      <c r="X1232" s="5"/>
      <c r="Y1232" s="5"/>
      <c r="Z1232" s="5"/>
      <c r="AA1232" s="5"/>
      <c r="AB1232" s="11" t="n">
        <v>1</v>
      </c>
    </row>
    <row r="1233" customFormat="false" ht="15.75" hidden="false" customHeight="false" outlineLevel="0" collapsed="false">
      <c r="A1233" s="5" t="s">
        <v>2745</v>
      </c>
      <c r="B1233" s="5" t="s">
        <v>2745</v>
      </c>
      <c r="C1233" s="5" t="s">
        <v>2760</v>
      </c>
      <c r="D1233" s="5"/>
      <c r="E1233" s="5"/>
      <c r="F1233" s="5"/>
      <c r="G1233" s="5"/>
      <c r="H1233" s="5" t="n">
        <f aca="false">(COUNTIF(J1233:EC1233,"=0")+COUNTIF(J1233:EC1233,"=1"))</f>
        <v>7</v>
      </c>
      <c r="I1233" s="23" t="n">
        <f aca="false">IFERROR(ROUND(10-AVERAGE(J1233:EC1233)*10,0),0)</f>
        <v>4</v>
      </c>
      <c r="J1233" s="11" t="n">
        <v>0</v>
      </c>
      <c r="K1233" s="11" t="n">
        <v>1</v>
      </c>
      <c r="L1233" s="5"/>
      <c r="M1233" s="5"/>
      <c r="N1233" s="5"/>
      <c r="O1233" s="5"/>
      <c r="P1233" s="11" t="n">
        <v>1</v>
      </c>
      <c r="Q1233" s="11" t="n">
        <v>1</v>
      </c>
      <c r="R1233" s="5"/>
      <c r="S1233" s="11" t="n">
        <v>0</v>
      </c>
      <c r="T1233" s="11" t="n">
        <v>0</v>
      </c>
      <c r="U1233" s="5"/>
      <c r="V1233" s="11" t="n">
        <v>1</v>
      </c>
      <c r="W1233" s="5"/>
      <c r="X1233" s="5"/>
      <c r="Y1233" s="5"/>
      <c r="Z1233" s="5"/>
      <c r="AA1233" s="5"/>
      <c r="AB1233" s="5"/>
    </row>
    <row r="1234" customFormat="false" ht="15.75" hidden="false" customHeight="false" outlineLevel="0" collapsed="false">
      <c r="A1234" s="5" t="s">
        <v>2745</v>
      </c>
      <c r="B1234" s="5" t="s">
        <v>2761</v>
      </c>
      <c r="C1234" s="5" t="s">
        <v>2762</v>
      </c>
      <c r="D1234" s="5"/>
      <c r="E1234" s="5"/>
      <c r="F1234" s="5"/>
      <c r="G1234" s="5"/>
      <c r="H1234" s="5" t="n">
        <f aca="false">(COUNTIF(J1234:EC1234,"=0")+COUNTIF(J1234:EC1234,"=1"))</f>
        <v>3</v>
      </c>
      <c r="I1234" s="19" t="n">
        <f aca="false">IFERROR(ROUND(10-AVERAGE(J1234:EC1234)*10,0),0)</f>
        <v>7</v>
      </c>
      <c r="J1234" s="5" t="n">
        <v>0</v>
      </c>
      <c r="K1234" s="11" t="n">
        <v>0</v>
      </c>
      <c r="L1234" s="5"/>
      <c r="M1234" s="5"/>
      <c r="N1234" s="5"/>
      <c r="O1234" s="5"/>
      <c r="P1234" s="11" t="n">
        <v>1</v>
      </c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customFormat="false" ht="15.75" hidden="false" customHeight="false" outlineLevel="0" collapsed="false">
      <c r="A1235" s="5" t="s">
        <v>2763</v>
      </c>
      <c r="B1235" s="5" t="s">
        <v>2764</v>
      </c>
      <c r="C1235" s="5" t="s">
        <v>2765</v>
      </c>
      <c r="D1235" s="5"/>
      <c r="E1235" s="5"/>
      <c r="F1235" s="5"/>
      <c r="G1235" s="5"/>
      <c r="H1235" s="5" t="n">
        <f aca="false">(COUNTIF(J1235:EC1235,"=0")+COUNTIF(J1235:EC1235,"=1"))</f>
        <v>6</v>
      </c>
      <c r="I1235" s="12" t="n">
        <f aca="false">IFERROR(ROUND(10-AVERAGE(J1235:EC1235)*10,0),0)</f>
        <v>8</v>
      </c>
      <c r="J1235" s="11" t="n">
        <v>0</v>
      </c>
      <c r="K1235" s="11" t="n">
        <v>0</v>
      </c>
      <c r="L1235" s="5"/>
      <c r="M1235" s="5"/>
      <c r="N1235" s="5"/>
      <c r="O1235" s="5"/>
      <c r="P1235" s="11" t="n">
        <v>1</v>
      </c>
      <c r="Q1235" s="5"/>
      <c r="R1235" s="5"/>
      <c r="S1235" s="5"/>
      <c r="T1235" s="11" t="n">
        <v>0</v>
      </c>
      <c r="U1235" s="5"/>
      <c r="V1235" s="5"/>
      <c r="W1235" s="5" t="n">
        <v>0</v>
      </c>
      <c r="X1235" s="5"/>
      <c r="Y1235" s="5"/>
      <c r="Z1235" s="11" t="n">
        <v>0</v>
      </c>
      <c r="AA1235" s="5"/>
      <c r="AB1235" s="5"/>
    </row>
    <row r="1236" customFormat="false" ht="15.75" hidden="false" customHeight="false" outlineLevel="0" collapsed="false">
      <c r="A1236" s="5" t="s">
        <v>2763</v>
      </c>
      <c r="B1236" s="5" t="s">
        <v>2764</v>
      </c>
      <c r="C1236" s="5" t="s">
        <v>2766</v>
      </c>
      <c r="D1236" s="5"/>
      <c r="E1236" s="5"/>
      <c r="F1236" s="5"/>
      <c r="G1236" s="5"/>
      <c r="H1236" s="5" t="n">
        <f aca="false">(COUNTIF(J1236:EC1236,"=0")+COUNTIF(J1236:EC1236,"=1"))</f>
        <v>5</v>
      </c>
      <c r="I1236" s="12" t="n">
        <f aca="false">IFERROR(ROUND(10-AVERAGE(J1236:EC1236)*10,0),0)</f>
        <v>8</v>
      </c>
      <c r="J1236" s="11" t="n">
        <v>0</v>
      </c>
      <c r="K1236" s="11" t="n">
        <v>0</v>
      </c>
      <c r="L1236" s="5"/>
      <c r="M1236" s="5"/>
      <c r="N1236" s="5"/>
      <c r="O1236" s="5"/>
      <c r="P1236" s="11" t="n">
        <v>1</v>
      </c>
      <c r="Q1236" s="5"/>
      <c r="R1236" s="5"/>
      <c r="S1236" s="5"/>
      <c r="T1236" s="11" t="n">
        <v>0</v>
      </c>
      <c r="U1236" s="5"/>
      <c r="V1236" s="5"/>
      <c r="W1236" s="5"/>
      <c r="X1236" s="5"/>
      <c r="Y1236" s="5"/>
      <c r="Z1236" s="11" t="n">
        <v>0</v>
      </c>
      <c r="AA1236" s="5"/>
      <c r="AB1236" s="5"/>
    </row>
    <row r="1237" customFormat="false" ht="15.75" hidden="false" customHeight="false" outlineLevel="0" collapsed="false">
      <c r="A1237" s="5" t="s">
        <v>2767</v>
      </c>
      <c r="B1237" s="5" t="s">
        <v>2767</v>
      </c>
      <c r="C1237" s="5" t="s">
        <v>2768</v>
      </c>
      <c r="D1237" s="5"/>
      <c r="E1237" s="5"/>
      <c r="F1237" s="5"/>
      <c r="G1237" s="5"/>
      <c r="H1237" s="5" t="n">
        <f aca="false">(COUNTIF(J1237:EC1237,"=0")+COUNTIF(J1237:EC1237,"=1"))</f>
        <v>6</v>
      </c>
      <c r="I1237" s="13" t="n">
        <f aca="false">IFERROR(ROUND(10-AVERAGE(J1237:EC1237)*10,0),0)</f>
        <v>2</v>
      </c>
      <c r="J1237" s="11" t="n">
        <v>1</v>
      </c>
      <c r="K1237" s="11" t="n">
        <v>0</v>
      </c>
      <c r="L1237" s="5"/>
      <c r="M1237" s="5"/>
      <c r="N1237" s="5"/>
      <c r="O1237" s="11" t="n">
        <v>1</v>
      </c>
      <c r="P1237" s="11" t="n">
        <v>1</v>
      </c>
      <c r="Q1237" s="11" t="n">
        <v>1</v>
      </c>
      <c r="R1237" s="5"/>
      <c r="S1237" s="5"/>
      <c r="T1237" s="11" t="n">
        <v>1</v>
      </c>
      <c r="U1237" s="5"/>
      <c r="V1237" s="5"/>
      <c r="W1237" s="5"/>
      <c r="X1237" s="5"/>
      <c r="Y1237" s="5"/>
      <c r="Z1237" s="5"/>
      <c r="AA1237" s="5"/>
      <c r="AB1237" s="5"/>
    </row>
    <row r="1238" customFormat="false" ht="15.75" hidden="false" customHeight="false" outlineLevel="0" collapsed="false">
      <c r="A1238" s="5" t="s">
        <v>2769</v>
      </c>
      <c r="B1238" s="5" t="s">
        <v>2769</v>
      </c>
      <c r="C1238" s="5" t="s">
        <v>2770</v>
      </c>
      <c r="D1238" s="5"/>
      <c r="E1238" s="5"/>
      <c r="F1238" s="5"/>
      <c r="G1238" s="9" t="s">
        <v>2771</v>
      </c>
      <c r="H1238" s="5" t="n">
        <f aca="false">(COUNTIF(J1238:EC1238,"=0")+COUNTIF(J1238:EC1238,"=1"))</f>
        <v>3</v>
      </c>
      <c r="I1238" s="19" t="n">
        <f aca="false">IFERROR(ROUND(10-AVERAGE(J1238:EC1238)*10,0),0)</f>
        <v>7</v>
      </c>
      <c r="J1238" s="5" t="n">
        <v>0</v>
      </c>
      <c r="K1238" s="11" t="n">
        <v>0</v>
      </c>
      <c r="L1238" s="5"/>
      <c r="M1238" s="5"/>
      <c r="N1238" s="5"/>
      <c r="O1238" s="5"/>
      <c r="P1238" s="11" t="n">
        <v>1</v>
      </c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customFormat="false" ht="15.75" hidden="false" customHeight="false" outlineLevel="0" collapsed="false">
      <c r="A1239" s="5" t="s">
        <v>2772</v>
      </c>
      <c r="B1239" s="5" t="s">
        <v>2772</v>
      </c>
      <c r="C1239" s="5" t="s">
        <v>2773</v>
      </c>
      <c r="D1239" s="5"/>
      <c r="E1239" s="5"/>
      <c r="F1239" s="5"/>
      <c r="G1239" s="9" t="s">
        <v>2774</v>
      </c>
      <c r="H1239" s="5" t="n">
        <f aca="false">(COUNTIF(J1239:EC1239,"=0")+COUNTIF(J1239:EC1239,"=1"))</f>
        <v>5</v>
      </c>
      <c r="I1239" s="16" t="n">
        <f aca="false">IFERROR(ROUND(10-AVERAGE(J1239:EC1239)*10,0),0)</f>
        <v>6</v>
      </c>
      <c r="J1239" s="11" t="n">
        <v>0</v>
      </c>
      <c r="K1239" s="11" t="n">
        <v>0</v>
      </c>
      <c r="L1239" s="5"/>
      <c r="M1239" s="5"/>
      <c r="N1239" s="5"/>
      <c r="O1239" s="5"/>
      <c r="P1239" s="11" t="n">
        <v>1</v>
      </c>
      <c r="Q1239" s="11" t="n">
        <v>1</v>
      </c>
      <c r="R1239" s="5"/>
      <c r="S1239" s="11"/>
      <c r="T1239" s="11" t="n">
        <v>0</v>
      </c>
      <c r="U1239" s="5"/>
      <c r="V1239" s="5"/>
      <c r="W1239" s="5"/>
      <c r="X1239" s="5"/>
      <c r="Y1239" s="5"/>
      <c r="Z1239" s="5"/>
      <c r="AA1239" s="5"/>
      <c r="AB1239" s="5"/>
    </row>
    <row r="1240" customFormat="false" ht="15.75" hidden="false" customHeight="false" outlineLevel="0" collapsed="false">
      <c r="A1240" s="5" t="s">
        <v>2772</v>
      </c>
      <c r="B1240" s="5" t="s">
        <v>2772</v>
      </c>
      <c r="C1240" s="5" t="s">
        <v>2775</v>
      </c>
      <c r="D1240" s="5"/>
      <c r="E1240" s="5"/>
      <c r="F1240" s="5"/>
      <c r="G1240" s="5"/>
      <c r="H1240" s="5" t="n">
        <f aca="false">(COUNTIF(J1240:EC1240,"=0")+COUNTIF(J1240:EC1240,"=1"))</f>
        <v>5</v>
      </c>
      <c r="I1240" s="16" t="n">
        <f aca="false">IFERROR(ROUND(10-AVERAGE(J1240:EC1240)*10,0),0)</f>
        <v>6</v>
      </c>
      <c r="J1240" s="11" t="n">
        <v>0</v>
      </c>
      <c r="K1240" s="11" t="n">
        <v>0</v>
      </c>
      <c r="L1240" s="5"/>
      <c r="M1240" s="5"/>
      <c r="N1240" s="5"/>
      <c r="O1240" s="5"/>
      <c r="P1240" s="11" t="n">
        <v>1</v>
      </c>
      <c r="Q1240" s="11" t="n">
        <v>1</v>
      </c>
      <c r="R1240" s="5"/>
      <c r="S1240" s="11"/>
      <c r="T1240" s="11" t="n">
        <v>0</v>
      </c>
      <c r="U1240" s="5"/>
      <c r="V1240" s="5"/>
      <c r="W1240" s="5"/>
      <c r="X1240" s="5"/>
      <c r="Y1240" s="5"/>
      <c r="Z1240" s="5"/>
      <c r="AA1240" s="5"/>
      <c r="AB1240" s="5"/>
    </row>
    <row r="1241" customFormat="false" ht="15.75" hidden="false" customHeight="false" outlineLevel="0" collapsed="false">
      <c r="A1241" s="5" t="s">
        <v>2776</v>
      </c>
      <c r="B1241" s="5" t="s">
        <v>2776</v>
      </c>
      <c r="C1241" s="5" t="s">
        <v>2777</v>
      </c>
      <c r="D1241" s="5"/>
      <c r="E1241" s="5"/>
      <c r="F1241" s="5"/>
      <c r="G1241" s="5"/>
      <c r="H1241" s="5" t="n">
        <f aca="false">(COUNTIF(J1241:EC1241,"=0")+COUNTIF(J1241:EC1241,"=1"))</f>
        <v>5</v>
      </c>
      <c r="I1241" s="12" t="n">
        <f aca="false">IFERROR(ROUND(10-AVERAGE(J1241:EC1241)*10,0),0)</f>
        <v>8</v>
      </c>
      <c r="J1241" s="11" t="n">
        <v>0</v>
      </c>
      <c r="K1241" s="11" t="n">
        <v>0</v>
      </c>
      <c r="L1241" s="5"/>
      <c r="M1241" s="5"/>
      <c r="N1241" s="5"/>
      <c r="O1241" s="5"/>
      <c r="P1241" s="11" t="n">
        <v>1</v>
      </c>
      <c r="Q1241" s="5"/>
      <c r="R1241" s="5"/>
      <c r="S1241" s="5"/>
      <c r="T1241" s="11" t="n">
        <v>0</v>
      </c>
      <c r="U1241" s="5"/>
      <c r="V1241" s="5"/>
      <c r="W1241" s="5"/>
      <c r="X1241" s="5"/>
      <c r="Y1241" s="5"/>
      <c r="Z1241" s="11" t="n">
        <v>0</v>
      </c>
      <c r="AA1241" s="5"/>
      <c r="AB1241" s="5"/>
    </row>
    <row r="1242" customFormat="false" ht="15.75" hidden="false" customHeight="false" outlineLevel="0" collapsed="false">
      <c r="A1242" s="5" t="s">
        <v>2776</v>
      </c>
      <c r="B1242" s="5" t="s">
        <v>2776</v>
      </c>
      <c r="C1242" s="5" t="s">
        <v>2778</v>
      </c>
      <c r="D1242" s="5"/>
      <c r="E1242" s="5"/>
      <c r="F1242" s="5"/>
      <c r="G1242" s="9" t="s">
        <v>2779</v>
      </c>
      <c r="H1242" s="5" t="n">
        <f aca="false">(COUNTIF(J1242:EC1242,"=0")+COUNTIF(J1242:EC1242,"=1"))</f>
        <v>5</v>
      </c>
      <c r="I1242" s="12" t="n">
        <f aca="false">IFERROR(ROUND(10-AVERAGE(J1242:EC1242)*10,0),0)</f>
        <v>8</v>
      </c>
      <c r="J1242" s="11" t="n">
        <v>0</v>
      </c>
      <c r="K1242" s="11" t="n">
        <v>0</v>
      </c>
      <c r="L1242" s="5"/>
      <c r="M1242" s="5"/>
      <c r="N1242" s="5"/>
      <c r="O1242" s="5"/>
      <c r="P1242" s="11" t="n">
        <v>1</v>
      </c>
      <c r="Q1242" s="5"/>
      <c r="R1242" s="5"/>
      <c r="S1242" s="5"/>
      <c r="T1242" s="11" t="n">
        <v>0</v>
      </c>
      <c r="U1242" s="5"/>
      <c r="V1242" s="5"/>
      <c r="W1242" s="5"/>
      <c r="X1242" s="5"/>
      <c r="Y1242" s="5"/>
      <c r="Z1242" s="11" t="n">
        <v>0</v>
      </c>
      <c r="AA1242" s="5"/>
      <c r="AB1242" s="5"/>
    </row>
    <row r="1243" customFormat="false" ht="15.75" hidden="false" customHeight="false" outlineLevel="0" collapsed="false">
      <c r="A1243" s="5" t="s">
        <v>2776</v>
      </c>
      <c r="B1243" s="5" t="s">
        <v>2776</v>
      </c>
      <c r="C1243" s="5" t="s">
        <v>2780</v>
      </c>
      <c r="D1243" s="5"/>
      <c r="E1243" s="5"/>
      <c r="F1243" s="5"/>
      <c r="G1243" s="5"/>
      <c r="H1243" s="5" t="n">
        <f aca="false">(COUNTIF(J1243:EC1243,"=0")+COUNTIF(J1243:EC1243,"=1"))</f>
        <v>5</v>
      </c>
      <c r="I1243" s="12" t="n">
        <f aca="false">IFERROR(ROUND(10-AVERAGE(J1243:EC1243)*10,0),0)</f>
        <v>8</v>
      </c>
      <c r="J1243" s="11" t="n">
        <v>0</v>
      </c>
      <c r="K1243" s="11" t="n">
        <v>0</v>
      </c>
      <c r="L1243" s="5"/>
      <c r="M1243" s="5"/>
      <c r="N1243" s="5"/>
      <c r="O1243" s="5"/>
      <c r="P1243" s="11" t="n">
        <v>1</v>
      </c>
      <c r="Q1243" s="5"/>
      <c r="R1243" s="5"/>
      <c r="S1243" s="5"/>
      <c r="T1243" s="11" t="n">
        <v>0</v>
      </c>
      <c r="U1243" s="5"/>
      <c r="V1243" s="5"/>
      <c r="W1243" s="5"/>
      <c r="X1243" s="5"/>
      <c r="Y1243" s="5"/>
      <c r="Z1243" s="11" t="n">
        <v>0</v>
      </c>
      <c r="AA1243" s="5"/>
      <c r="AB1243" s="5"/>
    </row>
    <row r="1244" customFormat="false" ht="15.75" hidden="false" customHeight="false" outlineLevel="0" collapsed="false">
      <c r="A1244" s="5" t="s">
        <v>2776</v>
      </c>
      <c r="B1244" s="5" t="s">
        <v>2776</v>
      </c>
      <c r="C1244" s="5" t="s">
        <v>1656</v>
      </c>
      <c r="D1244" s="5"/>
      <c r="E1244" s="5"/>
      <c r="F1244" s="5"/>
      <c r="G1244" s="5"/>
      <c r="H1244" s="5" t="n">
        <f aca="false">(COUNTIF(J1244:EC1244,"=0")+COUNTIF(J1244:EC1244,"=1"))</f>
        <v>5</v>
      </c>
      <c r="I1244" s="12" t="n">
        <f aca="false">IFERROR(ROUND(10-AVERAGE(J1244:EC1244)*10,0),0)</f>
        <v>8</v>
      </c>
      <c r="J1244" s="11" t="n">
        <v>0</v>
      </c>
      <c r="K1244" s="11" t="n">
        <v>0</v>
      </c>
      <c r="L1244" s="5"/>
      <c r="M1244" s="5"/>
      <c r="N1244" s="5"/>
      <c r="O1244" s="5"/>
      <c r="P1244" s="11" t="n">
        <v>1</v>
      </c>
      <c r="Q1244" s="5"/>
      <c r="R1244" s="5"/>
      <c r="S1244" s="5"/>
      <c r="T1244" s="11" t="n">
        <v>0</v>
      </c>
      <c r="U1244" s="5"/>
      <c r="V1244" s="5"/>
      <c r="W1244" s="5"/>
      <c r="X1244" s="5"/>
      <c r="Y1244" s="5"/>
      <c r="Z1244" s="11" t="n">
        <v>0</v>
      </c>
      <c r="AA1244" s="5"/>
      <c r="AB1244" s="5"/>
    </row>
    <row r="1245" customFormat="false" ht="15.75" hidden="false" customHeight="false" outlineLevel="0" collapsed="false">
      <c r="A1245" s="5" t="s">
        <v>2776</v>
      </c>
      <c r="B1245" s="5" t="s">
        <v>2781</v>
      </c>
      <c r="C1245" s="5" t="s">
        <v>381</v>
      </c>
      <c r="D1245" s="5" t="s">
        <v>2782</v>
      </c>
      <c r="E1245" s="5"/>
      <c r="F1245" s="5"/>
      <c r="G1245" s="9" t="s">
        <v>2783</v>
      </c>
      <c r="H1245" s="5" t="n">
        <f aca="false">(COUNTIF(J1245:EC1245,"=0")+COUNTIF(J1245:EC1245,"=1"))</f>
        <v>5</v>
      </c>
      <c r="I1245" s="19" t="n">
        <f aca="false">IFERROR(ROUND(10-AVERAGE(J1245:EC1245)*10,0),0)</f>
        <v>6</v>
      </c>
      <c r="J1245" s="11" t="n">
        <v>1</v>
      </c>
      <c r="K1245" s="11" t="n">
        <v>0</v>
      </c>
      <c r="L1245" s="5"/>
      <c r="M1245" s="5"/>
      <c r="N1245" s="5"/>
      <c r="O1245" s="5"/>
      <c r="P1245" s="11" t="n">
        <v>1</v>
      </c>
      <c r="Q1245" s="5"/>
      <c r="R1245" s="5"/>
      <c r="S1245" s="5"/>
      <c r="T1245" s="5"/>
      <c r="U1245" s="5"/>
      <c r="V1245" s="5"/>
      <c r="W1245" s="5" t="n">
        <v>0</v>
      </c>
      <c r="X1245" s="5"/>
      <c r="Y1245" s="5"/>
      <c r="Z1245" s="11" t="n">
        <v>0</v>
      </c>
      <c r="AA1245" s="5"/>
      <c r="AB1245" s="5"/>
    </row>
    <row r="1246" customFormat="false" ht="15.75" hidden="false" customHeight="false" outlineLevel="0" collapsed="false">
      <c r="A1246" s="5" t="s">
        <v>2776</v>
      </c>
      <c r="B1246" s="5" t="s">
        <v>2781</v>
      </c>
      <c r="C1246" s="5" t="s">
        <v>356</v>
      </c>
      <c r="D1246" s="5" t="s">
        <v>2782</v>
      </c>
      <c r="E1246" s="5"/>
      <c r="F1246" s="5"/>
      <c r="G1246" s="9" t="s">
        <v>2784</v>
      </c>
      <c r="H1246" s="5" t="n">
        <f aca="false">(COUNTIF(J1246:EC1246,"=0")+COUNTIF(J1246:EC1246,"=1"))</f>
        <v>5</v>
      </c>
      <c r="I1246" s="12" t="n">
        <f aca="false">IFERROR(ROUND(10-AVERAGE(J1246:EC1246)*10,0),0)</f>
        <v>8</v>
      </c>
      <c r="J1246" s="11" t="n">
        <v>0</v>
      </c>
      <c r="K1246" s="11" t="n">
        <v>0</v>
      </c>
      <c r="L1246" s="5"/>
      <c r="M1246" s="5"/>
      <c r="N1246" s="5"/>
      <c r="O1246" s="5"/>
      <c r="P1246" s="11" t="n">
        <v>1</v>
      </c>
      <c r="Q1246" s="5"/>
      <c r="R1246" s="5"/>
      <c r="S1246" s="5"/>
      <c r="T1246" s="11" t="n">
        <v>0</v>
      </c>
      <c r="U1246" s="5"/>
      <c r="V1246" s="5"/>
      <c r="W1246" s="5"/>
      <c r="X1246" s="5"/>
      <c r="Y1246" s="5"/>
      <c r="Z1246" s="11" t="n">
        <v>0</v>
      </c>
      <c r="AA1246" s="5"/>
      <c r="AB1246" s="5"/>
    </row>
    <row r="1247" customFormat="false" ht="15.75" hidden="false" customHeight="false" outlineLevel="0" collapsed="false">
      <c r="A1247" s="5" t="s">
        <v>2785</v>
      </c>
      <c r="B1247" s="5" t="s">
        <v>2786</v>
      </c>
      <c r="C1247" s="5" t="s">
        <v>2787</v>
      </c>
      <c r="D1247" s="5"/>
      <c r="E1247" s="5"/>
      <c r="F1247" s="5"/>
      <c r="G1247" s="9" t="s">
        <v>2788</v>
      </c>
      <c r="H1247" s="5" t="n">
        <f aca="false">(COUNTIF(J1247:EC1247,"=0")+COUNTIF(J1247:EC1247,"=1"))</f>
        <v>2</v>
      </c>
      <c r="I1247" s="12" t="n">
        <f aca="false">IFERROR(ROUND(10-AVERAGE(J1247:EC1247)*10,0),0)</f>
        <v>5</v>
      </c>
      <c r="J1247" s="11"/>
      <c r="K1247" s="11"/>
      <c r="L1247" s="5" t="n">
        <v>1</v>
      </c>
      <c r="M1247" s="5"/>
      <c r="N1247" s="5"/>
      <c r="O1247" s="5"/>
      <c r="P1247" s="11" t="n">
        <v>0</v>
      </c>
      <c r="Q1247" s="5"/>
      <c r="R1247" s="5"/>
      <c r="S1247" s="5"/>
      <c r="T1247" s="11"/>
      <c r="U1247" s="5"/>
      <c r="V1247" s="5"/>
      <c r="W1247" s="5"/>
      <c r="X1247" s="5"/>
      <c r="Y1247" s="5"/>
      <c r="Z1247" s="11"/>
      <c r="AA1247" s="5"/>
      <c r="AB1247" s="5"/>
    </row>
    <row r="1248" customFormat="false" ht="15.75" hidden="false" customHeight="false" outlineLevel="0" collapsed="false">
      <c r="A1248" s="5" t="s">
        <v>2789</v>
      </c>
      <c r="B1248" s="5" t="s">
        <v>2789</v>
      </c>
      <c r="C1248" s="5" t="s">
        <v>2790</v>
      </c>
      <c r="D1248" s="5"/>
      <c r="E1248" s="5"/>
      <c r="F1248" s="5"/>
      <c r="G1248" s="5"/>
      <c r="H1248" s="5" t="n">
        <f aca="false">(COUNTIF(J1248:EC1248,"=0")+COUNTIF(J1248:EC1248,"=1"))</f>
        <v>9</v>
      </c>
      <c r="I1248" s="12" t="n">
        <f aca="false">IFERROR(ROUND(10-AVERAGE(J1248:EC1248)*10,0),0)</f>
        <v>7</v>
      </c>
      <c r="J1248" s="11" t="n">
        <v>0</v>
      </c>
      <c r="K1248" s="11" t="n">
        <v>1</v>
      </c>
      <c r="L1248" s="11" t="n">
        <v>1</v>
      </c>
      <c r="M1248" s="5"/>
      <c r="N1248" s="5"/>
      <c r="O1248" s="11" t="n">
        <v>0</v>
      </c>
      <c r="P1248" s="11" t="n">
        <v>1</v>
      </c>
      <c r="Q1248" s="11" t="n">
        <v>0</v>
      </c>
      <c r="R1248" s="5"/>
      <c r="S1248" s="11" t="n">
        <v>0</v>
      </c>
      <c r="T1248" s="11" t="n">
        <v>0</v>
      </c>
      <c r="U1248" s="5"/>
      <c r="V1248" s="5"/>
      <c r="W1248" s="5"/>
      <c r="X1248" s="5"/>
      <c r="Y1248" s="5"/>
      <c r="Z1248" s="5"/>
      <c r="AA1248" s="5"/>
      <c r="AB1248" s="5"/>
      <c r="AF1248" s="5" t="n">
        <v>0</v>
      </c>
    </row>
    <row r="1249" customFormat="false" ht="15.75" hidden="false" customHeight="false" outlineLevel="0" collapsed="false">
      <c r="A1249" s="5" t="s">
        <v>2791</v>
      </c>
      <c r="B1249" s="5" t="s">
        <v>2792</v>
      </c>
      <c r="C1249" s="5" t="s">
        <v>87</v>
      </c>
      <c r="D1249" s="5"/>
      <c r="E1249" s="5"/>
      <c r="F1249" s="5"/>
      <c r="G1249" s="9" t="s">
        <v>2793</v>
      </c>
      <c r="H1249" s="5" t="n">
        <f aca="false">(COUNTIF(J1249:EC1249,"=0")+COUNTIF(J1249:EC1249,"=1"))</f>
        <v>5</v>
      </c>
      <c r="I1249" s="16" t="n">
        <f aca="false">IFERROR(ROUND(10-AVERAGE(J1249:EC1249)*10,0),0)</f>
        <v>6</v>
      </c>
      <c r="J1249" s="5" t="n">
        <v>1</v>
      </c>
      <c r="K1249" s="11" t="n">
        <v>0</v>
      </c>
      <c r="L1249" s="5"/>
      <c r="M1249" s="5"/>
      <c r="N1249" s="5"/>
      <c r="O1249" s="5"/>
      <c r="P1249" s="11" t="n">
        <v>1</v>
      </c>
      <c r="Q1249" s="5"/>
      <c r="R1249" s="5"/>
      <c r="S1249" s="5"/>
      <c r="T1249" s="5"/>
      <c r="U1249" s="5"/>
      <c r="V1249" s="5"/>
      <c r="W1249" s="5" t="n">
        <v>0</v>
      </c>
      <c r="X1249" s="5"/>
      <c r="Y1249" s="5"/>
      <c r="Z1249" s="5"/>
      <c r="AA1249" s="11" t="n">
        <v>0</v>
      </c>
      <c r="AB1249" s="5"/>
    </row>
    <row r="1250" customFormat="false" ht="15.75" hidden="false" customHeight="false" outlineLevel="0" collapsed="false">
      <c r="A1250" s="5" t="s">
        <v>2794</v>
      </c>
      <c r="B1250" s="5" t="s">
        <v>2794</v>
      </c>
      <c r="C1250" s="5" t="s">
        <v>2795</v>
      </c>
      <c r="D1250" s="5"/>
      <c r="E1250" s="5"/>
      <c r="F1250" s="5"/>
      <c r="G1250" s="5"/>
      <c r="H1250" s="5" t="n">
        <f aca="false">(COUNTIF(J1250:EC1250,"=0")+COUNTIF(J1250:EC1250,"=1"))</f>
        <v>9</v>
      </c>
      <c r="I1250" s="17" t="n">
        <f aca="false">IFERROR(ROUND(10-AVERAGE(J1250:EC1250)*10,0),0)</f>
        <v>9</v>
      </c>
      <c r="J1250" s="11" t="n">
        <v>0</v>
      </c>
      <c r="K1250" s="11" t="n">
        <v>0</v>
      </c>
      <c r="L1250" s="11" t="n">
        <v>0</v>
      </c>
      <c r="M1250" s="11" t="n">
        <v>1</v>
      </c>
      <c r="N1250" s="5"/>
      <c r="O1250" s="11" t="n">
        <v>0</v>
      </c>
      <c r="P1250" s="11" t="n">
        <v>0</v>
      </c>
      <c r="Q1250" s="11" t="n">
        <v>0</v>
      </c>
      <c r="R1250" s="5"/>
      <c r="S1250" s="11" t="n">
        <v>0</v>
      </c>
      <c r="T1250" s="11" t="n">
        <v>0</v>
      </c>
      <c r="U1250" s="5"/>
      <c r="V1250" s="5"/>
      <c r="W1250" s="5"/>
      <c r="X1250" s="5"/>
      <c r="Y1250" s="5"/>
      <c r="Z1250" s="5"/>
      <c r="AA1250" s="5"/>
      <c r="AB1250" s="5"/>
    </row>
    <row r="1251" customFormat="false" ht="15.75" hidden="false" customHeight="false" outlineLevel="0" collapsed="false">
      <c r="A1251" s="5" t="s">
        <v>2794</v>
      </c>
      <c r="B1251" s="5" t="s">
        <v>2794</v>
      </c>
      <c r="C1251" s="5" t="s">
        <v>2796</v>
      </c>
      <c r="D1251" s="5"/>
      <c r="E1251" s="5"/>
      <c r="F1251" s="5"/>
      <c r="G1251" s="5"/>
      <c r="H1251" s="5" t="n">
        <f aca="false">(COUNTIF(J1251:EC1251,"=0")+COUNTIF(J1251:EC1251,"=1"))</f>
        <v>9</v>
      </c>
      <c r="I1251" s="17" t="n">
        <f aca="false">IFERROR(ROUND(10-AVERAGE(J1251:EC1251)*10,0),0)</f>
        <v>9</v>
      </c>
      <c r="J1251" s="11" t="n">
        <v>0</v>
      </c>
      <c r="K1251" s="11" t="n">
        <v>0</v>
      </c>
      <c r="L1251" s="11" t="n">
        <v>0</v>
      </c>
      <c r="M1251" s="11" t="n">
        <v>1</v>
      </c>
      <c r="N1251" s="5"/>
      <c r="O1251" s="11" t="n">
        <v>0</v>
      </c>
      <c r="P1251" s="11" t="n">
        <v>0</v>
      </c>
      <c r="Q1251" s="11" t="n">
        <v>0</v>
      </c>
      <c r="R1251" s="5"/>
      <c r="S1251" s="11" t="n">
        <v>0</v>
      </c>
      <c r="T1251" s="11" t="n">
        <v>0</v>
      </c>
      <c r="U1251" s="5"/>
      <c r="V1251" s="5"/>
      <c r="W1251" s="5"/>
      <c r="X1251" s="5"/>
      <c r="Y1251" s="5"/>
      <c r="Z1251" s="5"/>
      <c r="AA1251" s="5"/>
      <c r="AB1251" s="5"/>
    </row>
    <row r="1252" customFormat="false" ht="15.75" hidden="false" customHeight="false" outlineLevel="0" collapsed="false">
      <c r="A1252" s="5" t="s">
        <v>2794</v>
      </c>
      <c r="B1252" s="5" t="s">
        <v>2794</v>
      </c>
      <c r="C1252" s="5" t="s">
        <v>2797</v>
      </c>
      <c r="D1252" s="5"/>
      <c r="E1252" s="5"/>
      <c r="F1252" s="5"/>
      <c r="G1252" s="5"/>
      <c r="H1252" s="5" t="n">
        <f aca="false">(COUNTIF(J1252:EC1252,"=0")+COUNTIF(J1252:EC1252,"=1"))</f>
        <v>9</v>
      </c>
      <c r="I1252" s="12" t="n">
        <f aca="false">IFERROR(ROUND(10-AVERAGE(J1252:EC1252)*10,0),0)</f>
        <v>8</v>
      </c>
      <c r="J1252" s="11" t="n">
        <v>0</v>
      </c>
      <c r="K1252" s="11" t="n">
        <v>0</v>
      </c>
      <c r="L1252" s="11" t="n">
        <v>0</v>
      </c>
      <c r="M1252" s="11" t="n">
        <v>1</v>
      </c>
      <c r="N1252" s="5"/>
      <c r="O1252" s="11" t="n">
        <v>0</v>
      </c>
      <c r="P1252" s="11" t="n">
        <v>0</v>
      </c>
      <c r="Q1252" s="11" t="n">
        <v>1</v>
      </c>
      <c r="R1252" s="5"/>
      <c r="S1252" s="11" t="n">
        <v>0</v>
      </c>
      <c r="T1252" s="11" t="n">
        <v>0</v>
      </c>
      <c r="U1252" s="5"/>
      <c r="V1252" s="5"/>
      <c r="W1252" s="5"/>
      <c r="X1252" s="5"/>
      <c r="Y1252" s="5"/>
      <c r="Z1252" s="5"/>
      <c r="AA1252" s="5"/>
      <c r="AB1252" s="5"/>
    </row>
    <row r="1253" customFormat="false" ht="15.75" hidden="false" customHeight="false" outlineLevel="0" collapsed="false">
      <c r="A1253" s="5" t="s">
        <v>2798</v>
      </c>
      <c r="B1253" s="5" t="s">
        <v>2799</v>
      </c>
      <c r="C1253" s="5" t="s">
        <v>478</v>
      </c>
      <c r="D1253" s="5"/>
      <c r="E1253" s="5"/>
      <c r="F1253" s="5"/>
      <c r="G1253" s="5"/>
      <c r="H1253" s="5" t="n">
        <f aca="false">(COUNTIF(J1253:EC1253,"=0")+COUNTIF(J1253:EC1253,"=1"))</f>
        <v>4</v>
      </c>
      <c r="I1253" s="10" t="n">
        <f aca="false">IFERROR(ROUND(10-AVERAGE(J1253:EC1253)*10,0),0)</f>
        <v>5</v>
      </c>
      <c r="J1253" s="11" t="n">
        <v>1</v>
      </c>
      <c r="K1253" s="11" t="n">
        <v>0</v>
      </c>
      <c r="L1253" s="5"/>
      <c r="M1253" s="5"/>
      <c r="N1253" s="5"/>
      <c r="O1253" s="11"/>
      <c r="P1253" s="11" t="n">
        <v>1</v>
      </c>
      <c r="Q1253" s="11"/>
      <c r="R1253" s="5"/>
      <c r="S1253" s="5"/>
      <c r="T1253" s="11"/>
      <c r="U1253" s="11"/>
      <c r="V1253" s="5"/>
      <c r="W1253" s="5" t="n">
        <v>0</v>
      </c>
      <c r="X1253" s="5"/>
      <c r="Y1253" s="5"/>
      <c r="Z1253" s="5"/>
      <c r="AA1253" s="5"/>
      <c r="AB1253" s="5"/>
    </row>
    <row r="1254" customFormat="false" ht="15.75" hidden="false" customHeight="false" outlineLevel="0" collapsed="false">
      <c r="A1254" s="5" t="s">
        <v>2800</v>
      </c>
      <c r="B1254" s="5" t="s">
        <v>2801</v>
      </c>
      <c r="C1254" s="5" t="s">
        <v>478</v>
      </c>
      <c r="D1254" s="5"/>
      <c r="E1254" s="5"/>
      <c r="F1254" s="5"/>
      <c r="G1254" s="5"/>
      <c r="H1254" s="5" t="n">
        <f aca="false">(COUNTIF(J1254:EC1254,"=0")+COUNTIF(J1254:EC1254,"=1"))</f>
        <v>3</v>
      </c>
      <c r="I1254" s="10" t="n">
        <f aca="false">IFERROR(ROUND(10-AVERAGE(J1254:EC1254)*10,0),0)</f>
        <v>7</v>
      </c>
      <c r="J1254" s="5" t="n">
        <v>1</v>
      </c>
      <c r="K1254" s="11" t="n">
        <v>0</v>
      </c>
      <c r="L1254" s="5"/>
      <c r="M1254" s="5"/>
      <c r="N1254" s="5"/>
      <c r="O1254" s="5"/>
      <c r="P1254" s="5" t="n">
        <v>0</v>
      </c>
      <c r="Q1254" s="5"/>
      <c r="R1254" s="5"/>
      <c r="S1254" s="11"/>
      <c r="T1254" s="11"/>
      <c r="U1254" s="5"/>
      <c r="V1254" s="5"/>
      <c r="W1254" s="5"/>
      <c r="X1254" s="5"/>
      <c r="Y1254" s="5"/>
      <c r="Z1254" s="5"/>
      <c r="AA1254" s="5"/>
      <c r="AB1254" s="5"/>
    </row>
    <row r="1255" customFormat="false" ht="15.75" hidden="false" customHeight="false" outlineLevel="0" collapsed="false">
      <c r="A1255" s="5" t="s">
        <v>2802</v>
      </c>
      <c r="B1255" s="5" t="s">
        <v>2802</v>
      </c>
      <c r="C1255" s="5" t="s">
        <v>478</v>
      </c>
      <c r="D1255" s="5"/>
      <c r="E1255" s="5"/>
      <c r="F1255" s="5"/>
      <c r="G1255" s="5"/>
      <c r="H1255" s="5" t="n">
        <f aca="false">(COUNTIF(J1255:EC1255,"=0")+COUNTIF(J1255:EC1255,"=1"))</f>
        <v>7</v>
      </c>
      <c r="I1255" s="13" t="n">
        <f aca="false">IFERROR(ROUND(10-AVERAGE(J1255:EC1255)*10,0),0)</f>
        <v>3</v>
      </c>
      <c r="J1255" s="11" t="n">
        <v>1</v>
      </c>
      <c r="K1255" s="11" t="n">
        <v>1</v>
      </c>
      <c r="L1255" s="5"/>
      <c r="M1255" s="5"/>
      <c r="N1255" s="5"/>
      <c r="O1255" s="5"/>
      <c r="P1255" s="11" t="n">
        <v>1</v>
      </c>
      <c r="Q1255" s="11" t="n">
        <v>0</v>
      </c>
      <c r="R1255" s="5"/>
      <c r="S1255" s="5"/>
      <c r="T1255" s="11" t="n">
        <v>1</v>
      </c>
      <c r="U1255" s="5"/>
      <c r="V1255" s="5"/>
      <c r="W1255" s="5"/>
      <c r="X1255" s="5"/>
      <c r="Y1255" s="5"/>
      <c r="Z1255" s="5"/>
      <c r="AA1255" s="5"/>
      <c r="AB1255" s="5"/>
      <c r="AF1255" s="5" t="n">
        <v>0</v>
      </c>
      <c r="AG1255" s="5" t="n">
        <v>1</v>
      </c>
    </row>
    <row r="1256" customFormat="false" ht="15.75" hidden="false" customHeight="false" outlineLevel="0" collapsed="false">
      <c r="A1256" s="5" t="s">
        <v>2803</v>
      </c>
      <c r="B1256" s="5" t="s">
        <v>2803</v>
      </c>
      <c r="C1256" s="5" t="s">
        <v>108</v>
      </c>
      <c r="D1256" s="5"/>
      <c r="E1256" s="5"/>
      <c r="F1256" s="5"/>
      <c r="G1256" s="5"/>
      <c r="H1256" s="5" t="n">
        <f aca="false">(COUNTIF(J1256:EC1256,"=0")+COUNTIF(J1256:EC1256,"=1"))</f>
        <v>8</v>
      </c>
      <c r="I1256" s="18" t="n">
        <f aca="false">IFERROR(ROUND(10-AVERAGE(J1256:EC1256)*10,0),0)</f>
        <v>0</v>
      </c>
      <c r="J1256" s="11" t="n">
        <v>1</v>
      </c>
      <c r="K1256" s="11" t="n">
        <v>1</v>
      </c>
      <c r="L1256" s="11" t="n">
        <v>1</v>
      </c>
      <c r="M1256" s="5"/>
      <c r="N1256" s="5"/>
      <c r="O1256" s="11" t="n">
        <v>1</v>
      </c>
      <c r="P1256" s="11" t="n">
        <v>1</v>
      </c>
      <c r="Q1256" s="11" t="n">
        <v>1</v>
      </c>
      <c r="R1256" s="5"/>
      <c r="S1256" s="5"/>
      <c r="T1256" s="11" t="n">
        <v>1</v>
      </c>
      <c r="U1256" s="5"/>
      <c r="V1256" s="5"/>
      <c r="W1256" s="5"/>
      <c r="X1256" s="5"/>
      <c r="Y1256" s="5"/>
      <c r="Z1256" s="5"/>
      <c r="AA1256" s="5"/>
      <c r="AB1256" s="5"/>
      <c r="AF1256" s="5" t="n">
        <v>1</v>
      </c>
    </row>
    <row r="1257" customFormat="false" ht="15.75" hidden="false" customHeight="false" outlineLevel="0" collapsed="false">
      <c r="A1257" s="5" t="s">
        <v>2803</v>
      </c>
      <c r="B1257" s="5" t="s">
        <v>2804</v>
      </c>
      <c r="C1257" s="5" t="s">
        <v>108</v>
      </c>
      <c r="D1257" s="5"/>
      <c r="E1257" s="5"/>
      <c r="F1257" s="5"/>
      <c r="G1257" s="5"/>
      <c r="H1257" s="5" t="n">
        <f aca="false">(COUNTIF(J1257:EC1257,"=0")+COUNTIF(J1257:EC1257,"=1"))</f>
        <v>8</v>
      </c>
      <c r="I1257" s="20" t="n">
        <f aca="false">IFERROR(ROUND(10-AVERAGE(J1257:EC1257)*10,0),0)</f>
        <v>1</v>
      </c>
      <c r="J1257" s="11" t="n">
        <v>1</v>
      </c>
      <c r="K1257" s="11" t="n">
        <v>0</v>
      </c>
      <c r="L1257" s="11" t="n">
        <v>1</v>
      </c>
      <c r="M1257" s="5"/>
      <c r="N1257" s="5"/>
      <c r="O1257" s="11" t="n">
        <v>1</v>
      </c>
      <c r="P1257" s="11" t="n">
        <v>1</v>
      </c>
      <c r="Q1257" s="11" t="n">
        <v>1</v>
      </c>
      <c r="R1257" s="5"/>
      <c r="S1257" s="5" t="n">
        <v>1</v>
      </c>
      <c r="T1257" s="11" t="n">
        <v>1</v>
      </c>
      <c r="U1257" s="5"/>
      <c r="V1257" s="5"/>
      <c r="W1257" s="5"/>
      <c r="X1257" s="5"/>
      <c r="Y1257" s="5"/>
      <c r="Z1257" s="5"/>
      <c r="AA1257" s="5"/>
      <c r="AB1257" s="5"/>
    </row>
    <row r="1258" customFormat="false" ht="15.75" hidden="false" customHeight="false" outlineLevel="0" collapsed="false">
      <c r="A1258" s="5" t="s">
        <v>2805</v>
      </c>
      <c r="B1258" s="5" t="s">
        <v>2805</v>
      </c>
      <c r="C1258" s="5" t="s">
        <v>2806</v>
      </c>
      <c r="D1258" s="5"/>
      <c r="E1258" s="5"/>
      <c r="F1258" s="5"/>
      <c r="G1258" s="5"/>
      <c r="H1258" s="5" t="n">
        <f aca="false">(COUNTIF(J1258:EC1258,"=0")+COUNTIF(J1258:EC1258,"=1"))</f>
        <v>3</v>
      </c>
      <c r="I1258" s="19" t="n">
        <f aca="false">IFERROR(ROUND(10-AVERAGE(J1258:EC1258)*10,0),0)</f>
        <v>7</v>
      </c>
      <c r="J1258" s="5" t="n">
        <v>0</v>
      </c>
      <c r="K1258" s="11" t="n">
        <v>0</v>
      </c>
      <c r="L1258" s="5"/>
      <c r="M1258" s="5"/>
      <c r="N1258" s="5"/>
      <c r="O1258" s="5"/>
      <c r="P1258" s="11" t="n">
        <v>1</v>
      </c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customFormat="false" ht="15.75" hidden="false" customHeight="false" outlineLevel="0" collapsed="false">
      <c r="A1259" s="5" t="s">
        <v>2805</v>
      </c>
      <c r="B1259" s="5" t="s">
        <v>2805</v>
      </c>
      <c r="C1259" s="5" t="s">
        <v>79</v>
      </c>
      <c r="D1259" s="5"/>
      <c r="E1259" s="5"/>
      <c r="F1259" s="5"/>
      <c r="G1259" s="5"/>
      <c r="H1259" s="5" t="n">
        <f aca="false">(COUNTIF(J1259:EC1259,"=0")+COUNTIF(J1259:EC1259,"=1"))</f>
        <v>5</v>
      </c>
      <c r="I1259" s="15" t="n">
        <f aca="false">IFERROR(ROUND(10-AVERAGE(J1259:EC1259)*10,0),0)</f>
        <v>6</v>
      </c>
      <c r="J1259" s="11" t="n">
        <v>0</v>
      </c>
      <c r="K1259" s="11" t="n">
        <v>0</v>
      </c>
      <c r="L1259" s="5"/>
      <c r="M1259" s="5"/>
      <c r="N1259" s="5"/>
      <c r="O1259" s="5"/>
      <c r="P1259" s="11" t="n">
        <v>1</v>
      </c>
      <c r="Q1259" s="5"/>
      <c r="R1259" s="5"/>
      <c r="S1259" s="5"/>
      <c r="T1259" s="11" t="n">
        <v>1</v>
      </c>
      <c r="U1259" s="5"/>
      <c r="V1259" s="5"/>
      <c r="W1259" s="5"/>
      <c r="X1259" s="5"/>
      <c r="Y1259" s="5"/>
      <c r="Z1259" s="11" t="n">
        <v>0</v>
      </c>
      <c r="AA1259" s="5"/>
      <c r="AB1259" s="5"/>
    </row>
    <row r="1260" customFormat="false" ht="15.75" hidden="false" customHeight="false" outlineLevel="0" collapsed="false">
      <c r="A1260" s="5" t="s">
        <v>2805</v>
      </c>
      <c r="B1260" s="5" t="s">
        <v>2805</v>
      </c>
      <c r="C1260" s="5" t="s">
        <v>2807</v>
      </c>
      <c r="D1260" s="5"/>
      <c r="E1260" s="5"/>
      <c r="F1260" s="5"/>
      <c r="G1260" s="9" t="s">
        <v>2808</v>
      </c>
      <c r="H1260" s="5" t="n">
        <f aca="false">(COUNTIF(J1260:EC1260,"=0")+COUNTIF(J1260:EC1260,"=1"))</f>
        <v>9</v>
      </c>
      <c r="I1260" s="12" t="n">
        <f aca="false">IFERROR(ROUND(10-AVERAGE(J1260:EC1260)*10,0),0)</f>
        <v>7</v>
      </c>
      <c r="J1260" s="11" t="n">
        <v>0</v>
      </c>
      <c r="K1260" s="11" t="n">
        <v>0</v>
      </c>
      <c r="L1260" s="11" t="n">
        <v>0</v>
      </c>
      <c r="M1260" s="5"/>
      <c r="N1260" s="5"/>
      <c r="O1260" s="11" t="n">
        <v>0</v>
      </c>
      <c r="P1260" s="11" t="n">
        <v>1</v>
      </c>
      <c r="Q1260" s="11" t="n">
        <v>0</v>
      </c>
      <c r="R1260" s="11" t="n">
        <v>1</v>
      </c>
      <c r="S1260" s="11" t="n">
        <v>0</v>
      </c>
      <c r="T1260" s="11" t="n">
        <v>1</v>
      </c>
      <c r="U1260" s="5"/>
      <c r="V1260" s="5"/>
      <c r="W1260" s="5"/>
      <c r="X1260" s="5"/>
      <c r="Y1260" s="5"/>
      <c r="Z1260" s="5"/>
      <c r="AA1260" s="5"/>
      <c r="AB1260" s="5"/>
    </row>
    <row r="1261" customFormat="false" ht="15.75" hidden="false" customHeight="false" outlineLevel="0" collapsed="false">
      <c r="A1261" s="5" t="s">
        <v>2805</v>
      </c>
      <c r="B1261" s="5" t="s">
        <v>2809</v>
      </c>
      <c r="C1261" s="5" t="s">
        <v>2810</v>
      </c>
      <c r="D1261" s="5"/>
      <c r="E1261" s="5"/>
      <c r="F1261" s="5"/>
      <c r="G1261" s="5"/>
      <c r="H1261" s="5" t="n">
        <f aca="false">(COUNTIF(J1261:EC1261,"=0")+COUNTIF(J1261:EC1261,"=1"))</f>
        <v>7</v>
      </c>
      <c r="I1261" s="19" t="n">
        <f aca="false">IFERROR(ROUND(10-AVERAGE(J1261:EC1261)*10,0),0)</f>
        <v>6</v>
      </c>
      <c r="J1261" s="11" t="n">
        <v>0</v>
      </c>
      <c r="K1261" s="11" t="n">
        <v>0</v>
      </c>
      <c r="L1261" s="5"/>
      <c r="M1261" s="5"/>
      <c r="N1261" s="5"/>
      <c r="O1261" s="5"/>
      <c r="P1261" s="11" t="n">
        <v>1</v>
      </c>
      <c r="Q1261" s="5"/>
      <c r="R1261" s="5"/>
      <c r="S1261" s="5"/>
      <c r="T1261" s="11" t="n">
        <v>1</v>
      </c>
      <c r="U1261" s="5"/>
      <c r="V1261" s="5"/>
      <c r="W1261" s="5"/>
      <c r="X1261" s="11" t="n">
        <v>1</v>
      </c>
      <c r="Y1261" s="5"/>
      <c r="Z1261" s="11" t="n">
        <v>0</v>
      </c>
      <c r="AA1261" s="5"/>
      <c r="AB1261" s="5"/>
      <c r="AF1261" s="5" t="n">
        <v>0</v>
      </c>
    </row>
    <row r="1262" customFormat="false" ht="15.75" hidden="false" customHeight="false" outlineLevel="0" collapsed="false">
      <c r="A1262" s="5" t="s">
        <v>2805</v>
      </c>
      <c r="B1262" s="5" t="s">
        <v>2809</v>
      </c>
      <c r="C1262" s="5" t="s">
        <v>2811</v>
      </c>
      <c r="D1262" s="5"/>
      <c r="E1262" s="5"/>
      <c r="F1262" s="5"/>
      <c r="G1262" s="9" t="s">
        <v>2812</v>
      </c>
      <c r="H1262" s="5" t="n">
        <f aca="false">(COUNTIF(J1262:EC1262,"=0")+COUNTIF(J1262:EC1262,"=1"))</f>
        <v>7</v>
      </c>
      <c r="I1262" s="16" t="n">
        <f aca="false">IFERROR(ROUND(10-AVERAGE(J1262:EC1262)*10,0),0)</f>
        <v>6</v>
      </c>
      <c r="J1262" s="11" t="n">
        <v>0</v>
      </c>
      <c r="K1262" s="11" t="n">
        <v>0</v>
      </c>
      <c r="L1262" s="5"/>
      <c r="M1262" s="5"/>
      <c r="N1262" s="5"/>
      <c r="O1262" s="5"/>
      <c r="P1262" s="11" t="n">
        <v>0</v>
      </c>
      <c r="Q1262" s="5"/>
      <c r="R1262" s="5"/>
      <c r="S1262" s="5"/>
      <c r="T1262" s="11" t="n">
        <v>1</v>
      </c>
      <c r="U1262" s="5"/>
      <c r="V1262" s="5"/>
      <c r="W1262" s="5"/>
      <c r="X1262" s="11" t="n">
        <v>1</v>
      </c>
      <c r="Y1262" s="5"/>
      <c r="Z1262" s="11" t="n">
        <v>0</v>
      </c>
      <c r="AA1262" s="5"/>
      <c r="AB1262" s="5"/>
      <c r="AF1262" s="5" t="n">
        <v>1</v>
      </c>
    </row>
    <row r="1263" customFormat="false" ht="15.75" hidden="false" customHeight="false" outlineLevel="0" collapsed="false">
      <c r="A1263" s="5" t="s">
        <v>2805</v>
      </c>
      <c r="B1263" s="5" t="s">
        <v>2809</v>
      </c>
      <c r="C1263" s="5" t="s">
        <v>2813</v>
      </c>
      <c r="D1263" s="5"/>
      <c r="E1263" s="5"/>
      <c r="F1263" s="5"/>
      <c r="G1263" s="9" t="s">
        <v>2814</v>
      </c>
      <c r="H1263" s="5" t="n">
        <f aca="false">(COUNTIF(J1263:EC1263,"=0")+COUNTIF(J1263:EC1263,"=1"))</f>
        <v>9</v>
      </c>
      <c r="I1263" s="12" t="n">
        <f aca="false">IFERROR(ROUND(10-AVERAGE(J1263:EC1263)*10,0),0)</f>
        <v>8</v>
      </c>
      <c r="J1263" s="11" t="n">
        <v>0</v>
      </c>
      <c r="K1263" s="11" t="n">
        <v>0</v>
      </c>
      <c r="L1263" s="11" t="n">
        <v>0</v>
      </c>
      <c r="M1263" s="5"/>
      <c r="N1263" s="5"/>
      <c r="O1263" s="11" t="n">
        <v>0</v>
      </c>
      <c r="P1263" s="11" t="n">
        <v>1</v>
      </c>
      <c r="Q1263" s="11" t="n">
        <v>0</v>
      </c>
      <c r="R1263" s="11" t="n">
        <v>1</v>
      </c>
      <c r="S1263" s="11" t="n">
        <v>0</v>
      </c>
      <c r="T1263" s="11" t="n">
        <v>0</v>
      </c>
      <c r="U1263" s="5"/>
      <c r="V1263" s="5"/>
      <c r="W1263" s="5"/>
      <c r="X1263" s="5"/>
      <c r="Y1263" s="5"/>
      <c r="Z1263" s="5"/>
      <c r="AA1263" s="5"/>
      <c r="AB1263" s="5"/>
    </row>
    <row r="1264" customFormat="false" ht="15.75" hidden="false" customHeight="false" outlineLevel="0" collapsed="false">
      <c r="A1264" s="5" t="s">
        <v>2805</v>
      </c>
      <c r="B1264" s="5" t="s">
        <v>2809</v>
      </c>
      <c r="C1264" s="5" t="s">
        <v>2815</v>
      </c>
      <c r="D1264" s="5"/>
      <c r="E1264" s="5"/>
      <c r="F1264" s="5"/>
      <c r="G1264" s="9" t="s">
        <v>2816</v>
      </c>
      <c r="H1264" s="5" t="n">
        <f aca="false">(COUNTIF(J1264:EC1264,"=0")+COUNTIF(J1264:EC1264,"=1"))</f>
        <v>4</v>
      </c>
      <c r="I1264" s="10" t="n">
        <f aca="false">IFERROR(ROUND(10-AVERAGE(J1264:EC1264)*10,0),0)</f>
        <v>10</v>
      </c>
      <c r="J1264" s="5" t="n">
        <v>0</v>
      </c>
      <c r="K1264" s="11" t="n">
        <v>0</v>
      </c>
      <c r="L1264" s="5"/>
      <c r="M1264" s="5"/>
      <c r="N1264" s="5"/>
      <c r="O1264" s="5"/>
      <c r="P1264" s="11" t="n">
        <v>0</v>
      </c>
      <c r="Q1264" s="5"/>
      <c r="R1264" s="5"/>
      <c r="S1264" s="5"/>
      <c r="T1264" s="5"/>
      <c r="U1264" s="5"/>
      <c r="V1264" s="5"/>
      <c r="W1264" s="5"/>
      <c r="X1264" s="5"/>
      <c r="Y1264" s="5"/>
      <c r="Z1264" s="11" t="n">
        <v>0</v>
      </c>
      <c r="AA1264" s="5"/>
      <c r="AB1264" s="5"/>
    </row>
    <row r="1265" customFormat="false" ht="15.75" hidden="false" customHeight="false" outlineLevel="0" collapsed="false">
      <c r="A1265" s="5" t="s">
        <v>2805</v>
      </c>
      <c r="B1265" s="5" t="s">
        <v>2817</v>
      </c>
      <c r="C1265" s="5" t="s">
        <v>2818</v>
      </c>
      <c r="D1265" s="5"/>
      <c r="E1265" s="5"/>
      <c r="F1265" s="5"/>
      <c r="G1265" s="9" t="s">
        <v>2819</v>
      </c>
      <c r="H1265" s="5" t="n">
        <f aca="false">(COUNTIF(J1265:EC1265,"=0")+COUNTIF(J1265:EC1265,"=1"))</f>
        <v>9</v>
      </c>
      <c r="I1265" s="17" t="n">
        <f aca="false">IFERROR(ROUND(10-AVERAGE(J1265:EC1265)*10,0),0)</f>
        <v>9</v>
      </c>
      <c r="J1265" s="11" t="n">
        <v>0</v>
      </c>
      <c r="K1265" s="11" t="n">
        <v>0</v>
      </c>
      <c r="L1265" s="11" t="n">
        <v>0</v>
      </c>
      <c r="M1265" s="5"/>
      <c r="N1265" s="5"/>
      <c r="O1265" s="11" t="n">
        <v>0</v>
      </c>
      <c r="P1265" s="11" t="n">
        <v>0</v>
      </c>
      <c r="Q1265" s="11" t="n">
        <v>0</v>
      </c>
      <c r="R1265" s="11" t="n">
        <v>1</v>
      </c>
      <c r="S1265" s="11" t="n">
        <v>0</v>
      </c>
      <c r="T1265" s="11" t="n">
        <v>0</v>
      </c>
      <c r="U1265" s="5"/>
      <c r="V1265" s="5"/>
      <c r="W1265" s="5"/>
      <c r="X1265" s="5"/>
      <c r="Y1265" s="5"/>
      <c r="Z1265" s="5"/>
      <c r="AA1265" s="5"/>
      <c r="AB1265" s="5"/>
    </row>
    <row r="1266" customFormat="false" ht="15.75" hidden="false" customHeight="false" outlineLevel="0" collapsed="false">
      <c r="A1266" s="5" t="s">
        <v>2805</v>
      </c>
      <c r="B1266" s="5" t="s">
        <v>2820</v>
      </c>
      <c r="C1266" s="5" t="s">
        <v>2821</v>
      </c>
      <c r="D1266" s="5"/>
      <c r="E1266" s="5"/>
      <c r="F1266" s="5"/>
      <c r="G1266" s="9" t="s">
        <v>2822</v>
      </c>
      <c r="H1266" s="5" t="n">
        <f aca="false">(COUNTIF(J1266:EC1266,"=0")+COUNTIF(J1266:EC1266,"=1"))</f>
        <v>6</v>
      </c>
      <c r="I1266" s="12" t="n">
        <f aca="false">IFERROR(ROUND(10-AVERAGE(J1266:EC1266)*10,0),0)</f>
        <v>8</v>
      </c>
      <c r="J1266" s="11" t="n">
        <v>0</v>
      </c>
      <c r="K1266" s="11" t="n">
        <v>0</v>
      </c>
      <c r="L1266" s="5"/>
      <c r="M1266" s="5"/>
      <c r="N1266" s="5"/>
      <c r="O1266" s="5"/>
      <c r="P1266" s="11" t="n">
        <v>0</v>
      </c>
      <c r="Q1266" s="5"/>
      <c r="R1266" s="5"/>
      <c r="S1266" s="5"/>
      <c r="T1266" s="11" t="n">
        <v>0</v>
      </c>
      <c r="U1266" s="5"/>
      <c r="V1266" s="5"/>
      <c r="W1266" s="5"/>
      <c r="X1266" s="11" t="n">
        <v>1</v>
      </c>
      <c r="Y1266" s="5"/>
      <c r="Z1266" s="11" t="n">
        <v>0</v>
      </c>
      <c r="AA1266" s="5"/>
      <c r="AB1266" s="5"/>
    </row>
    <row r="1267" customFormat="false" ht="15.75" hidden="false" customHeight="false" outlineLevel="0" collapsed="false">
      <c r="A1267" s="5" t="s">
        <v>2805</v>
      </c>
      <c r="B1267" s="5" t="s">
        <v>2820</v>
      </c>
      <c r="C1267" s="5" t="s">
        <v>2823</v>
      </c>
      <c r="D1267" s="5"/>
      <c r="E1267" s="5"/>
      <c r="F1267" s="5"/>
      <c r="G1267" s="9" t="s">
        <v>2824</v>
      </c>
      <c r="H1267" s="5" t="n">
        <f aca="false">(COUNTIF(J1267:EC1267,"=0")+COUNTIF(J1267:EC1267,"=1"))</f>
        <v>6</v>
      </c>
      <c r="I1267" s="12" t="n">
        <f aca="false">IFERROR(ROUND(10-AVERAGE(J1267:EC1267)*10,0),0)</f>
        <v>8</v>
      </c>
      <c r="J1267" s="11" t="n">
        <v>0</v>
      </c>
      <c r="K1267" s="11" t="n">
        <v>0</v>
      </c>
      <c r="L1267" s="5"/>
      <c r="M1267" s="5"/>
      <c r="N1267" s="5"/>
      <c r="O1267" s="5"/>
      <c r="P1267" s="11" t="n">
        <v>0</v>
      </c>
      <c r="Q1267" s="5"/>
      <c r="R1267" s="5"/>
      <c r="S1267" s="5"/>
      <c r="T1267" s="11" t="n">
        <v>0</v>
      </c>
      <c r="U1267" s="5"/>
      <c r="V1267" s="5"/>
      <c r="W1267" s="5"/>
      <c r="X1267" s="11" t="n">
        <v>1</v>
      </c>
      <c r="Y1267" s="5"/>
      <c r="Z1267" s="11" t="n">
        <v>0</v>
      </c>
      <c r="AA1267" s="5"/>
      <c r="AB1267" s="5"/>
    </row>
    <row r="1268" customFormat="false" ht="15.75" hidden="false" customHeight="false" outlineLevel="0" collapsed="false">
      <c r="A1268" s="5" t="s">
        <v>2805</v>
      </c>
      <c r="B1268" s="5" t="s">
        <v>2825</v>
      </c>
      <c r="C1268" s="5" t="s">
        <v>2826</v>
      </c>
      <c r="D1268" s="5"/>
      <c r="E1268" s="5"/>
      <c r="F1268" s="5"/>
      <c r="G1268" s="9" t="s">
        <v>2827</v>
      </c>
      <c r="H1268" s="5" t="n">
        <f aca="false">(COUNTIF(J1268:EC1268,"=0")+COUNTIF(J1268:EC1268,"=1"))</f>
        <v>4</v>
      </c>
      <c r="I1268" s="10" t="n">
        <f aca="false">IFERROR(ROUND(10-AVERAGE(J1268:EC1268)*10,0),0)</f>
        <v>10</v>
      </c>
      <c r="J1268" s="5" t="n">
        <v>0</v>
      </c>
      <c r="K1268" s="11" t="n">
        <v>0</v>
      </c>
      <c r="L1268" s="5"/>
      <c r="M1268" s="5"/>
      <c r="N1268" s="5"/>
      <c r="O1268" s="5"/>
      <c r="P1268" s="11" t="n">
        <v>0</v>
      </c>
      <c r="Q1268" s="5"/>
      <c r="R1268" s="5"/>
      <c r="S1268" s="5"/>
      <c r="T1268" s="5"/>
      <c r="U1268" s="5"/>
      <c r="V1268" s="5"/>
      <c r="W1268" s="5"/>
      <c r="X1268" s="5"/>
      <c r="Y1268" s="5"/>
      <c r="Z1268" s="11" t="n">
        <v>0</v>
      </c>
      <c r="AA1268" s="5"/>
      <c r="AB1268" s="5"/>
    </row>
    <row r="1269" customFormat="false" ht="15.75" hidden="false" customHeight="false" outlineLevel="0" collapsed="false">
      <c r="A1269" s="5" t="s">
        <v>2805</v>
      </c>
      <c r="B1269" s="5" t="s">
        <v>2825</v>
      </c>
      <c r="C1269" s="5" t="s">
        <v>2828</v>
      </c>
      <c r="D1269" s="5"/>
      <c r="E1269" s="5"/>
      <c r="F1269" s="5"/>
      <c r="G1269" s="9" t="s">
        <v>2829</v>
      </c>
      <c r="H1269" s="5" t="n">
        <f aca="false">(COUNTIF(J1269:EC1269,"=0")+COUNTIF(J1269:EC1269,"=1"))</f>
        <v>5</v>
      </c>
      <c r="I1269" s="12" t="n">
        <f aca="false">IFERROR(ROUND(10-AVERAGE(J1269:EC1269)*10,0),0)</f>
        <v>8</v>
      </c>
      <c r="J1269" s="11" t="n">
        <v>0</v>
      </c>
      <c r="K1269" s="11" t="n">
        <v>0</v>
      </c>
      <c r="L1269" s="5"/>
      <c r="M1269" s="5"/>
      <c r="N1269" s="5"/>
      <c r="O1269" s="5"/>
      <c r="P1269" s="11" t="n">
        <v>1</v>
      </c>
      <c r="Q1269" s="5"/>
      <c r="R1269" s="5"/>
      <c r="S1269" s="5"/>
      <c r="T1269" s="11" t="n">
        <v>0</v>
      </c>
      <c r="U1269" s="5"/>
      <c r="V1269" s="5"/>
      <c r="W1269" s="5"/>
      <c r="X1269" s="5"/>
      <c r="Y1269" s="5"/>
      <c r="Z1269" s="11" t="n">
        <v>0</v>
      </c>
      <c r="AA1269" s="5"/>
      <c r="AB1269" s="5"/>
    </row>
    <row r="1270" customFormat="false" ht="15.75" hidden="false" customHeight="false" outlineLevel="0" collapsed="false">
      <c r="A1270" s="5" t="s">
        <v>2830</v>
      </c>
      <c r="B1270" s="5" t="s">
        <v>2831</v>
      </c>
      <c r="C1270" s="5" t="s">
        <v>2832</v>
      </c>
      <c r="D1270" s="5"/>
      <c r="E1270" s="5"/>
      <c r="F1270" s="5"/>
      <c r="G1270" s="9" t="s">
        <v>2833</v>
      </c>
      <c r="H1270" s="5" t="n">
        <f aca="false">(COUNTIF(J1270:EC1270,"=0")+COUNTIF(J1270:EC1270,"=1"))</f>
        <v>7</v>
      </c>
      <c r="I1270" s="13" t="n">
        <f aca="false">IFERROR(ROUND(10-AVERAGE(J1270:EC1270)*10,0),0)</f>
        <v>1</v>
      </c>
      <c r="J1270" s="11" t="n">
        <v>1</v>
      </c>
      <c r="K1270" s="11" t="n">
        <v>1</v>
      </c>
      <c r="L1270" s="5"/>
      <c r="M1270" s="5"/>
      <c r="N1270" s="5"/>
      <c r="O1270" s="5"/>
      <c r="P1270" s="11" t="n">
        <v>1</v>
      </c>
      <c r="Q1270" s="5"/>
      <c r="R1270" s="5"/>
      <c r="S1270" s="11" t="n">
        <v>0</v>
      </c>
      <c r="T1270" s="11" t="n">
        <v>1</v>
      </c>
      <c r="U1270" s="5"/>
      <c r="V1270" s="5"/>
      <c r="W1270" s="5"/>
      <c r="X1270" s="5" t="n">
        <v>1</v>
      </c>
      <c r="Y1270" s="5"/>
      <c r="Z1270" s="11" t="n">
        <v>1</v>
      </c>
      <c r="AA1270" s="5"/>
      <c r="AB1270" s="5"/>
    </row>
    <row r="1271" customFormat="false" ht="15.75" hidden="false" customHeight="false" outlineLevel="0" collapsed="false">
      <c r="A1271" s="5" t="s">
        <v>2830</v>
      </c>
      <c r="B1271" s="5" t="s">
        <v>2831</v>
      </c>
      <c r="C1271" s="5" t="s">
        <v>2834</v>
      </c>
      <c r="D1271" s="5"/>
      <c r="E1271" s="5"/>
      <c r="F1271" s="5"/>
      <c r="G1271" s="9" t="s">
        <v>2835</v>
      </c>
      <c r="H1271" s="5" t="n">
        <f aca="false">(COUNTIF(J1271:EC1271,"=0")+COUNTIF(J1271:EC1271,"=1"))</f>
        <v>7</v>
      </c>
      <c r="I1271" s="10" t="n">
        <f aca="false">IFERROR(ROUND(10-AVERAGE(J1271:EC1271)*10,0),0)</f>
        <v>9</v>
      </c>
      <c r="J1271" s="11" t="n">
        <v>0</v>
      </c>
      <c r="K1271" s="11" t="n">
        <v>0</v>
      </c>
      <c r="L1271" s="5"/>
      <c r="M1271" s="5"/>
      <c r="N1271" s="5"/>
      <c r="O1271" s="5"/>
      <c r="P1271" s="11" t="n">
        <v>0</v>
      </c>
      <c r="Q1271" s="5"/>
      <c r="R1271" s="5"/>
      <c r="S1271" s="5" t="n">
        <v>0</v>
      </c>
      <c r="T1271" s="11" t="n">
        <v>0</v>
      </c>
      <c r="U1271" s="5"/>
      <c r="V1271" s="5"/>
      <c r="W1271" s="5"/>
      <c r="X1271" s="5" t="n">
        <v>1</v>
      </c>
      <c r="Y1271" s="5"/>
      <c r="Z1271" s="11" t="n">
        <v>0</v>
      </c>
      <c r="AA1271" s="5"/>
      <c r="AB1271" s="5"/>
    </row>
    <row r="1272" customFormat="false" ht="15.75" hidden="false" customHeight="false" outlineLevel="0" collapsed="false">
      <c r="A1272" s="5" t="s">
        <v>2830</v>
      </c>
      <c r="B1272" s="5" t="s">
        <v>2836</v>
      </c>
      <c r="C1272" s="5" t="s">
        <v>2837</v>
      </c>
      <c r="D1272" s="5"/>
      <c r="E1272" s="5"/>
      <c r="F1272" s="5"/>
      <c r="G1272" s="9" t="s">
        <v>2838</v>
      </c>
      <c r="H1272" s="5" t="n">
        <f aca="false">(COUNTIF(J1272:EC1272,"=0")+COUNTIF(J1272:EC1272,"=1"))</f>
        <v>6</v>
      </c>
      <c r="I1272" s="19" t="n">
        <f aca="false">IFERROR(ROUND(10-AVERAGE(J1272:EC1272)*10,0),0)</f>
        <v>5</v>
      </c>
      <c r="J1272" s="11" t="n">
        <v>1</v>
      </c>
      <c r="K1272" s="11" t="n">
        <v>0</v>
      </c>
      <c r="L1272" s="5"/>
      <c r="M1272" s="5"/>
      <c r="N1272" s="5"/>
      <c r="O1272" s="5"/>
      <c r="P1272" s="11" t="n">
        <v>1</v>
      </c>
      <c r="Q1272" s="5"/>
      <c r="R1272" s="5"/>
      <c r="S1272" s="5"/>
      <c r="T1272" s="11" t="n">
        <v>0</v>
      </c>
      <c r="U1272" s="5"/>
      <c r="V1272" s="5"/>
      <c r="W1272" s="5"/>
      <c r="X1272" s="11" t="n">
        <v>1</v>
      </c>
      <c r="Y1272" s="5"/>
      <c r="Z1272" s="11" t="n">
        <v>0</v>
      </c>
      <c r="AA1272" s="5"/>
      <c r="AB1272" s="5"/>
    </row>
    <row r="1273" customFormat="false" ht="15.75" hidden="false" customHeight="false" outlineLevel="0" collapsed="false">
      <c r="A1273" s="5" t="s">
        <v>2839</v>
      </c>
      <c r="B1273" s="5" t="s">
        <v>2839</v>
      </c>
      <c r="C1273" s="5" t="s">
        <v>2840</v>
      </c>
      <c r="D1273" s="5"/>
      <c r="E1273" s="5"/>
      <c r="F1273" s="5"/>
      <c r="G1273" s="9" t="s">
        <v>2841</v>
      </c>
      <c r="H1273" s="5" t="n">
        <f aca="false">(COUNTIF(J1273:EC1273,"=0")+COUNTIF(J1273:EC1273,"=1"))</f>
        <v>4</v>
      </c>
      <c r="I1273" s="12" t="n">
        <f aca="false">IFERROR(ROUND(10-AVERAGE(J1273:EC1273)*10,0),0)</f>
        <v>8</v>
      </c>
      <c r="J1273" s="11" t="n">
        <v>0</v>
      </c>
      <c r="K1273" s="11" t="n">
        <v>0</v>
      </c>
      <c r="L1273" s="5"/>
      <c r="M1273" s="5"/>
      <c r="N1273" s="5"/>
      <c r="O1273" s="5"/>
      <c r="P1273" s="11" t="n">
        <v>1</v>
      </c>
      <c r="Q1273" s="5"/>
      <c r="R1273" s="5"/>
      <c r="S1273" s="5"/>
      <c r="T1273" s="5"/>
      <c r="U1273" s="5"/>
      <c r="V1273" s="5"/>
      <c r="W1273" s="5"/>
      <c r="X1273" s="5"/>
      <c r="Y1273" s="5"/>
      <c r="Z1273" s="11" t="n">
        <v>0</v>
      </c>
      <c r="AA1273" s="5"/>
      <c r="AB1273" s="5"/>
    </row>
    <row r="1274" customFormat="false" ht="15.75" hidden="false" customHeight="false" outlineLevel="0" collapsed="false">
      <c r="A1274" s="5" t="s">
        <v>2839</v>
      </c>
      <c r="B1274" s="5" t="s">
        <v>2839</v>
      </c>
      <c r="C1274" s="5" t="s">
        <v>2842</v>
      </c>
      <c r="D1274" s="5"/>
      <c r="E1274" s="5"/>
      <c r="F1274" s="5"/>
      <c r="G1274" s="9" t="s">
        <v>2843</v>
      </c>
      <c r="H1274" s="5" t="n">
        <f aca="false">(COUNTIF(J1274:EC1274,"=0")+COUNTIF(J1274:EC1274,"=1"))</f>
        <v>5</v>
      </c>
      <c r="I1274" s="12" t="n">
        <f aca="false">IFERROR(ROUND(10-AVERAGE(J1274:EC1274)*10,0),0)</f>
        <v>8</v>
      </c>
      <c r="J1274" s="11" t="n">
        <v>0</v>
      </c>
      <c r="K1274" s="11" t="n">
        <v>0</v>
      </c>
      <c r="L1274" s="5"/>
      <c r="M1274" s="5"/>
      <c r="N1274" s="5"/>
      <c r="O1274" s="5"/>
      <c r="P1274" s="11" t="n">
        <v>1</v>
      </c>
      <c r="Q1274" s="5"/>
      <c r="R1274" s="5"/>
      <c r="S1274" s="5" t="n">
        <v>0</v>
      </c>
      <c r="T1274" s="5"/>
      <c r="U1274" s="5"/>
      <c r="V1274" s="5"/>
      <c r="W1274" s="5"/>
      <c r="X1274" s="5"/>
      <c r="Y1274" s="5"/>
      <c r="Z1274" s="11" t="n">
        <v>0</v>
      </c>
      <c r="AA1274" s="5"/>
      <c r="AB1274" s="5"/>
    </row>
    <row r="1275" customFormat="false" ht="15.75" hidden="false" customHeight="false" outlineLevel="0" collapsed="false">
      <c r="A1275" s="5" t="s">
        <v>2844</v>
      </c>
      <c r="B1275" s="5" t="s">
        <v>2844</v>
      </c>
      <c r="C1275" s="5" t="s">
        <v>2845</v>
      </c>
      <c r="D1275" s="5"/>
      <c r="E1275" s="5"/>
      <c r="F1275" s="5"/>
      <c r="G1275" s="9" t="s">
        <v>2846</v>
      </c>
      <c r="H1275" s="5" t="n">
        <f aca="false">(COUNTIF(J1275:EC1275,"=0")+COUNTIF(J1275:EC1275,"=1"))</f>
        <v>9</v>
      </c>
      <c r="I1275" s="23" t="n">
        <f aca="false">IFERROR(ROUND(10-AVERAGE(J1275:EC1275)*10,0),0)</f>
        <v>4</v>
      </c>
      <c r="J1275" s="11" t="n">
        <v>1</v>
      </c>
      <c r="K1275" s="11" t="n">
        <v>1</v>
      </c>
      <c r="L1275" s="5"/>
      <c r="M1275" s="5"/>
      <c r="N1275" s="5"/>
      <c r="O1275" s="11" t="n">
        <v>1</v>
      </c>
      <c r="P1275" s="11" t="n">
        <v>1</v>
      </c>
      <c r="Q1275" s="11" t="n">
        <v>0</v>
      </c>
      <c r="R1275" s="5"/>
      <c r="S1275" s="11" t="n">
        <v>0</v>
      </c>
      <c r="T1275" s="11" t="n">
        <v>0</v>
      </c>
      <c r="U1275" s="5"/>
      <c r="V1275" s="5"/>
      <c r="W1275" s="5"/>
      <c r="X1275" s="5"/>
      <c r="Y1275" s="5"/>
      <c r="Z1275" s="5"/>
      <c r="AA1275" s="11" t="n">
        <v>1</v>
      </c>
      <c r="AB1275" s="5"/>
      <c r="AF1275" s="5" t="n">
        <v>0</v>
      </c>
    </row>
    <row r="1276" customFormat="false" ht="15.75" hidden="false" customHeight="false" outlineLevel="0" collapsed="false">
      <c r="A1276" s="5" t="s">
        <v>2847</v>
      </c>
      <c r="B1276" s="5" t="s">
        <v>2848</v>
      </c>
      <c r="C1276" s="5" t="s">
        <v>2849</v>
      </c>
      <c r="D1276" s="5"/>
      <c r="E1276" s="5"/>
      <c r="F1276" s="5"/>
      <c r="G1276" s="9" t="s">
        <v>2850</v>
      </c>
      <c r="H1276" s="5" t="n">
        <f aca="false">(COUNTIF(J1276:EC1276,"=0")+COUNTIF(J1276:EC1276,"=1"))</f>
        <v>8</v>
      </c>
      <c r="I1276" s="12" t="n">
        <f aca="false">IFERROR(ROUND(10-AVERAGE(J1276:EC1276)*10,0),0)</f>
        <v>8</v>
      </c>
      <c r="J1276" s="11" t="n">
        <v>0</v>
      </c>
      <c r="K1276" s="11" t="n">
        <v>0</v>
      </c>
      <c r="L1276" s="5"/>
      <c r="M1276" s="5"/>
      <c r="N1276" s="5"/>
      <c r="O1276" s="5"/>
      <c r="P1276" s="11" t="n">
        <v>1</v>
      </c>
      <c r="Q1276" s="11" t="n">
        <v>0</v>
      </c>
      <c r="R1276" s="5"/>
      <c r="S1276" s="5" t="n">
        <v>1</v>
      </c>
      <c r="T1276" s="11" t="n">
        <v>0</v>
      </c>
      <c r="U1276" s="5"/>
      <c r="V1276" s="5"/>
      <c r="W1276" s="5"/>
      <c r="X1276" s="5"/>
      <c r="Y1276" s="5"/>
      <c r="Z1276" s="11" t="n">
        <v>0</v>
      </c>
      <c r="AA1276" s="5"/>
      <c r="AB1276" s="5"/>
      <c r="AD1276" s="5" t="n">
        <v>0</v>
      </c>
    </row>
    <row r="1277" customFormat="false" ht="15.75" hidden="false" customHeight="false" outlineLevel="0" collapsed="false">
      <c r="A1277" s="5" t="s">
        <v>2847</v>
      </c>
      <c r="B1277" s="5" t="s">
        <v>2848</v>
      </c>
      <c r="C1277" s="5" t="s">
        <v>2851</v>
      </c>
      <c r="D1277" s="5"/>
      <c r="E1277" s="5"/>
      <c r="F1277" s="5"/>
      <c r="G1277" s="5"/>
      <c r="H1277" s="5" t="n">
        <f aca="false">(COUNTIF(J1277:EC1277,"=0")+COUNTIF(J1277:EC1277,"=1"))</f>
        <v>5</v>
      </c>
      <c r="I1277" s="12" t="n">
        <f aca="false">IFERROR(ROUND(10-AVERAGE(J1277:EC1277)*10,0),0)</f>
        <v>6</v>
      </c>
      <c r="J1277" s="11" t="n">
        <v>0</v>
      </c>
      <c r="K1277" s="11" t="n">
        <v>0</v>
      </c>
      <c r="L1277" s="5"/>
      <c r="M1277" s="5"/>
      <c r="N1277" s="5"/>
      <c r="O1277" s="5"/>
      <c r="P1277" s="11" t="n">
        <v>1</v>
      </c>
      <c r="Q1277" s="5" t="n">
        <v>0</v>
      </c>
      <c r="R1277" s="5"/>
      <c r="S1277" s="5" t="n">
        <v>1</v>
      </c>
      <c r="T1277" s="11"/>
      <c r="U1277" s="5"/>
      <c r="V1277" s="5"/>
      <c r="W1277" s="5"/>
      <c r="X1277" s="5"/>
      <c r="Y1277" s="5"/>
      <c r="Z1277" s="11"/>
      <c r="AA1277" s="5"/>
      <c r="AB1277" s="5"/>
    </row>
    <row r="1278" customFormat="false" ht="15.75" hidden="false" customHeight="false" outlineLevel="0" collapsed="false">
      <c r="A1278" s="5" t="s">
        <v>2847</v>
      </c>
      <c r="B1278" s="5" t="s">
        <v>2852</v>
      </c>
      <c r="C1278" s="5" t="s">
        <v>79</v>
      </c>
      <c r="D1278" s="5"/>
      <c r="E1278" s="5"/>
      <c r="G1278" s="5"/>
      <c r="H1278" s="5" t="n">
        <f aca="false">(COUNTIF(J1278:EC1278,"=0")+COUNTIF(J1278:EC1278,"=1"))</f>
        <v>7</v>
      </c>
      <c r="I1278" s="16" t="n">
        <f aca="false">IFERROR(ROUND(10-AVERAGE(J1278:EC1278)*10,0),0)</f>
        <v>7</v>
      </c>
      <c r="J1278" s="11" t="n">
        <v>0</v>
      </c>
      <c r="K1278" s="11" t="n">
        <v>0</v>
      </c>
      <c r="L1278" s="5"/>
      <c r="M1278" s="5"/>
      <c r="N1278" s="5"/>
      <c r="O1278" s="5"/>
      <c r="P1278" s="11" t="n">
        <v>1</v>
      </c>
      <c r="Q1278" s="11" t="n">
        <v>0</v>
      </c>
      <c r="R1278" s="5"/>
      <c r="S1278" s="11" t="n">
        <v>1</v>
      </c>
      <c r="T1278" s="11" t="n">
        <v>0</v>
      </c>
      <c r="U1278" s="5"/>
      <c r="V1278" s="5"/>
      <c r="W1278" s="5"/>
      <c r="X1278" s="5"/>
      <c r="Y1278" s="5"/>
      <c r="Z1278" s="5"/>
      <c r="AA1278" s="11" t="n">
        <v>0</v>
      </c>
      <c r="AB1278" s="5"/>
    </row>
    <row r="1279" customFormat="false" ht="15.75" hidden="false" customHeight="false" outlineLevel="0" collapsed="false">
      <c r="A1279" s="5" t="s">
        <v>2853</v>
      </c>
      <c r="B1279" s="5" t="s">
        <v>2854</v>
      </c>
      <c r="C1279" s="5" t="s">
        <v>2855</v>
      </c>
      <c r="D1279" s="5"/>
      <c r="E1279" s="5"/>
      <c r="F1279" s="5"/>
      <c r="G1279" s="5"/>
      <c r="H1279" s="5" t="n">
        <f aca="false">(COUNTIF(J1279:EC1279,"=0")+COUNTIF(J1279:EC1279,"=1"))</f>
        <v>8</v>
      </c>
      <c r="I1279" s="17" t="n">
        <f aca="false">IFERROR(ROUND(10-AVERAGE(J1279:EC1279)*10,0),0)</f>
        <v>9</v>
      </c>
      <c r="J1279" s="11" t="n">
        <v>0</v>
      </c>
      <c r="K1279" s="11" t="n">
        <v>0</v>
      </c>
      <c r="L1279" s="11" t="n">
        <v>0</v>
      </c>
      <c r="M1279" s="5"/>
      <c r="N1279" s="5"/>
      <c r="O1279" s="11" t="n">
        <v>1</v>
      </c>
      <c r="P1279" s="11" t="n">
        <v>0</v>
      </c>
      <c r="Q1279" s="11" t="n">
        <v>0</v>
      </c>
      <c r="R1279" s="5"/>
      <c r="S1279" s="11" t="n">
        <v>0</v>
      </c>
      <c r="T1279" s="11" t="n">
        <v>0</v>
      </c>
      <c r="U1279" s="5"/>
      <c r="V1279" s="5"/>
      <c r="W1279" s="5"/>
      <c r="X1279" s="5"/>
      <c r="Y1279" s="5"/>
      <c r="Z1279" s="5"/>
      <c r="AA1279" s="5"/>
      <c r="AB1279" s="5"/>
    </row>
    <row r="1280" customFormat="false" ht="15.75" hidden="false" customHeight="false" outlineLevel="0" collapsed="false">
      <c r="A1280" s="5" t="s">
        <v>2853</v>
      </c>
      <c r="B1280" s="5" t="s">
        <v>2856</v>
      </c>
      <c r="C1280" s="31" t="s">
        <v>2857</v>
      </c>
      <c r="D1280" s="5"/>
      <c r="E1280" s="5"/>
      <c r="F1280" s="5"/>
      <c r="G1280" s="14" t="s">
        <v>2858</v>
      </c>
      <c r="H1280" s="5" t="n">
        <f aca="false">(COUNTIF(J1280:EC1280,"=0")+COUNTIF(J1280:EC1280,"=1"))</f>
        <v>8</v>
      </c>
      <c r="I1280" s="17" t="n">
        <f aca="false">IFERROR(ROUND(10-AVERAGE(J1280:EC1280)*10,0),0)</f>
        <v>9</v>
      </c>
      <c r="J1280" s="11" t="n">
        <v>0</v>
      </c>
      <c r="K1280" s="11" t="n">
        <v>0</v>
      </c>
      <c r="L1280" s="11" t="n">
        <v>0</v>
      </c>
      <c r="M1280" s="5"/>
      <c r="N1280" s="5"/>
      <c r="O1280" s="11" t="n">
        <v>1</v>
      </c>
      <c r="P1280" s="11" t="n">
        <v>0</v>
      </c>
      <c r="Q1280" s="11" t="n">
        <v>0</v>
      </c>
      <c r="R1280" s="5"/>
      <c r="S1280" s="11" t="n">
        <v>0</v>
      </c>
      <c r="T1280" s="11" t="n">
        <v>0</v>
      </c>
      <c r="U1280" s="5"/>
      <c r="V1280" s="5"/>
      <c r="W1280" s="5"/>
      <c r="X1280" s="5"/>
      <c r="Y1280" s="5"/>
      <c r="Z1280" s="5"/>
      <c r="AA1280" s="5"/>
      <c r="AB1280" s="5"/>
    </row>
    <row r="1281" customFormat="false" ht="15.75" hidden="false" customHeight="false" outlineLevel="0" collapsed="false">
      <c r="A1281" s="5" t="s">
        <v>2859</v>
      </c>
      <c r="B1281" s="5" t="s">
        <v>2860</v>
      </c>
      <c r="C1281" s="5" t="s">
        <v>2861</v>
      </c>
      <c r="D1281" s="5"/>
      <c r="E1281" s="5"/>
      <c r="F1281" s="5"/>
      <c r="G1281" s="9" t="s">
        <v>2862</v>
      </c>
      <c r="H1281" s="5" t="n">
        <f aca="false">(COUNTIF(J1281:EC1281,"=0")+COUNTIF(J1281:EC1281,"=1"))</f>
        <v>2</v>
      </c>
      <c r="I1281" s="20" t="n">
        <f aca="false">IFERROR(ROUND(10-AVERAGE(J1281:EC1281)*10,0),0)</f>
        <v>0</v>
      </c>
      <c r="J1281" s="11"/>
      <c r="K1281" s="11"/>
      <c r="L1281" s="11" t="n">
        <v>1</v>
      </c>
      <c r="M1281" s="5"/>
      <c r="N1281" s="5"/>
      <c r="O1281" s="11"/>
      <c r="P1281" s="11" t="n">
        <v>1</v>
      </c>
      <c r="Q1281" s="11"/>
      <c r="R1281" s="11"/>
      <c r="S1281" s="11"/>
      <c r="T1281" s="11"/>
      <c r="U1281" s="5"/>
      <c r="V1281" s="11"/>
      <c r="W1281" s="5"/>
      <c r="X1281" s="5"/>
      <c r="Y1281" s="5"/>
      <c r="Z1281" s="5"/>
      <c r="AA1281" s="11"/>
      <c r="AB1281" s="5"/>
    </row>
    <row r="1282" customFormat="false" ht="15.75" hidden="false" customHeight="false" outlineLevel="0" collapsed="false">
      <c r="A1282" s="5" t="s">
        <v>2859</v>
      </c>
      <c r="B1282" s="5" t="s">
        <v>2860</v>
      </c>
      <c r="C1282" s="5" t="s">
        <v>2863</v>
      </c>
      <c r="D1282" s="5"/>
      <c r="E1282" s="5"/>
      <c r="F1282" s="5"/>
      <c r="G1282" s="9" t="s">
        <v>2864</v>
      </c>
      <c r="H1282" s="5" t="n">
        <f aca="false">(COUNTIF(J1282:EC1282,"=0")+COUNTIF(J1282:EC1282,"=1"))</f>
        <v>2</v>
      </c>
      <c r="I1282" s="20" t="n">
        <f aca="false">IFERROR(ROUND(10-AVERAGE(J1282:EC1282)*10,0),0)</f>
        <v>0</v>
      </c>
      <c r="J1282" s="11"/>
      <c r="K1282" s="11"/>
      <c r="L1282" s="11" t="n">
        <v>1</v>
      </c>
      <c r="M1282" s="5"/>
      <c r="N1282" s="5"/>
      <c r="O1282" s="11"/>
      <c r="P1282" s="11" t="n">
        <v>1</v>
      </c>
      <c r="Q1282" s="11"/>
      <c r="R1282" s="11"/>
      <c r="S1282" s="11"/>
      <c r="T1282" s="11"/>
      <c r="U1282" s="5"/>
      <c r="V1282" s="11"/>
      <c r="W1282" s="5"/>
      <c r="X1282" s="5"/>
      <c r="Y1282" s="5"/>
      <c r="Z1282" s="5"/>
      <c r="AA1282" s="11"/>
      <c r="AB1282" s="5"/>
    </row>
    <row r="1283" customFormat="false" ht="15.75" hidden="false" customHeight="false" outlineLevel="0" collapsed="false">
      <c r="A1283" s="5" t="s">
        <v>2859</v>
      </c>
      <c r="B1283" s="5" t="s">
        <v>2860</v>
      </c>
      <c r="C1283" s="5" t="s">
        <v>2865</v>
      </c>
      <c r="D1283" s="5"/>
      <c r="E1283" s="5"/>
      <c r="F1283" s="5"/>
      <c r="G1283" s="9" t="s">
        <v>2866</v>
      </c>
      <c r="H1283" s="5" t="n">
        <f aca="false">(COUNTIF(J1283:EC1283,"=0")+COUNTIF(J1283:EC1283,"=1"))</f>
        <v>2</v>
      </c>
      <c r="I1283" s="20" t="n">
        <f aca="false">IFERROR(ROUND(10-AVERAGE(J1283:EC1283)*10,0),0)</f>
        <v>0</v>
      </c>
      <c r="J1283" s="11"/>
      <c r="K1283" s="11"/>
      <c r="L1283" s="11" t="n">
        <v>1</v>
      </c>
      <c r="M1283" s="5"/>
      <c r="N1283" s="5"/>
      <c r="O1283" s="11"/>
      <c r="P1283" s="11" t="n">
        <v>1</v>
      </c>
      <c r="Q1283" s="11"/>
      <c r="R1283" s="11"/>
      <c r="S1283" s="11"/>
      <c r="T1283" s="11"/>
      <c r="U1283" s="5"/>
      <c r="V1283" s="11"/>
      <c r="W1283" s="5"/>
      <c r="X1283" s="5"/>
      <c r="Y1283" s="5"/>
      <c r="Z1283" s="5"/>
      <c r="AA1283" s="11"/>
      <c r="AB1283" s="5"/>
    </row>
    <row r="1284" customFormat="false" ht="15.75" hidden="false" customHeight="false" outlineLevel="0" collapsed="false">
      <c r="A1284" s="5" t="s">
        <v>2859</v>
      </c>
      <c r="B1284" s="5" t="s">
        <v>2867</v>
      </c>
      <c r="C1284" s="5" t="s">
        <v>2868</v>
      </c>
      <c r="D1284" s="5"/>
      <c r="E1284" s="5"/>
      <c r="F1284" s="5"/>
      <c r="G1284" s="9" t="s">
        <v>2869</v>
      </c>
      <c r="H1284" s="5" t="n">
        <f aca="false">(COUNTIF(J1284:EC1284,"=0")+COUNTIF(J1284:EC1284,"=1"))</f>
        <v>2</v>
      </c>
      <c r="I1284" s="20" t="n">
        <f aca="false">IFERROR(ROUND(10-AVERAGE(J1284:EC1284)*10,0),0)</f>
        <v>0</v>
      </c>
      <c r="J1284" s="11"/>
      <c r="K1284" s="11"/>
      <c r="L1284" s="11" t="n">
        <v>1</v>
      </c>
      <c r="M1284" s="5"/>
      <c r="N1284" s="5"/>
      <c r="O1284" s="11"/>
      <c r="P1284" s="11" t="n">
        <v>1</v>
      </c>
      <c r="Q1284" s="11"/>
      <c r="R1284" s="11"/>
      <c r="S1284" s="11"/>
      <c r="T1284" s="11"/>
      <c r="U1284" s="5"/>
      <c r="V1284" s="11"/>
      <c r="W1284" s="5"/>
      <c r="X1284" s="5"/>
      <c r="Y1284" s="5"/>
      <c r="Z1284" s="5"/>
      <c r="AA1284" s="11"/>
      <c r="AB1284" s="5"/>
    </row>
    <row r="1285" customFormat="false" ht="15.75" hidden="false" customHeight="false" outlineLevel="0" collapsed="false">
      <c r="A1285" s="5" t="s">
        <v>2859</v>
      </c>
      <c r="B1285" s="5" t="s">
        <v>2870</v>
      </c>
      <c r="C1285" s="5" t="s">
        <v>2871</v>
      </c>
      <c r="D1285" s="5"/>
      <c r="E1285" s="5"/>
      <c r="F1285" s="5"/>
      <c r="G1285" s="9" t="s">
        <v>2872</v>
      </c>
      <c r="H1285" s="5" t="n">
        <f aca="false">(COUNTIF(J1285:EC1285,"=0")+COUNTIF(J1285:EC1285,"=1"))</f>
        <v>7</v>
      </c>
      <c r="I1285" s="12" t="n">
        <f aca="false">IFERROR(ROUND(10-AVERAGE(J1285:EC1285)*10,0),0)</f>
        <v>7</v>
      </c>
      <c r="J1285" s="11" t="n">
        <v>0</v>
      </c>
      <c r="K1285" s="11" t="n">
        <v>0</v>
      </c>
      <c r="L1285" s="5" t="n">
        <v>1</v>
      </c>
      <c r="M1285" s="5"/>
      <c r="N1285" s="5"/>
      <c r="O1285" s="5"/>
      <c r="P1285" s="11" t="n">
        <v>1</v>
      </c>
      <c r="Q1285" s="5"/>
      <c r="R1285" s="5"/>
      <c r="S1285" s="5"/>
      <c r="T1285" s="11" t="n">
        <v>0</v>
      </c>
      <c r="U1285" s="5"/>
      <c r="V1285" s="5"/>
      <c r="W1285" s="5"/>
      <c r="X1285" s="5"/>
      <c r="Y1285" s="5"/>
      <c r="Z1285" s="11" t="n">
        <v>0</v>
      </c>
      <c r="AA1285" s="11" t="n">
        <v>0</v>
      </c>
      <c r="AB1285" s="5"/>
    </row>
    <row r="1286" customFormat="false" ht="15.75" hidden="false" customHeight="false" outlineLevel="0" collapsed="false">
      <c r="A1286" s="5" t="s">
        <v>2859</v>
      </c>
      <c r="B1286" s="5" t="s">
        <v>2870</v>
      </c>
      <c r="C1286" s="5" t="s">
        <v>2873</v>
      </c>
      <c r="D1286" s="5"/>
      <c r="E1286" s="5"/>
      <c r="F1286" s="5"/>
      <c r="G1286" s="9" t="s">
        <v>2874</v>
      </c>
      <c r="H1286" s="5" t="n">
        <f aca="false">(COUNTIF(J1286:EC1286,"=0")+COUNTIF(J1286:EC1286,"=1"))</f>
        <v>6</v>
      </c>
      <c r="I1286" s="12" t="n">
        <f aca="false">IFERROR(ROUND(10-AVERAGE(J1286:EC1286)*10,0),0)</f>
        <v>7</v>
      </c>
      <c r="J1286" s="11" t="n">
        <v>0</v>
      </c>
      <c r="K1286" s="11" t="n">
        <v>0</v>
      </c>
      <c r="L1286" s="5" t="n">
        <v>1</v>
      </c>
      <c r="M1286" s="5"/>
      <c r="N1286" s="5"/>
      <c r="O1286" s="5"/>
      <c r="P1286" s="11" t="n">
        <v>1</v>
      </c>
      <c r="Q1286" s="5"/>
      <c r="R1286" s="5"/>
      <c r="S1286" s="5"/>
      <c r="T1286" s="11" t="n">
        <v>0</v>
      </c>
      <c r="U1286" s="5"/>
      <c r="V1286" s="5"/>
      <c r="W1286" s="5"/>
      <c r="X1286" s="5"/>
      <c r="Y1286" s="5"/>
      <c r="Z1286" s="11" t="n">
        <v>0</v>
      </c>
      <c r="AA1286" s="5"/>
      <c r="AB1286" s="5"/>
    </row>
    <row r="1287" customFormat="false" ht="15.75" hidden="false" customHeight="false" outlineLevel="0" collapsed="false">
      <c r="A1287" s="5" t="s">
        <v>2859</v>
      </c>
      <c r="B1287" s="5" t="s">
        <v>2870</v>
      </c>
      <c r="C1287" s="5" t="s">
        <v>2875</v>
      </c>
      <c r="D1287" s="5"/>
      <c r="E1287" s="5"/>
      <c r="F1287" s="5"/>
      <c r="G1287" s="14" t="s">
        <v>2876</v>
      </c>
      <c r="H1287" s="5" t="n">
        <f aca="false">(COUNTIF(J1287:EC1287,"=0")+COUNTIF(J1287:EC1287,"=1"))</f>
        <v>10</v>
      </c>
      <c r="I1287" s="19" t="n">
        <f aca="false">IFERROR(ROUND(10-AVERAGE(J1287:EC1287)*10,0),0)</f>
        <v>5</v>
      </c>
      <c r="J1287" s="11" t="n">
        <v>0</v>
      </c>
      <c r="K1287" s="11" t="n">
        <v>1</v>
      </c>
      <c r="L1287" s="11" t="n">
        <v>1</v>
      </c>
      <c r="M1287" s="5"/>
      <c r="N1287" s="5"/>
      <c r="O1287" s="11" t="n">
        <v>1</v>
      </c>
      <c r="P1287" s="11" t="n">
        <v>1</v>
      </c>
      <c r="Q1287" s="11" t="n">
        <v>0</v>
      </c>
      <c r="R1287" s="11" t="n">
        <v>1</v>
      </c>
      <c r="S1287" s="11" t="n">
        <v>0</v>
      </c>
      <c r="T1287" s="11" t="n">
        <v>0</v>
      </c>
      <c r="U1287" s="5"/>
      <c r="V1287" s="11" t="n">
        <v>0</v>
      </c>
      <c r="W1287" s="5"/>
      <c r="X1287" s="5"/>
      <c r="Y1287" s="5"/>
      <c r="Z1287" s="5"/>
      <c r="AA1287" s="5"/>
      <c r="AB1287" s="5"/>
    </row>
    <row r="1288" customFormat="false" ht="15.75" hidden="false" customHeight="false" outlineLevel="0" collapsed="false">
      <c r="A1288" s="5" t="s">
        <v>2859</v>
      </c>
      <c r="B1288" s="5" t="s">
        <v>2870</v>
      </c>
      <c r="C1288" s="5" t="s">
        <v>2877</v>
      </c>
      <c r="D1288" s="5"/>
      <c r="E1288" s="5"/>
      <c r="G1288" s="5"/>
      <c r="H1288" s="5" t="n">
        <f aca="false">(COUNTIF(J1288:EC1288,"=0")+COUNTIF(J1288:EC1288,"=1"))</f>
        <v>9</v>
      </c>
      <c r="I1288" s="13" t="n">
        <f aca="false">IFERROR(ROUND(10-AVERAGE(J1288:EC1288)*10,0),0)</f>
        <v>2</v>
      </c>
      <c r="J1288" s="11" t="n">
        <v>0</v>
      </c>
      <c r="K1288" s="11" t="n">
        <v>1</v>
      </c>
      <c r="L1288" s="11" t="n">
        <v>1</v>
      </c>
      <c r="M1288" s="5"/>
      <c r="N1288" s="5"/>
      <c r="O1288" s="11" t="n">
        <v>1</v>
      </c>
      <c r="P1288" s="11" t="n">
        <v>1</v>
      </c>
      <c r="Q1288" s="11" t="n">
        <v>1</v>
      </c>
      <c r="R1288" s="11" t="n">
        <v>1</v>
      </c>
      <c r="S1288" s="11" t="n">
        <v>0</v>
      </c>
      <c r="T1288" s="11" t="n">
        <v>1</v>
      </c>
      <c r="U1288" s="5"/>
      <c r="V1288" s="5"/>
      <c r="W1288" s="5"/>
      <c r="X1288" s="5"/>
      <c r="Y1288" s="5"/>
      <c r="Z1288" s="5"/>
      <c r="AA1288" s="5"/>
      <c r="AB1288" s="5"/>
    </row>
    <row r="1289" customFormat="false" ht="15.75" hidden="false" customHeight="false" outlineLevel="0" collapsed="false">
      <c r="A1289" s="5" t="s">
        <v>2859</v>
      </c>
      <c r="B1289" s="5" t="s">
        <v>2870</v>
      </c>
      <c r="C1289" s="5" t="s">
        <v>2878</v>
      </c>
      <c r="D1289" s="5"/>
      <c r="E1289" s="5"/>
      <c r="F1289" s="5"/>
      <c r="G1289" s="9" t="s">
        <v>2879</v>
      </c>
      <c r="H1289" s="5" t="n">
        <f aca="false">(COUNTIF(J1289:EC1289,"=0")+COUNTIF(J1289:EC1289,"=1"))</f>
        <v>10</v>
      </c>
      <c r="I1289" s="21" t="n">
        <f aca="false">IFERROR(ROUND(10-AVERAGE(J1289:EC1289)*10,0),0)</f>
        <v>3</v>
      </c>
      <c r="J1289" s="11" t="n">
        <v>0</v>
      </c>
      <c r="K1289" s="11" t="n">
        <v>1</v>
      </c>
      <c r="L1289" s="11" t="n">
        <v>1</v>
      </c>
      <c r="M1289" s="5"/>
      <c r="N1289" s="5"/>
      <c r="O1289" s="11" t="n">
        <v>1</v>
      </c>
      <c r="P1289" s="11" t="n">
        <v>1</v>
      </c>
      <c r="Q1289" s="11" t="n">
        <v>1</v>
      </c>
      <c r="R1289" s="11" t="n">
        <v>1</v>
      </c>
      <c r="S1289" s="11" t="n">
        <v>0</v>
      </c>
      <c r="T1289" s="11" t="n">
        <v>0</v>
      </c>
      <c r="U1289" s="5"/>
      <c r="V1289" s="11" t="n">
        <v>1</v>
      </c>
      <c r="W1289" s="5"/>
      <c r="X1289" s="5"/>
      <c r="Y1289" s="5"/>
      <c r="Z1289" s="5"/>
      <c r="AA1289" s="5"/>
      <c r="AB1289" s="5"/>
    </row>
    <row r="1290" customFormat="false" ht="15.75" hidden="false" customHeight="false" outlineLevel="0" collapsed="false">
      <c r="A1290" s="5" t="s">
        <v>2859</v>
      </c>
      <c r="B1290" s="5" t="s">
        <v>2870</v>
      </c>
      <c r="C1290" s="5" t="s">
        <v>87</v>
      </c>
      <c r="D1290" s="5"/>
      <c r="E1290" s="5"/>
      <c r="F1290" s="5"/>
      <c r="G1290" s="9" t="s">
        <v>2880</v>
      </c>
      <c r="H1290" s="5" t="n">
        <f aca="false">(COUNTIF(J1290:EC1290,"=0")+COUNTIF(J1290:EC1290,"=1"))</f>
        <v>11</v>
      </c>
      <c r="I1290" s="20" t="n">
        <f aca="false">IFERROR(ROUND(10-AVERAGE(J1290:EC1290)*10,0),0)</f>
        <v>1</v>
      </c>
      <c r="J1290" s="11" t="n">
        <v>1</v>
      </c>
      <c r="K1290" s="11" t="n">
        <v>1</v>
      </c>
      <c r="L1290" s="11" t="n">
        <v>1</v>
      </c>
      <c r="M1290" s="5"/>
      <c r="N1290" s="5"/>
      <c r="O1290" s="11" t="n">
        <v>1</v>
      </c>
      <c r="P1290" s="11" t="n">
        <v>1</v>
      </c>
      <c r="Q1290" s="11" t="n">
        <v>1</v>
      </c>
      <c r="R1290" s="11" t="n">
        <v>1</v>
      </c>
      <c r="S1290" s="11" t="n">
        <v>0</v>
      </c>
      <c r="T1290" s="11" t="n">
        <v>1</v>
      </c>
      <c r="U1290" s="5"/>
      <c r="V1290" s="11" t="n">
        <v>1</v>
      </c>
      <c r="W1290" s="5"/>
      <c r="X1290" s="5"/>
      <c r="Y1290" s="5"/>
      <c r="Z1290" s="5"/>
      <c r="AA1290" s="11" t="n">
        <v>1</v>
      </c>
      <c r="AB1290" s="5"/>
    </row>
    <row r="1291" customFormat="false" ht="15.75" hidden="false" customHeight="false" outlineLevel="0" collapsed="false">
      <c r="A1291" s="5" t="s">
        <v>2859</v>
      </c>
      <c r="B1291" s="5" t="s">
        <v>2870</v>
      </c>
      <c r="C1291" s="5" t="s">
        <v>2881</v>
      </c>
      <c r="D1291" s="5"/>
      <c r="E1291" s="5"/>
      <c r="F1291" s="5"/>
      <c r="G1291" s="9" t="s">
        <v>2882</v>
      </c>
      <c r="H1291" s="5" t="n">
        <f aca="false">(COUNTIF(J1291:EC1291,"=0")+COUNTIF(J1291:EC1291,"=1"))</f>
        <v>6</v>
      </c>
      <c r="I1291" s="23" t="n">
        <f aca="false">IFERROR(ROUND(10-AVERAGE(J1291:EC1291)*10,0),0)</f>
        <v>3</v>
      </c>
      <c r="J1291" s="11" t="n">
        <v>0</v>
      </c>
      <c r="K1291" s="11" t="n">
        <v>1</v>
      </c>
      <c r="L1291" s="5" t="n">
        <v>1</v>
      </c>
      <c r="M1291" s="5"/>
      <c r="N1291" s="5"/>
      <c r="O1291" s="5"/>
      <c r="P1291" s="11" t="n">
        <v>1</v>
      </c>
      <c r="Q1291" s="5"/>
      <c r="R1291" s="5"/>
      <c r="S1291" s="5"/>
      <c r="T1291" s="11" t="n">
        <v>1</v>
      </c>
      <c r="U1291" s="5"/>
      <c r="V1291" s="5"/>
      <c r="W1291" s="5"/>
      <c r="X1291" s="5"/>
      <c r="Y1291" s="5"/>
      <c r="Z1291" s="11" t="n">
        <v>0</v>
      </c>
      <c r="AA1291" s="5"/>
      <c r="AB1291" s="5"/>
    </row>
    <row r="1292" customFormat="false" ht="15.75" hidden="false" customHeight="false" outlineLevel="0" collapsed="false">
      <c r="A1292" s="5" t="s">
        <v>2859</v>
      </c>
      <c r="B1292" s="5" t="s">
        <v>2883</v>
      </c>
      <c r="C1292" s="5" t="s">
        <v>2884</v>
      </c>
      <c r="D1292" s="5"/>
      <c r="E1292" s="5"/>
      <c r="F1292" s="5"/>
      <c r="G1292" s="9" t="s">
        <v>2885</v>
      </c>
      <c r="H1292" s="5" t="n">
        <f aca="false">(COUNTIF(J1292:EC1292,"=0")+COUNTIF(J1292:EC1292,"=1"))</f>
        <v>7</v>
      </c>
      <c r="I1292" s="16" t="n">
        <f aca="false">IFERROR(ROUND(10-AVERAGE(J1292:EC1292)*10,0),0)</f>
        <v>7</v>
      </c>
      <c r="J1292" s="11" t="n">
        <v>0</v>
      </c>
      <c r="K1292" s="11" t="n">
        <v>0</v>
      </c>
      <c r="L1292" s="5"/>
      <c r="M1292" s="5"/>
      <c r="N1292" s="5"/>
      <c r="O1292" s="5"/>
      <c r="P1292" s="11" t="n">
        <v>1</v>
      </c>
      <c r="Q1292" s="11" t="n">
        <v>1</v>
      </c>
      <c r="R1292" s="5"/>
      <c r="S1292" s="5"/>
      <c r="T1292" s="11" t="n">
        <v>0</v>
      </c>
      <c r="U1292" s="5"/>
      <c r="V1292" s="11" t="n">
        <v>0</v>
      </c>
      <c r="W1292" s="5"/>
      <c r="X1292" s="5"/>
      <c r="Y1292" s="5"/>
      <c r="Z1292" s="5"/>
      <c r="AA1292" s="5"/>
      <c r="AB1292" s="5"/>
      <c r="AF1292" s="5" t="n">
        <v>0</v>
      </c>
    </row>
    <row r="1293" customFormat="false" ht="15.75" hidden="false" customHeight="false" outlineLevel="0" collapsed="false">
      <c r="A1293" s="5" t="s">
        <v>2859</v>
      </c>
      <c r="B1293" s="5" t="s">
        <v>2886</v>
      </c>
      <c r="C1293" s="5" t="s">
        <v>2887</v>
      </c>
      <c r="D1293" s="5"/>
      <c r="E1293" s="5"/>
      <c r="F1293" s="5"/>
      <c r="G1293" s="9" t="s">
        <v>2888</v>
      </c>
      <c r="H1293" s="5" t="n">
        <f aca="false">(COUNTIF(J1293:EC1293,"=0")+COUNTIF(J1293:EC1293,"=1"))</f>
        <v>6</v>
      </c>
      <c r="I1293" s="16" t="n">
        <f aca="false">IFERROR(ROUND(10-AVERAGE(J1293:EC1293)*10,0),0)</f>
        <v>7</v>
      </c>
      <c r="J1293" s="11" t="n">
        <v>0</v>
      </c>
      <c r="K1293" s="11" t="n">
        <v>0</v>
      </c>
      <c r="L1293" s="5"/>
      <c r="M1293" s="5"/>
      <c r="N1293" s="5"/>
      <c r="O1293" s="11" t="n">
        <v>0</v>
      </c>
      <c r="P1293" s="11" t="n">
        <v>1</v>
      </c>
      <c r="Q1293" s="5"/>
      <c r="R1293" s="5"/>
      <c r="S1293" s="5"/>
      <c r="T1293" s="11" t="n">
        <v>0</v>
      </c>
      <c r="U1293" s="5"/>
      <c r="V1293" s="11" t="n">
        <v>1</v>
      </c>
      <c r="W1293" s="5"/>
      <c r="X1293" s="5"/>
      <c r="Y1293" s="5"/>
      <c r="Z1293" s="5"/>
      <c r="AA1293" s="5"/>
      <c r="AB1293" s="5"/>
    </row>
    <row r="1294" customFormat="false" ht="15.75" hidden="false" customHeight="false" outlineLevel="0" collapsed="false">
      <c r="A1294" s="5" t="s">
        <v>2859</v>
      </c>
      <c r="B1294" s="5" t="s">
        <v>2889</v>
      </c>
      <c r="C1294" s="5" t="s">
        <v>2890</v>
      </c>
      <c r="D1294" s="5"/>
      <c r="E1294" s="5"/>
      <c r="F1294" s="5"/>
      <c r="G1294" s="5"/>
      <c r="H1294" s="5" t="n">
        <f aca="false">(COUNTIF(J1294:EC1294,"=0")+COUNTIF(J1294:EC1294,"=1"))</f>
        <v>6</v>
      </c>
      <c r="I1294" s="12" t="n">
        <f aca="false">IFERROR(ROUND(10-AVERAGE(J1294:EC1294)*10,0),0)</f>
        <v>8</v>
      </c>
      <c r="J1294" s="11" t="n">
        <v>0</v>
      </c>
      <c r="K1294" s="11" t="n">
        <v>0</v>
      </c>
      <c r="L1294" s="5"/>
      <c r="M1294" s="5"/>
      <c r="N1294" s="5"/>
      <c r="O1294" s="11" t="n">
        <v>0</v>
      </c>
      <c r="P1294" s="11" t="n">
        <v>1</v>
      </c>
      <c r="Q1294" s="5"/>
      <c r="R1294" s="5"/>
      <c r="S1294" s="5"/>
      <c r="T1294" s="11" t="n">
        <v>0</v>
      </c>
      <c r="U1294" s="5"/>
      <c r="V1294" s="5"/>
      <c r="W1294" s="5"/>
      <c r="X1294" s="5"/>
      <c r="Y1294" s="5"/>
      <c r="Z1294" s="11" t="n">
        <v>0</v>
      </c>
      <c r="AA1294" s="5"/>
      <c r="AB1294" s="5"/>
    </row>
    <row r="1295" customFormat="false" ht="15.75" hidden="false" customHeight="false" outlineLevel="0" collapsed="false">
      <c r="A1295" s="5" t="s">
        <v>2859</v>
      </c>
      <c r="B1295" s="5" t="s">
        <v>2889</v>
      </c>
      <c r="C1295" s="5" t="s">
        <v>2891</v>
      </c>
      <c r="D1295" s="5"/>
      <c r="E1295" s="5"/>
      <c r="F1295" s="5"/>
      <c r="G1295" s="5"/>
      <c r="H1295" s="5" t="n">
        <f aca="false">(COUNTIF(J1295:EC1295,"=0")+COUNTIF(J1295:EC1295,"=1"))</f>
        <v>6</v>
      </c>
      <c r="I1295" s="12" t="n">
        <f aca="false">IFERROR(ROUND(10-AVERAGE(J1295:EC1295)*10,0),0)</f>
        <v>8</v>
      </c>
      <c r="J1295" s="11" t="n">
        <v>0</v>
      </c>
      <c r="K1295" s="11" t="n">
        <v>0</v>
      </c>
      <c r="L1295" s="5"/>
      <c r="M1295" s="5"/>
      <c r="N1295" s="5"/>
      <c r="O1295" s="11" t="n">
        <v>0</v>
      </c>
      <c r="P1295" s="11" t="n">
        <v>1</v>
      </c>
      <c r="Q1295" s="5"/>
      <c r="R1295" s="5"/>
      <c r="S1295" s="5"/>
      <c r="T1295" s="11" t="n">
        <v>0</v>
      </c>
      <c r="U1295" s="5"/>
      <c r="V1295" s="5"/>
      <c r="W1295" s="5"/>
      <c r="X1295" s="5"/>
      <c r="Y1295" s="5"/>
      <c r="Z1295" s="11" t="n">
        <v>0</v>
      </c>
      <c r="AA1295" s="5"/>
      <c r="AB1295" s="5"/>
    </row>
    <row r="1296" customFormat="false" ht="15.75" hidden="false" customHeight="false" outlineLevel="0" collapsed="false">
      <c r="A1296" s="5" t="s">
        <v>2859</v>
      </c>
      <c r="B1296" s="5" t="s">
        <v>2889</v>
      </c>
      <c r="C1296" s="5" t="s">
        <v>2892</v>
      </c>
      <c r="D1296" s="5"/>
      <c r="E1296" s="5"/>
      <c r="F1296" s="5"/>
      <c r="G1296" s="5"/>
      <c r="H1296" s="5" t="n">
        <f aca="false">(COUNTIF(J1296:EC1296,"=0")+COUNTIF(J1296:EC1296,"=1"))</f>
        <v>6</v>
      </c>
      <c r="I1296" s="12" t="n">
        <f aca="false">IFERROR(ROUND(10-AVERAGE(J1296:EC1296)*10,0),0)</f>
        <v>8</v>
      </c>
      <c r="J1296" s="11" t="n">
        <v>0</v>
      </c>
      <c r="K1296" s="11" t="n">
        <v>0</v>
      </c>
      <c r="L1296" s="5"/>
      <c r="M1296" s="5"/>
      <c r="N1296" s="5"/>
      <c r="O1296" s="11" t="n">
        <v>0</v>
      </c>
      <c r="P1296" s="11" t="n">
        <v>1</v>
      </c>
      <c r="Q1296" s="5"/>
      <c r="R1296" s="5"/>
      <c r="S1296" s="5"/>
      <c r="T1296" s="11" t="n">
        <v>0</v>
      </c>
      <c r="U1296" s="5"/>
      <c r="V1296" s="5"/>
      <c r="W1296" s="5"/>
      <c r="X1296" s="5"/>
      <c r="Y1296" s="5"/>
      <c r="Z1296" s="11" t="n">
        <v>0</v>
      </c>
      <c r="AA1296" s="5"/>
      <c r="AB1296" s="5"/>
    </row>
    <row r="1297" customFormat="false" ht="15.75" hidden="false" customHeight="false" outlineLevel="0" collapsed="false">
      <c r="A1297" s="5" t="s">
        <v>2859</v>
      </c>
      <c r="B1297" s="5" t="s">
        <v>2889</v>
      </c>
      <c r="C1297" s="5" t="s">
        <v>2893</v>
      </c>
      <c r="D1297" s="5"/>
      <c r="E1297" s="5"/>
      <c r="F1297" s="5"/>
      <c r="G1297" s="5"/>
      <c r="H1297" s="5" t="n">
        <f aca="false">(COUNTIF(J1297:EC1297,"=0")+COUNTIF(J1297:EC1297,"=1"))</f>
        <v>1</v>
      </c>
      <c r="I1297" s="15" t="n">
        <f aca="false">IFERROR(ROUND(10-AVERAGE(J1297:EC1297)*10,0),0)</f>
        <v>0</v>
      </c>
      <c r="J1297" s="5"/>
      <c r="K1297" s="5"/>
      <c r="L1297" s="5"/>
      <c r="M1297" s="5"/>
      <c r="N1297" s="5"/>
      <c r="O1297" s="5"/>
      <c r="P1297" s="5" t="n">
        <v>1</v>
      </c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customFormat="false" ht="15.75" hidden="false" customHeight="false" outlineLevel="0" collapsed="false">
      <c r="A1298" s="5" t="s">
        <v>2859</v>
      </c>
      <c r="B1298" s="5" t="s">
        <v>2889</v>
      </c>
      <c r="C1298" s="5" t="s">
        <v>2894</v>
      </c>
      <c r="D1298" s="5"/>
      <c r="E1298" s="5"/>
      <c r="F1298" s="5"/>
      <c r="G1298" s="5"/>
      <c r="H1298" s="5" t="n">
        <f aca="false">(COUNTIF(J1298:EC1298,"=0")+COUNTIF(J1298:EC1298,"=1"))</f>
        <v>6</v>
      </c>
      <c r="I1298" s="12" t="n">
        <f aca="false">IFERROR(ROUND(10-AVERAGE(J1298:EC1298)*10,0),0)</f>
        <v>8</v>
      </c>
      <c r="J1298" s="11" t="n">
        <v>0</v>
      </c>
      <c r="K1298" s="11" t="n">
        <v>0</v>
      </c>
      <c r="L1298" s="5"/>
      <c r="M1298" s="5"/>
      <c r="N1298" s="5"/>
      <c r="O1298" s="11" t="n">
        <v>0</v>
      </c>
      <c r="P1298" s="11" t="n">
        <v>1</v>
      </c>
      <c r="Q1298" s="5"/>
      <c r="R1298" s="5"/>
      <c r="S1298" s="5"/>
      <c r="T1298" s="11" t="n">
        <v>0</v>
      </c>
      <c r="U1298" s="5"/>
      <c r="V1298" s="5"/>
      <c r="W1298" s="5"/>
      <c r="X1298" s="5"/>
      <c r="Y1298" s="5"/>
      <c r="Z1298" s="11" t="n">
        <v>0</v>
      </c>
      <c r="AA1298" s="5"/>
      <c r="AB1298" s="5"/>
    </row>
    <row r="1299" customFormat="false" ht="15.75" hidden="false" customHeight="false" outlineLevel="0" collapsed="false">
      <c r="A1299" s="5" t="s">
        <v>2859</v>
      </c>
      <c r="B1299" s="5" t="s">
        <v>2895</v>
      </c>
      <c r="C1299" s="5" t="s">
        <v>2896</v>
      </c>
      <c r="D1299" s="5"/>
      <c r="E1299" s="5"/>
      <c r="F1299" s="5"/>
      <c r="G1299" s="5"/>
      <c r="H1299" s="5" t="n">
        <f aca="false">(COUNTIF(J1299:EC1299,"=0")+COUNTIF(J1299:EC1299,"=1"))</f>
        <v>6</v>
      </c>
      <c r="I1299" s="12" t="n">
        <f aca="false">IFERROR(ROUND(10-AVERAGE(J1299:EC1299)*10,0),0)</f>
        <v>8</v>
      </c>
      <c r="J1299" s="11" t="n">
        <v>0</v>
      </c>
      <c r="K1299" s="11" t="n">
        <v>0</v>
      </c>
      <c r="L1299" s="5"/>
      <c r="M1299" s="5"/>
      <c r="N1299" s="5"/>
      <c r="O1299" s="11" t="n">
        <v>0</v>
      </c>
      <c r="P1299" s="11" t="n">
        <v>1</v>
      </c>
      <c r="Q1299" s="5"/>
      <c r="R1299" s="5"/>
      <c r="S1299" s="5"/>
      <c r="T1299" s="11" t="n">
        <v>0</v>
      </c>
      <c r="U1299" s="5"/>
      <c r="V1299" s="11" t="n">
        <v>0</v>
      </c>
      <c r="W1299" s="5"/>
      <c r="X1299" s="5"/>
      <c r="Y1299" s="5"/>
      <c r="Z1299" s="5"/>
      <c r="AA1299" s="5"/>
      <c r="AB1299" s="5"/>
    </row>
    <row r="1300" customFormat="false" ht="15.75" hidden="false" customHeight="false" outlineLevel="0" collapsed="false">
      <c r="A1300" s="5" t="s">
        <v>2859</v>
      </c>
      <c r="B1300" s="5" t="s">
        <v>2895</v>
      </c>
      <c r="C1300" s="5" t="s">
        <v>2897</v>
      </c>
      <c r="D1300" s="5"/>
      <c r="E1300" s="5"/>
      <c r="F1300" s="5"/>
      <c r="G1300" s="5"/>
      <c r="H1300" s="5" t="n">
        <f aca="false">(COUNTIF(J1300:EC1300,"=0")+COUNTIF(J1300:EC1300,"=1"))</f>
        <v>6</v>
      </c>
      <c r="I1300" s="12" t="n">
        <f aca="false">IFERROR(ROUND(10-AVERAGE(J1300:EC1300)*10,0),0)</f>
        <v>8</v>
      </c>
      <c r="J1300" s="11" t="n">
        <v>0</v>
      </c>
      <c r="K1300" s="11" t="n">
        <v>0</v>
      </c>
      <c r="L1300" s="5"/>
      <c r="M1300" s="5"/>
      <c r="N1300" s="5"/>
      <c r="O1300" s="11" t="n">
        <v>0</v>
      </c>
      <c r="P1300" s="11" t="n">
        <v>1</v>
      </c>
      <c r="Q1300" s="5"/>
      <c r="R1300" s="5"/>
      <c r="S1300" s="5"/>
      <c r="T1300" s="11" t="n">
        <v>0</v>
      </c>
      <c r="U1300" s="5"/>
      <c r="V1300" s="11" t="n">
        <v>0</v>
      </c>
      <c r="W1300" s="5"/>
      <c r="X1300" s="5"/>
      <c r="Y1300" s="5"/>
      <c r="Z1300" s="5"/>
      <c r="AA1300" s="5"/>
      <c r="AB1300" s="5"/>
    </row>
    <row r="1301" customFormat="false" ht="15.75" hidden="false" customHeight="false" outlineLevel="0" collapsed="false">
      <c r="A1301" s="5" t="s">
        <v>2859</v>
      </c>
      <c r="B1301" s="5" t="s">
        <v>2898</v>
      </c>
      <c r="C1301" s="5" t="s">
        <v>2352</v>
      </c>
      <c r="D1301" s="5"/>
      <c r="E1301" s="5"/>
      <c r="F1301" s="5"/>
      <c r="G1301" s="9" t="s">
        <v>2899</v>
      </c>
      <c r="H1301" s="5" t="n">
        <f aca="false">(COUNTIF(J1301:EC1301,"=0")+COUNTIF(J1301:EC1301,"=1"))</f>
        <v>10</v>
      </c>
      <c r="I1301" s="13" t="n">
        <f aca="false">IFERROR(ROUND(10-AVERAGE(J1301:EC1301)*10,0),0)</f>
        <v>2</v>
      </c>
      <c r="J1301" s="11" t="n">
        <v>1</v>
      </c>
      <c r="K1301" s="11" t="n">
        <v>1</v>
      </c>
      <c r="L1301" s="11" t="n">
        <v>1</v>
      </c>
      <c r="M1301" s="5"/>
      <c r="N1301" s="5"/>
      <c r="O1301" s="11" t="n">
        <v>0</v>
      </c>
      <c r="P1301" s="11" t="n">
        <v>1</v>
      </c>
      <c r="Q1301" s="11" t="n">
        <v>1</v>
      </c>
      <c r="R1301" s="11" t="n">
        <v>1</v>
      </c>
      <c r="S1301" s="11" t="n">
        <v>0</v>
      </c>
      <c r="T1301" s="11" t="n">
        <v>1</v>
      </c>
      <c r="U1301" s="5"/>
      <c r="V1301" s="11" t="n">
        <v>1</v>
      </c>
      <c r="W1301" s="5"/>
      <c r="X1301" s="5"/>
      <c r="Y1301" s="5"/>
      <c r="Z1301" s="5"/>
      <c r="AA1301" s="5"/>
      <c r="AB1301" s="5"/>
    </row>
    <row r="1302" customFormat="false" ht="15.75" hidden="false" customHeight="false" outlineLevel="0" collapsed="false">
      <c r="A1302" s="5" t="s">
        <v>2859</v>
      </c>
      <c r="B1302" s="5" t="s">
        <v>2898</v>
      </c>
      <c r="C1302" s="5" t="s">
        <v>2900</v>
      </c>
      <c r="D1302" s="5"/>
      <c r="E1302" s="5"/>
      <c r="F1302" s="5"/>
      <c r="G1302" s="9" t="s">
        <v>2901</v>
      </c>
      <c r="H1302" s="5" t="n">
        <f aca="false">(COUNTIF(J1302:EC1302,"=0")+COUNTIF(J1302:EC1302,"=1"))</f>
        <v>10</v>
      </c>
      <c r="I1302" s="23" t="n">
        <f aca="false">IFERROR(ROUND(10-AVERAGE(J1302:EC1302)*10,0),0)</f>
        <v>4</v>
      </c>
      <c r="J1302" s="11" t="n">
        <v>0</v>
      </c>
      <c r="K1302" s="11" t="n">
        <v>1</v>
      </c>
      <c r="L1302" s="11" t="n">
        <v>1</v>
      </c>
      <c r="M1302" s="5"/>
      <c r="N1302" s="5"/>
      <c r="O1302" s="11" t="n">
        <v>0</v>
      </c>
      <c r="P1302" s="11" t="n">
        <v>1</v>
      </c>
      <c r="Q1302" s="11" t="n">
        <v>1</v>
      </c>
      <c r="R1302" s="11" t="n">
        <v>1</v>
      </c>
      <c r="S1302" s="11" t="n">
        <v>0</v>
      </c>
      <c r="T1302" s="11" t="n">
        <v>0</v>
      </c>
      <c r="U1302" s="5"/>
      <c r="V1302" s="11" t="n">
        <v>1</v>
      </c>
      <c r="W1302" s="5"/>
      <c r="X1302" s="5"/>
      <c r="Y1302" s="5"/>
      <c r="Z1302" s="5"/>
      <c r="AA1302" s="5"/>
      <c r="AB1302" s="5"/>
    </row>
    <row r="1303" customFormat="false" ht="15.75" hidden="false" customHeight="false" outlineLevel="0" collapsed="false">
      <c r="A1303" s="5" t="s">
        <v>2859</v>
      </c>
      <c r="B1303" s="5" t="s">
        <v>2902</v>
      </c>
      <c r="C1303" s="5" t="s">
        <v>2903</v>
      </c>
      <c r="D1303" s="5"/>
      <c r="E1303" s="5"/>
      <c r="F1303" s="5"/>
      <c r="G1303" s="9" t="s">
        <v>2904</v>
      </c>
      <c r="H1303" s="5" t="n">
        <f aca="false">(COUNTIF(J1303:EC1303,"=0")+COUNTIF(J1303:EC1303,"=1"))</f>
        <v>9</v>
      </c>
      <c r="I1303" s="16" t="n">
        <f aca="false">IFERROR(ROUND(10-AVERAGE(J1303:EC1303)*10,0),0)</f>
        <v>7</v>
      </c>
      <c r="J1303" s="11" t="n">
        <v>0</v>
      </c>
      <c r="K1303" s="11" t="n">
        <v>0</v>
      </c>
      <c r="L1303" s="11" t="n">
        <v>1</v>
      </c>
      <c r="M1303" s="5"/>
      <c r="N1303" s="5"/>
      <c r="O1303" s="11" t="n">
        <v>0</v>
      </c>
      <c r="P1303" s="11" t="n">
        <v>1</v>
      </c>
      <c r="Q1303" s="11" t="n">
        <v>0</v>
      </c>
      <c r="R1303" s="11" t="n">
        <v>1</v>
      </c>
      <c r="S1303" s="11" t="n">
        <v>0</v>
      </c>
      <c r="T1303" s="11" t="n">
        <v>0</v>
      </c>
      <c r="U1303" s="5"/>
      <c r="V1303" s="5"/>
      <c r="W1303" s="5"/>
      <c r="X1303" s="5"/>
      <c r="Y1303" s="5"/>
      <c r="Z1303" s="5"/>
      <c r="AA1303" s="5"/>
      <c r="AB1303" s="5"/>
    </row>
    <row r="1304" customFormat="false" ht="15.75" hidden="false" customHeight="false" outlineLevel="0" collapsed="false">
      <c r="A1304" s="5" t="s">
        <v>2859</v>
      </c>
      <c r="B1304" s="5" t="s">
        <v>2902</v>
      </c>
      <c r="C1304" s="5" t="s">
        <v>2905</v>
      </c>
      <c r="D1304" s="5"/>
      <c r="E1304" s="5"/>
      <c r="F1304" s="5"/>
      <c r="G1304" s="14" t="s">
        <v>2906</v>
      </c>
      <c r="H1304" s="5" t="n">
        <f aca="false">(COUNTIF(J1304:EC1304,"=0")+COUNTIF(J1304:EC1304,"=1"))</f>
        <v>2</v>
      </c>
      <c r="I1304" s="13" t="n">
        <f aca="false">IFERROR(ROUND(10-AVERAGE(J1304:EC1304)*10,0),0)</f>
        <v>0</v>
      </c>
      <c r="J1304" s="11"/>
      <c r="K1304" s="11"/>
      <c r="L1304" s="11" t="n">
        <v>1</v>
      </c>
      <c r="M1304" s="5"/>
      <c r="N1304" s="5"/>
      <c r="O1304" s="11"/>
      <c r="P1304" s="11" t="n">
        <v>1</v>
      </c>
      <c r="Q1304" s="11"/>
      <c r="R1304" s="11"/>
      <c r="S1304" s="11"/>
      <c r="T1304" s="11"/>
      <c r="U1304" s="5"/>
      <c r="V1304" s="11"/>
      <c r="W1304" s="5"/>
      <c r="X1304" s="5"/>
      <c r="Y1304" s="5"/>
      <c r="Z1304" s="5"/>
      <c r="AA1304" s="5"/>
      <c r="AB1304" s="5"/>
    </row>
    <row r="1305" customFormat="false" ht="15.75" hidden="false" customHeight="false" outlineLevel="0" collapsed="false">
      <c r="A1305" s="5" t="s">
        <v>2859</v>
      </c>
      <c r="B1305" s="5" t="s">
        <v>2907</v>
      </c>
      <c r="C1305" s="5" t="s">
        <v>2908</v>
      </c>
      <c r="D1305" s="5"/>
      <c r="E1305" s="5"/>
      <c r="F1305" s="5"/>
      <c r="G1305" s="9" t="s">
        <v>2909</v>
      </c>
      <c r="H1305" s="5" t="n">
        <f aca="false">(COUNTIF(J1305:EC1305,"=0")+COUNTIF(J1305:EC1305,"=1"))</f>
        <v>4</v>
      </c>
      <c r="I1305" s="19" t="n">
        <f aca="false">IFERROR(ROUND(10-AVERAGE(J1305:EC1305)*10,0),0)</f>
        <v>3</v>
      </c>
      <c r="J1305" s="11" t="n">
        <v>0</v>
      </c>
      <c r="K1305" s="11" t="n">
        <v>1</v>
      </c>
      <c r="L1305" s="5" t="n">
        <v>1</v>
      </c>
      <c r="M1305" s="5"/>
      <c r="N1305" s="5"/>
      <c r="O1305" s="11"/>
      <c r="P1305" s="11" t="n">
        <v>1</v>
      </c>
      <c r="Q1305" s="11"/>
      <c r="R1305" s="5"/>
      <c r="S1305" s="11"/>
      <c r="T1305" s="11"/>
      <c r="U1305" s="5"/>
      <c r="V1305" s="11"/>
      <c r="W1305" s="5"/>
      <c r="X1305" s="5"/>
      <c r="Y1305" s="5"/>
      <c r="Z1305" s="5"/>
      <c r="AA1305" s="5"/>
      <c r="AB1305" s="5"/>
    </row>
    <row r="1306" customFormat="false" ht="15.75" hidden="false" customHeight="false" outlineLevel="0" collapsed="false">
      <c r="A1306" s="5" t="s">
        <v>2859</v>
      </c>
      <c r="B1306" s="5" t="s">
        <v>2907</v>
      </c>
      <c r="C1306" s="5" t="s">
        <v>2910</v>
      </c>
      <c r="D1306" s="5"/>
      <c r="E1306" s="5"/>
      <c r="F1306" s="5"/>
      <c r="G1306" s="5"/>
      <c r="H1306" s="5" t="n">
        <f aca="false">(COUNTIF(J1306:EC1306,"=0")+COUNTIF(J1306:EC1306,"=1"))</f>
        <v>2</v>
      </c>
      <c r="I1306" s="15" t="n">
        <f aca="false">IFERROR(ROUND(10-AVERAGE(J1306:EC1306)*10,0),0)</f>
        <v>0</v>
      </c>
      <c r="J1306" s="5"/>
      <c r="K1306" s="5"/>
      <c r="L1306" s="5" t="n">
        <v>1</v>
      </c>
      <c r="M1306" s="5"/>
      <c r="N1306" s="5"/>
      <c r="O1306" s="5"/>
      <c r="P1306" s="5" t="n">
        <v>1</v>
      </c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customFormat="false" ht="15.75" hidden="false" customHeight="false" outlineLevel="0" collapsed="false">
      <c r="A1307" s="5" t="s">
        <v>2859</v>
      </c>
      <c r="B1307" s="5" t="s">
        <v>2911</v>
      </c>
      <c r="C1307" s="5" t="s">
        <v>2912</v>
      </c>
      <c r="D1307" s="5"/>
      <c r="E1307" s="5"/>
      <c r="F1307" s="5"/>
      <c r="G1307" s="9" t="s">
        <v>2913</v>
      </c>
      <c r="H1307" s="5" t="n">
        <f aca="false">(COUNTIF(J1307:EC1307,"=0")+COUNTIF(J1307:EC1307,"=1"))</f>
        <v>9</v>
      </c>
      <c r="I1307" s="19" t="n">
        <f aca="false">IFERROR(ROUND(10-AVERAGE(J1307:EC1307)*10,0),0)</f>
        <v>4</v>
      </c>
      <c r="J1307" s="11" t="n">
        <v>0</v>
      </c>
      <c r="K1307" s="11" t="n">
        <v>0</v>
      </c>
      <c r="L1307" s="5" t="n">
        <v>1</v>
      </c>
      <c r="M1307" s="5"/>
      <c r="N1307" s="5"/>
      <c r="O1307" s="11" t="n">
        <v>0</v>
      </c>
      <c r="P1307" s="11" t="n">
        <v>1</v>
      </c>
      <c r="Q1307" s="11" t="n">
        <v>1</v>
      </c>
      <c r="R1307" s="5"/>
      <c r="S1307" s="11" t="n">
        <v>0</v>
      </c>
      <c r="T1307" s="11" t="n">
        <v>1</v>
      </c>
      <c r="U1307" s="5"/>
      <c r="V1307" s="11" t="n">
        <v>1</v>
      </c>
      <c r="W1307" s="5"/>
      <c r="X1307" s="5"/>
      <c r="Y1307" s="5"/>
      <c r="Z1307" s="5"/>
      <c r="AA1307" s="5"/>
      <c r="AB1307" s="5"/>
    </row>
    <row r="1308" customFormat="false" ht="15.75" hidden="false" customHeight="false" outlineLevel="0" collapsed="false">
      <c r="A1308" s="5" t="s">
        <v>2859</v>
      </c>
      <c r="B1308" s="5" t="s">
        <v>2911</v>
      </c>
      <c r="C1308" s="5" t="s">
        <v>2914</v>
      </c>
      <c r="D1308" s="5"/>
      <c r="E1308" s="5"/>
      <c r="F1308" s="5"/>
      <c r="G1308" s="9" t="s">
        <v>2915</v>
      </c>
      <c r="H1308" s="5" t="n">
        <f aca="false">(COUNTIF(J1308:EC1308,"=0")+COUNTIF(J1308:EC1308,"=1"))</f>
        <v>12</v>
      </c>
      <c r="I1308" s="13" t="n">
        <f aca="false">IFERROR(ROUND(10-AVERAGE(J1308:EC1308)*10,0),0)</f>
        <v>2</v>
      </c>
      <c r="J1308" s="11" t="n">
        <v>1</v>
      </c>
      <c r="K1308" s="11" t="n">
        <v>1</v>
      </c>
      <c r="L1308" s="11" t="n">
        <v>1</v>
      </c>
      <c r="M1308" s="5"/>
      <c r="N1308" s="11" t="n">
        <v>1</v>
      </c>
      <c r="O1308" s="11" t="n">
        <v>1</v>
      </c>
      <c r="P1308" s="11" t="n">
        <v>1</v>
      </c>
      <c r="Q1308" s="11" t="n">
        <v>1</v>
      </c>
      <c r="R1308" s="11" t="n">
        <v>1</v>
      </c>
      <c r="S1308" s="11" t="n">
        <v>0</v>
      </c>
      <c r="T1308" s="11" t="n">
        <v>1</v>
      </c>
      <c r="U1308" s="5"/>
      <c r="V1308" s="11" t="n">
        <v>1</v>
      </c>
      <c r="W1308" s="5"/>
      <c r="X1308" s="5"/>
      <c r="Y1308" s="5"/>
      <c r="Z1308" s="5"/>
      <c r="AA1308" s="5"/>
      <c r="AB1308" s="11" t="n">
        <v>0</v>
      </c>
    </row>
    <row r="1309" customFormat="false" ht="15.75" hidden="false" customHeight="false" outlineLevel="0" collapsed="false">
      <c r="A1309" s="5" t="s">
        <v>2859</v>
      </c>
      <c r="B1309" s="5" t="s">
        <v>2916</v>
      </c>
      <c r="C1309" s="5" t="s">
        <v>2917</v>
      </c>
      <c r="D1309" s="5"/>
      <c r="E1309" s="5"/>
      <c r="F1309" s="5"/>
      <c r="G1309" s="9" t="s">
        <v>2918</v>
      </c>
      <c r="H1309" s="5" t="n">
        <f aca="false">(COUNTIF(J1309:EC1309,"=0")+COUNTIF(J1309:EC1309,"=1"))</f>
        <v>8</v>
      </c>
      <c r="I1309" s="21" t="n">
        <f aca="false">IFERROR(ROUND(10-AVERAGE(J1309:EC1309)*10,0),0)</f>
        <v>3</v>
      </c>
      <c r="J1309" s="11" t="n">
        <v>0</v>
      </c>
      <c r="K1309" s="11" t="n">
        <v>1</v>
      </c>
      <c r="L1309" s="5" t="n">
        <v>1</v>
      </c>
      <c r="M1309" s="5"/>
      <c r="N1309" s="5"/>
      <c r="O1309" s="5"/>
      <c r="P1309" s="11" t="n">
        <v>1</v>
      </c>
      <c r="Q1309" s="11" t="n">
        <v>1</v>
      </c>
      <c r="R1309" s="5"/>
      <c r="S1309" s="5"/>
      <c r="T1309" s="11" t="n">
        <v>0</v>
      </c>
      <c r="U1309" s="5"/>
      <c r="V1309" s="11" t="n">
        <v>1</v>
      </c>
      <c r="W1309" s="5"/>
      <c r="X1309" s="5"/>
      <c r="Y1309" s="5"/>
      <c r="Z1309" s="5"/>
      <c r="AA1309" s="5"/>
      <c r="AB1309" s="5"/>
      <c r="AC1309" s="5"/>
      <c r="AD1309" s="5"/>
      <c r="AF1309" s="5" t="n">
        <v>1</v>
      </c>
      <c r="AH1309" s="5"/>
      <c r="AI1309" s="5"/>
    </row>
    <row r="1310" customFormat="false" ht="15.75" hidden="false" customHeight="false" outlineLevel="0" collapsed="false">
      <c r="A1310" s="5" t="s">
        <v>2859</v>
      </c>
      <c r="B1310" s="5" t="s">
        <v>2911</v>
      </c>
      <c r="C1310" s="5" t="s">
        <v>2919</v>
      </c>
      <c r="D1310" s="5"/>
      <c r="E1310" s="5"/>
      <c r="F1310" s="5"/>
      <c r="G1310" s="9" t="s">
        <v>2920</v>
      </c>
      <c r="H1310" s="5" t="n">
        <f aca="false">(COUNTIF(J1310:EC1310,"=0")+COUNTIF(J1310:EC1310,"=1"))</f>
        <v>10</v>
      </c>
      <c r="I1310" s="13" t="n">
        <f aca="false">IFERROR(ROUND(10-AVERAGE(J1310:EC1310)*10,0),0)</f>
        <v>2</v>
      </c>
      <c r="J1310" s="11" t="n">
        <v>1</v>
      </c>
      <c r="K1310" s="11" t="n">
        <v>1</v>
      </c>
      <c r="L1310" s="11" t="n">
        <v>1</v>
      </c>
      <c r="M1310" s="5"/>
      <c r="N1310" s="5"/>
      <c r="O1310" s="11" t="n">
        <v>0</v>
      </c>
      <c r="P1310" s="11" t="n">
        <v>1</v>
      </c>
      <c r="Q1310" s="11" t="n">
        <v>1</v>
      </c>
      <c r="R1310" s="11" t="n">
        <v>1</v>
      </c>
      <c r="S1310" s="11" t="n">
        <v>0</v>
      </c>
      <c r="T1310" s="11" t="n">
        <v>1</v>
      </c>
      <c r="U1310" s="5"/>
      <c r="V1310" s="11" t="n">
        <v>1</v>
      </c>
      <c r="W1310" s="5"/>
      <c r="X1310" s="5"/>
      <c r="Y1310" s="5"/>
      <c r="Z1310" s="5"/>
      <c r="AA1310" s="5"/>
      <c r="AB1310" s="5"/>
    </row>
    <row r="1311" customFormat="false" ht="15.75" hidden="false" customHeight="false" outlineLevel="0" collapsed="false">
      <c r="A1311" s="5" t="s">
        <v>2859</v>
      </c>
      <c r="B1311" s="5" t="s">
        <v>2921</v>
      </c>
      <c r="C1311" s="5" t="s">
        <v>2922</v>
      </c>
      <c r="D1311" s="5"/>
      <c r="E1311" s="5"/>
      <c r="F1311" s="5"/>
      <c r="G1311" s="5"/>
      <c r="H1311" s="5" t="n">
        <f aca="false">(COUNTIF(J1311:EC1311,"=0")+COUNTIF(J1311:EC1311,"=1"))</f>
        <v>9</v>
      </c>
      <c r="I1311" s="15" t="n">
        <f aca="false">IFERROR(ROUND(10-AVERAGE(J1311:EC1311)*10,0),0)</f>
        <v>6</v>
      </c>
      <c r="J1311" s="11" t="n">
        <v>0</v>
      </c>
      <c r="K1311" s="11" t="n">
        <v>0</v>
      </c>
      <c r="L1311" s="11" t="n">
        <v>1</v>
      </c>
      <c r="M1311" s="5"/>
      <c r="N1311" s="5"/>
      <c r="O1311" s="11" t="n">
        <v>0</v>
      </c>
      <c r="P1311" s="11" t="n">
        <v>1</v>
      </c>
      <c r="Q1311" s="11" t="n">
        <v>1</v>
      </c>
      <c r="R1311" s="5"/>
      <c r="S1311" s="11" t="n">
        <v>0</v>
      </c>
      <c r="T1311" s="11" t="n">
        <v>0</v>
      </c>
      <c r="U1311" s="5"/>
      <c r="V1311" s="11" t="n">
        <v>1</v>
      </c>
      <c r="W1311" s="5"/>
      <c r="X1311" s="5"/>
      <c r="Y1311" s="5"/>
      <c r="Z1311" s="5"/>
      <c r="AA1311" s="5"/>
      <c r="AB1311" s="5"/>
    </row>
    <row r="1312" customFormat="false" ht="15.75" hidden="false" customHeight="false" outlineLevel="0" collapsed="false">
      <c r="A1312" s="5" t="s">
        <v>2859</v>
      </c>
      <c r="B1312" s="5" t="s">
        <v>2921</v>
      </c>
      <c r="C1312" s="5" t="s">
        <v>2923</v>
      </c>
      <c r="D1312" s="5"/>
      <c r="E1312" s="5"/>
      <c r="F1312" s="5"/>
      <c r="G1312" s="5"/>
      <c r="H1312" s="5" t="n">
        <f aca="false">(COUNTIF(J1312:EC1312,"=0")+COUNTIF(J1312:EC1312,"=1"))</f>
        <v>9</v>
      </c>
      <c r="I1312" s="15" t="n">
        <f aca="false">IFERROR(ROUND(10-AVERAGE(J1312:EC1312)*10,0),0)</f>
        <v>6</v>
      </c>
      <c r="J1312" s="11" t="n">
        <v>0</v>
      </c>
      <c r="K1312" s="11" t="n">
        <v>0</v>
      </c>
      <c r="L1312" s="11" t="n">
        <v>1</v>
      </c>
      <c r="M1312" s="5"/>
      <c r="N1312" s="5"/>
      <c r="O1312" s="11" t="n">
        <v>0</v>
      </c>
      <c r="P1312" s="11" t="n">
        <v>1</v>
      </c>
      <c r="Q1312" s="11" t="n">
        <v>1</v>
      </c>
      <c r="R1312" s="5"/>
      <c r="S1312" s="11" t="n">
        <v>0</v>
      </c>
      <c r="T1312" s="11" t="n">
        <v>0</v>
      </c>
      <c r="U1312" s="5"/>
      <c r="V1312" s="11" t="n">
        <v>1</v>
      </c>
      <c r="W1312" s="5"/>
      <c r="X1312" s="5"/>
      <c r="Y1312" s="5"/>
      <c r="Z1312" s="5"/>
      <c r="AA1312" s="5"/>
      <c r="AB1312" s="5"/>
    </row>
    <row r="1313" customFormat="false" ht="15.75" hidden="false" customHeight="false" outlineLevel="0" collapsed="false">
      <c r="A1313" s="5" t="s">
        <v>2859</v>
      </c>
      <c r="B1313" s="5" t="s">
        <v>2921</v>
      </c>
      <c r="C1313" s="5" t="s">
        <v>2924</v>
      </c>
      <c r="D1313" s="5"/>
      <c r="E1313" s="5"/>
      <c r="F1313" s="5"/>
      <c r="G1313" s="9" t="s">
        <v>2925</v>
      </c>
      <c r="H1313" s="5" t="n">
        <f aca="false">(COUNTIF(J1313:EC1313,"=0")+COUNTIF(J1313:EC1313,"=1"))</f>
        <v>9</v>
      </c>
      <c r="I1313" s="15" t="n">
        <f aca="false">IFERROR(ROUND(10-AVERAGE(J1313:EC1313)*10,0),0)</f>
        <v>6</v>
      </c>
      <c r="J1313" s="11" t="n">
        <v>0</v>
      </c>
      <c r="K1313" s="11" t="n">
        <v>0</v>
      </c>
      <c r="L1313" s="11" t="n">
        <v>1</v>
      </c>
      <c r="M1313" s="5"/>
      <c r="N1313" s="5"/>
      <c r="O1313" s="11" t="n">
        <v>0</v>
      </c>
      <c r="P1313" s="11" t="n">
        <v>1</v>
      </c>
      <c r="Q1313" s="11" t="n">
        <v>1</v>
      </c>
      <c r="R1313" s="5"/>
      <c r="S1313" s="11" t="n">
        <v>0</v>
      </c>
      <c r="T1313" s="11" t="n">
        <v>0</v>
      </c>
      <c r="U1313" s="5"/>
      <c r="V1313" s="11" t="n">
        <v>1</v>
      </c>
      <c r="W1313" s="5"/>
      <c r="X1313" s="5"/>
      <c r="Y1313" s="5"/>
      <c r="Z1313" s="5"/>
      <c r="AA1313" s="5"/>
      <c r="AB1313" s="5"/>
    </row>
    <row r="1314" customFormat="false" ht="15.75" hidden="false" customHeight="false" outlineLevel="0" collapsed="false">
      <c r="A1314" s="5" t="s">
        <v>2859</v>
      </c>
      <c r="B1314" s="5" t="s">
        <v>2921</v>
      </c>
      <c r="C1314" s="5" t="s">
        <v>2926</v>
      </c>
      <c r="D1314" s="5" t="s">
        <v>2927</v>
      </c>
      <c r="E1314" s="9" t="s">
        <v>2928</v>
      </c>
      <c r="F1314" s="5"/>
      <c r="G1314" s="9" t="s">
        <v>2929</v>
      </c>
      <c r="H1314" s="5" t="n">
        <f aca="false">(COUNTIF(J1314:EC1314,"=0")+COUNTIF(J1314:EC1314,"=1"))</f>
        <v>8</v>
      </c>
      <c r="I1314" s="12" t="n">
        <f aca="false">IFERROR(ROUND(10-AVERAGE(J1314:EC1314)*10,0),0)</f>
        <v>8</v>
      </c>
      <c r="J1314" s="11" t="n">
        <v>0</v>
      </c>
      <c r="K1314" s="11" t="n">
        <v>0</v>
      </c>
      <c r="L1314" s="5"/>
      <c r="M1314" s="5"/>
      <c r="N1314" s="5"/>
      <c r="O1314" s="11" t="n">
        <v>0</v>
      </c>
      <c r="P1314" s="11" t="n">
        <v>1</v>
      </c>
      <c r="Q1314" s="11" t="n">
        <v>1</v>
      </c>
      <c r="R1314" s="5"/>
      <c r="S1314" s="11" t="n">
        <v>0</v>
      </c>
      <c r="T1314" s="11" t="n">
        <v>0</v>
      </c>
      <c r="U1314" s="5"/>
      <c r="V1314" s="11" t="n">
        <v>0</v>
      </c>
      <c r="W1314" s="5"/>
      <c r="X1314" s="5"/>
      <c r="Y1314" s="5"/>
      <c r="Z1314" s="5"/>
      <c r="AA1314" s="5"/>
      <c r="AB1314" s="5"/>
    </row>
    <row r="1315" customFormat="false" ht="15.75" hidden="false" customHeight="false" outlineLevel="0" collapsed="false">
      <c r="A1315" s="5" t="s">
        <v>2859</v>
      </c>
      <c r="B1315" s="5" t="s">
        <v>2930</v>
      </c>
      <c r="C1315" s="5" t="s">
        <v>2931</v>
      </c>
      <c r="D1315" s="5"/>
      <c r="E1315" s="5"/>
      <c r="F1315" s="5"/>
      <c r="G1315" s="9" t="s">
        <v>2932</v>
      </c>
      <c r="H1315" s="5" t="n">
        <f aca="false">(COUNTIF(J1315:EC1315,"=0")+COUNTIF(J1315:EC1315,"=1"))</f>
        <v>6</v>
      </c>
      <c r="I1315" s="16" t="n">
        <f aca="false">IFERROR(ROUND(10-AVERAGE(J1315:EC1315)*10,0),0)</f>
        <v>7</v>
      </c>
      <c r="J1315" s="11" t="n">
        <v>0</v>
      </c>
      <c r="K1315" s="11" t="n">
        <v>0</v>
      </c>
      <c r="L1315" s="11" t="n">
        <v>1</v>
      </c>
      <c r="M1315" s="5"/>
      <c r="N1315" s="5"/>
      <c r="O1315" s="5"/>
      <c r="P1315" s="11" t="n">
        <v>1</v>
      </c>
      <c r="Q1315" s="5"/>
      <c r="R1315" s="5"/>
      <c r="S1315" s="5"/>
      <c r="T1315" s="11" t="n">
        <v>0</v>
      </c>
      <c r="U1315" s="5"/>
      <c r="V1315" s="11" t="n">
        <v>0</v>
      </c>
      <c r="W1315" s="5"/>
      <c r="X1315" s="5"/>
      <c r="Y1315" s="5"/>
      <c r="Z1315" s="5"/>
      <c r="AA1315" s="5"/>
      <c r="AB1315" s="5"/>
    </row>
    <row r="1316" customFormat="false" ht="15.75" hidden="false" customHeight="false" outlineLevel="0" collapsed="false">
      <c r="A1316" s="5" t="s">
        <v>2859</v>
      </c>
      <c r="B1316" s="5" t="s">
        <v>2930</v>
      </c>
      <c r="C1316" s="5" t="s">
        <v>2933</v>
      </c>
      <c r="D1316" s="5" t="s">
        <v>2934</v>
      </c>
      <c r="E1316" s="5"/>
      <c r="F1316" s="5"/>
      <c r="G1316" s="14" t="s">
        <v>2935</v>
      </c>
      <c r="H1316" s="5" t="n">
        <f aca="false">(COUNTIF(J1316:EC1316,"=0")+COUNTIF(J1316:EC1316,"=1"))</f>
        <v>6</v>
      </c>
      <c r="I1316" s="12" t="n">
        <f aca="false">IFERROR(ROUND(10-AVERAGE(J1316:EC1316)*10,0),0)</f>
        <v>7</v>
      </c>
      <c r="J1316" s="11" t="n">
        <v>0</v>
      </c>
      <c r="K1316" s="11" t="n">
        <v>0</v>
      </c>
      <c r="L1316" s="5" t="n">
        <v>1</v>
      </c>
      <c r="M1316" s="5"/>
      <c r="N1316" s="5"/>
      <c r="O1316" s="5"/>
      <c r="P1316" s="11" t="n">
        <v>1</v>
      </c>
      <c r="Q1316" s="5"/>
      <c r="R1316" s="5"/>
      <c r="S1316" s="5"/>
      <c r="T1316" s="11" t="n">
        <v>0</v>
      </c>
      <c r="U1316" s="5"/>
      <c r="V1316" s="5"/>
      <c r="W1316" s="5"/>
      <c r="X1316" s="5"/>
      <c r="Y1316" s="5"/>
      <c r="Z1316" s="11" t="n">
        <v>0</v>
      </c>
      <c r="AA1316" s="5"/>
      <c r="AB1316" s="5"/>
    </row>
    <row r="1317" customFormat="false" ht="15.75" hidden="false" customHeight="false" outlineLevel="0" collapsed="false">
      <c r="A1317" s="5" t="s">
        <v>2859</v>
      </c>
      <c r="B1317" s="5" t="s">
        <v>2930</v>
      </c>
      <c r="C1317" s="5" t="s">
        <v>2936</v>
      </c>
      <c r="D1317" s="5"/>
      <c r="E1317" s="5"/>
      <c r="F1317" s="5"/>
      <c r="G1317" s="9" t="s">
        <v>2937</v>
      </c>
      <c r="H1317" s="5" t="n">
        <f aca="false">(COUNTIF(J1317:EC1317,"=0")+COUNTIF(J1317:EC1317,"=1"))</f>
        <v>6</v>
      </c>
      <c r="I1317" s="16" t="n">
        <f aca="false">IFERROR(ROUND(10-AVERAGE(J1317:EC1317)*10,0),0)</f>
        <v>7</v>
      </c>
      <c r="J1317" s="11" t="n">
        <v>0</v>
      </c>
      <c r="K1317" s="11" t="n">
        <v>0</v>
      </c>
      <c r="L1317" s="11" t="n">
        <v>1</v>
      </c>
      <c r="M1317" s="5"/>
      <c r="N1317" s="5"/>
      <c r="O1317" s="5"/>
      <c r="P1317" s="11" t="n">
        <v>1</v>
      </c>
      <c r="Q1317" s="5"/>
      <c r="R1317" s="5"/>
      <c r="S1317" s="5"/>
      <c r="T1317" s="11" t="n">
        <v>0</v>
      </c>
      <c r="U1317" s="5"/>
      <c r="V1317" s="11" t="n">
        <v>0</v>
      </c>
      <c r="W1317" s="5"/>
      <c r="X1317" s="5"/>
      <c r="Y1317" s="5"/>
      <c r="Z1317" s="5"/>
      <c r="AA1317" s="5"/>
      <c r="AB1317" s="5"/>
    </row>
    <row r="1318" customFormat="false" ht="15.75" hidden="false" customHeight="false" outlineLevel="0" collapsed="false">
      <c r="A1318" s="5" t="s">
        <v>2859</v>
      </c>
      <c r="B1318" s="5" t="s">
        <v>2930</v>
      </c>
      <c r="C1318" s="5" t="s">
        <v>2938</v>
      </c>
      <c r="D1318" s="5"/>
      <c r="E1318" s="5"/>
      <c r="F1318" s="5"/>
      <c r="G1318" s="14" t="s">
        <v>2939</v>
      </c>
      <c r="H1318" s="5" t="n">
        <f aca="false">(COUNTIF(J1318:EC1318,"=0")+COUNTIF(J1318:EC1318,"=1"))</f>
        <v>10</v>
      </c>
      <c r="I1318" s="13" t="n">
        <f aca="false">IFERROR(ROUND(10-AVERAGE(J1318:EC1318)*10,0),0)</f>
        <v>2</v>
      </c>
      <c r="J1318" s="11" t="n">
        <v>1</v>
      </c>
      <c r="K1318" s="11" t="n">
        <v>1</v>
      </c>
      <c r="L1318" s="11" t="n">
        <v>1</v>
      </c>
      <c r="M1318" s="5"/>
      <c r="N1318" s="5"/>
      <c r="O1318" s="11" t="n">
        <v>1</v>
      </c>
      <c r="P1318" s="11" t="n">
        <v>1</v>
      </c>
      <c r="Q1318" s="11" t="n">
        <v>1</v>
      </c>
      <c r="R1318" s="11" t="n">
        <v>1</v>
      </c>
      <c r="S1318" s="11" t="n">
        <v>0</v>
      </c>
      <c r="T1318" s="11" t="n">
        <v>0</v>
      </c>
      <c r="U1318" s="5"/>
      <c r="V1318" s="11" t="n">
        <v>1</v>
      </c>
      <c r="W1318" s="5"/>
      <c r="X1318" s="5"/>
      <c r="Y1318" s="5"/>
      <c r="Z1318" s="5"/>
      <c r="AA1318" s="5"/>
      <c r="AB1318" s="5"/>
    </row>
    <row r="1319" customFormat="false" ht="15.75" hidden="false" customHeight="false" outlineLevel="0" collapsed="false">
      <c r="A1319" s="5" t="s">
        <v>2859</v>
      </c>
      <c r="B1319" s="5" t="s">
        <v>2930</v>
      </c>
      <c r="C1319" s="5" t="s">
        <v>2940</v>
      </c>
      <c r="D1319" s="5"/>
      <c r="E1319" s="9" t="s">
        <v>2941</v>
      </c>
      <c r="F1319" s="5"/>
      <c r="G1319" s="9" t="s">
        <v>2942</v>
      </c>
      <c r="H1319" s="5" t="n">
        <f aca="false">(COUNTIF(J1319:EC1319,"=0")+COUNTIF(J1319:EC1319,"=1"))</f>
        <v>6</v>
      </c>
      <c r="I1319" s="12" t="n">
        <f aca="false">IFERROR(ROUND(10-AVERAGE(J1319:EC1319)*10,0),0)</f>
        <v>7</v>
      </c>
      <c r="J1319" s="11" t="n">
        <v>0</v>
      </c>
      <c r="K1319" s="11" t="n">
        <v>0</v>
      </c>
      <c r="L1319" s="5" t="n">
        <v>1</v>
      </c>
      <c r="M1319" s="5"/>
      <c r="N1319" s="5"/>
      <c r="O1319" s="5"/>
      <c r="P1319" s="11" t="n">
        <v>1</v>
      </c>
      <c r="Q1319" s="5"/>
      <c r="R1319" s="5"/>
      <c r="S1319" s="5"/>
      <c r="T1319" s="11" t="n">
        <v>0</v>
      </c>
      <c r="U1319" s="5"/>
      <c r="V1319" s="5"/>
      <c r="W1319" s="5"/>
      <c r="X1319" s="5"/>
      <c r="Y1319" s="5"/>
      <c r="Z1319" s="11" t="n">
        <v>0</v>
      </c>
      <c r="AA1319" s="5"/>
      <c r="AB1319" s="5"/>
    </row>
    <row r="1320" customFormat="false" ht="15.75" hidden="false" customHeight="false" outlineLevel="0" collapsed="false">
      <c r="A1320" s="5" t="s">
        <v>2859</v>
      </c>
      <c r="B1320" s="5" t="s">
        <v>2943</v>
      </c>
      <c r="C1320" s="5" t="s">
        <v>2944</v>
      </c>
      <c r="D1320" s="5"/>
      <c r="E1320" s="9" t="s">
        <v>2945</v>
      </c>
      <c r="F1320" s="5"/>
      <c r="G1320" s="9" t="s">
        <v>2946</v>
      </c>
      <c r="H1320" s="5" t="n">
        <f aca="false">(COUNTIF(J1320:EC1320,"=0")+COUNTIF(J1320:EC1320,"=1"))</f>
        <v>6</v>
      </c>
      <c r="I1320" s="12" t="n">
        <f aca="false">IFERROR(ROUND(10-AVERAGE(J1320:EC1320)*10,0),0)</f>
        <v>8</v>
      </c>
      <c r="J1320" s="11" t="n">
        <v>0</v>
      </c>
      <c r="K1320" s="11" t="n">
        <v>0</v>
      </c>
      <c r="L1320" s="5"/>
      <c r="M1320" s="5"/>
      <c r="N1320" s="5"/>
      <c r="O1320" s="5"/>
      <c r="P1320" s="11" t="n">
        <v>1</v>
      </c>
      <c r="Q1320" s="5"/>
      <c r="R1320" s="5"/>
      <c r="S1320" s="5"/>
      <c r="T1320" s="11" t="n">
        <v>0</v>
      </c>
      <c r="U1320" s="5"/>
      <c r="V1320" s="5"/>
      <c r="W1320" s="5"/>
      <c r="X1320" s="5"/>
      <c r="Y1320" s="5"/>
      <c r="Z1320" s="11" t="n">
        <v>0</v>
      </c>
      <c r="AA1320" s="11" t="n">
        <v>0</v>
      </c>
      <c r="AB1320" s="5"/>
    </row>
    <row r="1321" customFormat="false" ht="15.75" hidden="false" customHeight="false" outlineLevel="0" collapsed="false">
      <c r="A1321" s="5" t="s">
        <v>2859</v>
      </c>
      <c r="B1321" s="5" t="s">
        <v>2943</v>
      </c>
      <c r="C1321" s="5" t="s">
        <v>2881</v>
      </c>
      <c r="D1321" s="5"/>
      <c r="E1321" s="5"/>
      <c r="F1321" s="5"/>
      <c r="G1321" s="9" t="s">
        <v>2947</v>
      </c>
      <c r="H1321" s="5" t="n">
        <f aca="false">(COUNTIF(J1321:EC1321,"=0")+COUNTIF(J1321:EC1321,"=1"))</f>
        <v>6</v>
      </c>
      <c r="I1321" s="23" t="n">
        <f aca="false">IFERROR(ROUND(10-AVERAGE(J1321:EC1321)*10,0),0)</f>
        <v>3</v>
      </c>
      <c r="J1321" s="11" t="n">
        <v>0</v>
      </c>
      <c r="K1321" s="11" t="n">
        <v>1</v>
      </c>
      <c r="L1321" s="5" t="n">
        <v>1</v>
      </c>
      <c r="M1321" s="5"/>
      <c r="N1321" s="5"/>
      <c r="O1321" s="5"/>
      <c r="P1321" s="11" t="n">
        <v>1</v>
      </c>
      <c r="Q1321" s="5"/>
      <c r="R1321" s="5"/>
      <c r="S1321" s="5"/>
      <c r="T1321" s="11" t="n">
        <v>1</v>
      </c>
      <c r="U1321" s="5"/>
      <c r="V1321" s="5"/>
      <c r="W1321" s="5"/>
      <c r="X1321" s="5"/>
      <c r="Y1321" s="5"/>
      <c r="Z1321" s="11" t="n">
        <v>0</v>
      </c>
      <c r="AA1321" s="5"/>
      <c r="AB1321" s="5"/>
    </row>
    <row r="1322" customFormat="false" ht="15.75" hidden="false" customHeight="false" outlineLevel="0" collapsed="false">
      <c r="A1322" s="5" t="s">
        <v>2859</v>
      </c>
      <c r="B1322" s="5" t="s">
        <v>2948</v>
      </c>
      <c r="C1322" s="5" t="s">
        <v>2949</v>
      </c>
      <c r="D1322" s="5"/>
      <c r="E1322" s="5"/>
      <c r="F1322" s="5"/>
      <c r="G1322" s="9" t="s">
        <v>2950</v>
      </c>
      <c r="H1322" s="5" t="n">
        <f aca="false">(COUNTIF(J1322:EC1322,"=0")+COUNTIF(J1322:EC1322,"=1"))</f>
        <v>7</v>
      </c>
      <c r="I1322" s="16" t="n">
        <f aca="false">IFERROR(ROUND(10-AVERAGE(J1322:EC1322)*10,0),0)</f>
        <v>6</v>
      </c>
      <c r="J1322" s="11" t="n">
        <v>0</v>
      </c>
      <c r="K1322" s="11" t="n">
        <v>0</v>
      </c>
      <c r="L1322" s="5" t="n">
        <v>1</v>
      </c>
      <c r="M1322" s="5"/>
      <c r="N1322" s="5"/>
      <c r="O1322" s="5"/>
      <c r="P1322" s="11" t="n">
        <v>1</v>
      </c>
      <c r="Q1322" s="5"/>
      <c r="R1322" s="5"/>
      <c r="S1322" s="5"/>
      <c r="T1322" s="11" t="n">
        <v>0</v>
      </c>
      <c r="U1322" s="5"/>
      <c r="V1322" s="11" t="n">
        <v>1</v>
      </c>
      <c r="W1322" s="5"/>
      <c r="X1322" s="5"/>
      <c r="Y1322" s="5"/>
      <c r="Z1322" s="11" t="n">
        <v>0</v>
      </c>
      <c r="AA1322" s="5"/>
      <c r="AB1322" s="5"/>
    </row>
    <row r="1323" customFormat="false" ht="15.75" hidden="false" customHeight="false" outlineLevel="0" collapsed="false">
      <c r="A1323" s="5" t="s">
        <v>2859</v>
      </c>
      <c r="B1323" s="5" t="s">
        <v>2951</v>
      </c>
      <c r="C1323" s="5" t="s">
        <v>2952</v>
      </c>
      <c r="D1323" s="5"/>
      <c r="E1323" s="9" t="s">
        <v>2953</v>
      </c>
      <c r="F1323" s="5"/>
      <c r="G1323" s="9" t="s">
        <v>2954</v>
      </c>
      <c r="H1323" s="5" t="n">
        <f aca="false">(COUNTIF(J1323:EC1323,"=0")+COUNTIF(J1323:EC1323,"=1"))</f>
        <v>6</v>
      </c>
      <c r="I1323" s="12" t="n">
        <f aca="false">IFERROR(ROUND(10-AVERAGE(J1323:EC1323)*10,0),0)</f>
        <v>8</v>
      </c>
      <c r="J1323" s="11" t="n">
        <v>0</v>
      </c>
      <c r="K1323" s="11" t="n">
        <v>0</v>
      </c>
      <c r="L1323" s="5"/>
      <c r="M1323" s="5"/>
      <c r="N1323" s="5"/>
      <c r="O1323" s="5"/>
      <c r="P1323" s="11" t="n">
        <v>1</v>
      </c>
      <c r="Q1323" s="5"/>
      <c r="R1323" s="5"/>
      <c r="S1323" s="5"/>
      <c r="T1323" s="11" t="n">
        <v>0</v>
      </c>
      <c r="U1323" s="5"/>
      <c r="V1323" s="11" t="n">
        <v>0</v>
      </c>
      <c r="W1323" s="5"/>
      <c r="X1323" s="5"/>
      <c r="Y1323" s="5"/>
      <c r="Z1323" s="11" t="n">
        <v>0</v>
      </c>
      <c r="AA1323" s="5"/>
      <c r="AB1323" s="5"/>
    </row>
    <row r="1324" customFormat="false" ht="15.75" hidden="false" customHeight="false" outlineLevel="0" collapsed="false">
      <c r="A1324" s="5" t="s">
        <v>2859</v>
      </c>
      <c r="B1324" s="5" t="s">
        <v>2955</v>
      </c>
      <c r="C1324" s="5" t="s">
        <v>2887</v>
      </c>
      <c r="D1324" s="5"/>
      <c r="E1324" s="9" t="s">
        <v>2956</v>
      </c>
      <c r="F1324" s="5"/>
      <c r="G1324" s="9" t="s">
        <v>2957</v>
      </c>
      <c r="H1324" s="5" t="n">
        <f aca="false">(COUNTIF(J1324:EC1324,"=0")+COUNTIF(J1324:EC1324,"=1"))</f>
        <v>6</v>
      </c>
      <c r="I1324" s="19" t="n">
        <f aca="false">IFERROR(ROUND(10-AVERAGE(J1324:EC1324)*10,0),0)</f>
        <v>5</v>
      </c>
      <c r="J1324" s="11" t="n">
        <v>1</v>
      </c>
      <c r="K1324" s="11" t="n">
        <v>0</v>
      </c>
      <c r="L1324" s="5"/>
      <c r="M1324" s="5"/>
      <c r="N1324" s="5"/>
      <c r="O1324" s="5"/>
      <c r="P1324" s="11" t="n">
        <v>1</v>
      </c>
      <c r="Q1324" s="5"/>
      <c r="R1324" s="5"/>
      <c r="S1324" s="5"/>
      <c r="T1324" s="11" t="n">
        <v>0</v>
      </c>
      <c r="U1324" s="5"/>
      <c r="V1324" s="11" t="n">
        <v>1</v>
      </c>
      <c r="W1324" s="5"/>
      <c r="X1324" s="5"/>
      <c r="Y1324" s="5"/>
      <c r="Z1324" s="11" t="n">
        <v>0</v>
      </c>
      <c r="AA1324" s="5"/>
      <c r="AB1324" s="5"/>
    </row>
    <row r="1325" customFormat="false" ht="15.75" hidden="false" customHeight="false" outlineLevel="0" collapsed="false">
      <c r="A1325" s="5" t="s">
        <v>2958</v>
      </c>
      <c r="B1325" s="5" t="s">
        <v>2958</v>
      </c>
      <c r="C1325" s="5" t="s">
        <v>2959</v>
      </c>
      <c r="D1325" s="5"/>
      <c r="E1325" s="5"/>
      <c r="F1325" s="5"/>
      <c r="G1325" s="9" t="s">
        <v>2960</v>
      </c>
      <c r="H1325" s="5" t="n">
        <f aca="false">(COUNTIF(J1325:EC1325,"=0")+COUNTIF(J1325:EC1325,"=1"))</f>
        <v>3</v>
      </c>
      <c r="I1325" s="19" t="n">
        <f aca="false">IFERROR(ROUND(10-AVERAGE(J1325:EC1325)*10,0),0)</f>
        <v>7</v>
      </c>
      <c r="J1325" s="5" t="n">
        <v>0</v>
      </c>
      <c r="K1325" s="11" t="n">
        <v>1</v>
      </c>
      <c r="L1325" s="5"/>
      <c r="M1325" s="5"/>
      <c r="N1325" s="5"/>
      <c r="O1325" s="5"/>
      <c r="P1325" s="11" t="n">
        <v>0</v>
      </c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customFormat="false" ht="15.75" hidden="false" customHeight="false" outlineLevel="0" collapsed="false">
      <c r="A1326" s="5" t="s">
        <v>2958</v>
      </c>
      <c r="B1326" s="5" t="s">
        <v>2958</v>
      </c>
      <c r="C1326" s="5" t="s">
        <v>2961</v>
      </c>
      <c r="D1326" s="5"/>
      <c r="E1326" s="5"/>
      <c r="F1326" s="5"/>
      <c r="G1326" s="9" t="s">
        <v>2962</v>
      </c>
      <c r="H1326" s="5" t="n">
        <f aca="false">(COUNTIF(J1326:EC1326,"=0")+COUNTIF(J1326:EC1326,"=1"))</f>
        <v>3</v>
      </c>
      <c r="I1326" s="19" t="n">
        <f aca="false">IFERROR(ROUND(10-AVERAGE(J1326:EC1326)*10,0),0)</f>
        <v>7</v>
      </c>
      <c r="J1326" s="5" t="n">
        <v>0</v>
      </c>
      <c r="K1326" s="11" t="n">
        <v>1</v>
      </c>
      <c r="L1326" s="5"/>
      <c r="M1326" s="5"/>
      <c r="N1326" s="5"/>
      <c r="O1326" s="5"/>
      <c r="P1326" s="11" t="n">
        <v>0</v>
      </c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customFormat="false" ht="15.75" hidden="false" customHeight="false" outlineLevel="0" collapsed="false">
      <c r="A1327" s="5" t="s">
        <v>2963</v>
      </c>
      <c r="B1327" s="5" t="s">
        <v>2963</v>
      </c>
      <c r="C1327" s="5" t="s">
        <v>2964</v>
      </c>
      <c r="D1327" s="5"/>
      <c r="E1327" s="5"/>
      <c r="F1327" s="5"/>
      <c r="G1327" s="5"/>
      <c r="H1327" s="5" t="n">
        <f aca="false">(COUNTIF(J1327:EC1327,"=0")+COUNTIF(J1327:EC1327,"=1"))</f>
        <v>9</v>
      </c>
      <c r="I1327" s="15" t="n">
        <f aca="false">IFERROR(ROUND(10-AVERAGE(J1327:EC1327)*10,0),0)</f>
        <v>6</v>
      </c>
      <c r="J1327" s="11" t="n">
        <v>1</v>
      </c>
      <c r="K1327" s="11" t="n">
        <v>0</v>
      </c>
      <c r="L1327" s="11" t="n">
        <v>0</v>
      </c>
      <c r="M1327" s="5"/>
      <c r="N1327" s="5"/>
      <c r="O1327" s="11" t="n">
        <v>1</v>
      </c>
      <c r="P1327" s="11" t="n">
        <v>1</v>
      </c>
      <c r="Q1327" s="11" t="n">
        <v>0</v>
      </c>
      <c r="R1327" s="5"/>
      <c r="S1327" s="5" t="n">
        <v>1</v>
      </c>
      <c r="T1327" s="11" t="n">
        <v>0</v>
      </c>
      <c r="U1327" s="5"/>
      <c r="V1327" s="5"/>
      <c r="W1327" s="5"/>
      <c r="X1327" s="5"/>
      <c r="Y1327" s="5"/>
      <c r="Z1327" s="5"/>
      <c r="AA1327" s="11" t="n">
        <v>0</v>
      </c>
      <c r="AB1327" s="5"/>
    </row>
    <row r="1328" customFormat="false" ht="15.75" hidden="false" customHeight="false" outlineLevel="0" collapsed="false">
      <c r="D1328" s="5"/>
      <c r="E1328" s="5"/>
      <c r="F1328" s="5"/>
      <c r="G1328" s="5"/>
      <c r="H1328" s="5" t="n">
        <f aca="false">(COUNTIF(J1328:EC1328,"=0")+COUNTIF(J1328:EC1328,"=1"))</f>
        <v>0</v>
      </c>
      <c r="I1328" s="12" t="n">
        <f aca="false">IFERROR(ROUND(10-AVERAGE(J1328:EC1328)*10,0),0)</f>
        <v>0</v>
      </c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customFormat="false" ht="15.75" hidden="false" customHeight="false" outlineLevel="0" collapsed="false">
      <c r="D1329" s="5"/>
      <c r="E1329" s="5"/>
      <c r="F1329" s="5"/>
      <c r="G1329" s="5"/>
      <c r="H1329" s="5" t="n">
        <f aca="false">(COUNTIF(J1329:EC1329,"=0")+COUNTIF(J1329:EC1329,"=1"))</f>
        <v>0</v>
      </c>
      <c r="I1329" s="16" t="n">
        <f aca="false">IFERROR(ROUND(10-AVERAGE(J1329:EC1329)*10,0),0)</f>
        <v>0</v>
      </c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customFormat="false" ht="15.75" hidden="false" customHeight="false" outlineLevel="0" collapsed="false">
      <c r="D1330" s="5"/>
      <c r="E1330" s="5"/>
      <c r="F1330" s="5"/>
      <c r="G1330" s="5"/>
      <c r="H1330" s="5" t="n">
        <f aca="false">(COUNTIF(J1330:EC1330,"=0")+COUNTIF(J1330:EC1330,"=1"))</f>
        <v>0</v>
      </c>
      <c r="I1330" s="12" t="n">
        <f aca="false">IFERROR(ROUND(10-AVERAGE(J1330:EC1330)*10,0),0)</f>
        <v>0</v>
      </c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customFormat="false" ht="15.75" hidden="false" customHeight="false" outlineLevel="0" collapsed="false">
      <c r="D1331" s="5"/>
      <c r="E1331" s="5"/>
      <c r="F1331" s="5"/>
      <c r="G1331" s="5"/>
      <c r="H1331" s="5" t="n">
        <f aca="false">(COUNTIF(J1331:EC1331,"=0")+COUNTIF(J1331:EC1331,"=1"))</f>
        <v>0</v>
      </c>
      <c r="I1331" s="12" t="n">
        <f aca="false">IFERROR(ROUND(10-AVERAGE(J1331:EC1331)*10,0),0)</f>
        <v>0</v>
      </c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customFormat="false" ht="15.75" hidden="false" customHeight="false" outlineLevel="0" collapsed="false">
      <c r="D1332" s="5"/>
      <c r="E1332" s="5"/>
      <c r="F1332" s="5"/>
      <c r="G1332" s="5"/>
      <c r="H1332" s="5" t="n">
        <f aca="false">(COUNTIF(J1332:EC1332,"=0")+COUNTIF(J1332:EC1332,"=1"))</f>
        <v>0</v>
      </c>
      <c r="I1332" s="23" t="n">
        <f aca="false">IFERROR(ROUND(10-AVERAGE(J1332:EC1332)*10,0),0)</f>
        <v>0</v>
      </c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customFormat="false" ht="15.75" hidden="false" customHeight="false" outlineLevel="0" collapsed="false">
      <c r="D1333" s="5"/>
      <c r="E1333" s="5"/>
      <c r="F1333" s="5"/>
      <c r="G1333" s="5"/>
      <c r="H1333" s="5" t="n">
        <f aca="false">(COUNTIF(J1333:EC1333,"=0")+COUNTIF(J1333:EC1333,"=1"))</f>
        <v>0</v>
      </c>
      <c r="I1333" s="16" t="n">
        <f aca="false">IFERROR(ROUND(10-AVERAGE(J1333:EC1333)*10,0),0)</f>
        <v>0</v>
      </c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customFormat="false" ht="15.75" hidden="false" customHeight="false" outlineLevel="0" collapsed="false">
      <c r="D1334" s="5"/>
      <c r="E1334" s="5"/>
      <c r="F1334" s="5"/>
      <c r="G1334" s="5"/>
      <c r="H1334" s="5" t="n">
        <f aca="false">(COUNTIF(J1334:EC1334,"=0")+COUNTIF(J1334:EC1334,"=1"))</f>
        <v>0</v>
      </c>
      <c r="I1334" s="12" t="n">
        <f aca="false">IFERROR(ROUND(10-AVERAGE(J1334:EC1334)*10,0),0)</f>
        <v>0</v>
      </c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customFormat="false" ht="15.75" hidden="false" customHeight="false" outlineLevel="0" collapsed="false">
      <c r="D1335" s="5"/>
      <c r="E1335" s="5"/>
      <c r="F1335" s="5"/>
      <c r="G1335" s="5"/>
      <c r="H1335" s="5" t="n">
        <f aca="false">(COUNTIF(J1335:EC1335,"=0")+COUNTIF(J1335:EC1335,"=1"))</f>
        <v>0</v>
      </c>
      <c r="I1335" s="19" t="n">
        <f aca="false">IFERROR(ROUND(10-AVERAGE(J1335:EC1335)*10,0),0)</f>
        <v>0</v>
      </c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customFormat="false" ht="15.75" hidden="false" customHeight="false" outlineLevel="0" collapsed="false">
      <c r="D1336" s="5"/>
      <c r="E1336" s="5"/>
      <c r="F1336" s="5"/>
      <c r="G1336" s="5"/>
      <c r="H1336" s="5" t="n">
        <f aca="false">(COUNTIF(J1336:EC1336,"=0")+COUNTIF(J1336:EC1336,"=1"))</f>
        <v>0</v>
      </c>
      <c r="I1336" s="19" t="n">
        <f aca="false">IFERROR(ROUND(10-AVERAGE(J1336:EC1336)*10,0),0)</f>
        <v>0</v>
      </c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customFormat="false" ht="15.75" hidden="false" customHeight="false" outlineLevel="0" collapsed="false">
      <c r="D1337" s="5"/>
      <c r="E1337" s="5"/>
      <c r="F1337" s="5"/>
      <c r="G1337" s="5"/>
      <c r="H1337" s="5" t="n">
        <f aca="false">(COUNTIF(J1337:EC1337,"=0")+COUNTIF(J1337:EC1337,"=1"))</f>
        <v>0</v>
      </c>
      <c r="I1337" s="19" t="n">
        <f aca="false">IFERROR(ROUND(10-AVERAGE(J1337:EC1337)*10,0),0)</f>
        <v>0</v>
      </c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customFormat="false" ht="15.75" hidden="false" customHeight="false" outlineLevel="0" collapsed="false">
      <c r="D1338" s="5"/>
      <c r="E1338" s="5"/>
      <c r="F1338" s="5"/>
      <c r="G1338" s="5"/>
      <c r="H1338" s="5" t="n">
        <f aca="false">(COUNTIF(J1338:EC1338,"=0")+COUNTIF(J1338:EC1338,"=1"))</f>
        <v>0</v>
      </c>
      <c r="I1338" s="15" t="n">
        <f aca="false">IFERROR(ROUND(10-AVERAGE(J1338:EC1338)*10,0),0)</f>
        <v>0</v>
      </c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customFormat="false" ht="15.75" hidden="false" customHeight="false" outlineLevel="0" collapsed="false">
      <c r="D1339" s="5"/>
      <c r="E1339" s="5"/>
      <c r="F1339" s="5"/>
      <c r="G1339" s="5"/>
      <c r="H1339" s="5" t="n">
        <f aca="false">(COUNTIF(J1339:EC1339,"=0")+COUNTIF(J1339:EC1339,"=1"))</f>
        <v>0</v>
      </c>
      <c r="I1339" s="15" t="n">
        <f aca="false">IFERROR(ROUND(10-AVERAGE(J1339:EC1339)*10,0),0)</f>
        <v>0</v>
      </c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customFormat="false" ht="15.75" hidden="false" customHeight="false" outlineLevel="0" collapsed="false">
      <c r="D1340" s="5"/>
      <c r="E1340" s="5"/>
      <c r="F1340" s="5"/>
      <c r="G1340" s="5"/>
      <c r="H1340" s="5" t="n">
        <f aca="false">(COUNTIF(J1340:EC1340,"=0")+COUNTIF(J1340:EC1340,"=1"))</f>
        <v>0</v>
      </c>
      <c r="I1340" s="15" t="n">
        <f aca="false">IFERROR(ROUND(10-AVERAGE(J1340:EC1340)*10,0),0)</f>
        <v>0</v>
      </c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customFormat="false" ht="15.75" hidden="false" customHeight="false" outlineLevel="0" collapsed="false">
      <c r="D1341" s="5"/>
      <c r="E1341" s="5"/>
      <c r="F1341" s="5"/>
      <c r="G1341" s="5"/>
      <c r="H1341" s="5" t="n">
        <f aca="false">(COUNTIF(J1341:EC1341,"=0")+COUNTIF(J1341:EC1341,"=1"))</f>
        <v>0</v>
      </c>
      <c r="I1341" s="15" t="n">
        <f aca="false">IFERROR(ROUND(10-AVERAGE(J1341:EC1341)*10,0),0)</f>
        <v>0</v>
      </c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customFormat="false" ht="15.75" hidden="false" customHeight="false" outlineLevel="0" collapsed="false">
      <c r="D1342" s="5"/>
      <c r="E1342" s="5"/>
      <c r="F1342" s="5"/>
      <c r="G1342" s="5"/>
      <c r="H1342" s="5" t="n">
        <f aca="false">(COUNTIF(J1342:EC1342,"=0")+COUNTIF(J1342:EC1342,"=1"))</f>
        <v>0</v>
      </c>
      <c r="I1342" s="15" t="n">
        <f aca="false">IFERROR(ROUND(10-AVERAGE(J1342:EC1342)*10,0),0)</f>
        <v>0</v>
      </c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customFormat="false" ht="15.75" hidden="false" customHeight="false" outlineLevel="0" collapsed="false">
      <c r="D1343" s="5"/>
      <c r="E1343" s="5"/>
      <c r="F1343" s="5"/>
      <c r="G1343" s="5"/>
      <c r="H1343" s="5" t="n">
        <f aca="false">(COUNTIF(J1343:EC1343,"=0")+COUNTIF(J1343:EC1343,"=1"))</f>
        <v>0</v>
      </c>
      <c r="I1343" s="15" t="n">
        <f aca="false">IFERROR(ROUND(10-AVERAGE(J1343:EC1343)*10,0),0)</f>
        <v>0</v>
      </c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customFormat="false" ht="15.75" hidden="false" customHeight="false" outlineLevel="0" collapsed="false">
      <c r="D1344" s="5"/>
      <c r="E1344" s="5"/>
      <c r="F1344" s="5"/>
      <c r="G1344" s="5"/>
      <c r="H1344" s="5" t="n">
        <f aca="false">(COUNTIF(J1344:EC1344,"=0")+COUNTIF(J1344:EC1344,"=1"))</f>
        <v>0</v>
      </c>
      <c r="I1344" s="15" t="n">
        <f aca="false">IFERROR(ROUND(10-AVERAGE(J1344:EC1344)*10,0),0)</f>
        <v>0</v>
      </c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customFormat="false" ht="15.75" hidden="false" customHeight="false" outlineLevel="0" collapsed="false">
      <c r="D1345" s="5"/>
      <c r="E1345" s="5"/>
      <c r="F1345" s="5"/>
      <c r="G1345" s="5"/>
      <c r="H1345" s="5" t="n">
        <f aca="false">(COUNTIF(J1345:EC1345,"=0")+COUNTIF(J1345:EC1345,"=1"))</f>
        <v>0</v>
      </c>
      <c r="I1345" s="15" t="n">
        <f aca="false">IFERROR(ROUND(10-AVERAGE(J1345:EC1345)*10,0),0)</f>
        <v>0</v>
      </c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customFormat="false" ht="15.75" hidden="false" customHeight="false" outlineLevel="0" collapsed="false">
      <c r="D1346" s="5"/>
      <c r="E1346" s="5"/>
      <c r="F1346" s="5"/>
      <c r="G1346" s="5"/>
      <c r="H1346" s="5" t="n">
        <f aca="false">(COUNTIF(J1346:EC1346,"=0")+COUNTIF(J1346:EC1346,"=1"))</f>
        <v>0</v>
      </c>
      <c r="I1346" s="15" t="n">
        <f aca="false">IFERROR(ROUND(10-AVERAGE(J1346:EC1346)*10,0),0)</f>
        <v>0</v>
      </c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customFormat="false" ht="15.75" hidden="false" customHeight="false" outlineLevel="0" collapsed="false">
      <c r="D1347" s="5"/>
      <c r="E1347" s="5"/>
      <c r="F1347" s="5"/>
      <c r="G1347" s="5"/>
      <c r="H1347" s="5" t="n">
        <f aca="false">(COUNTIF(J1347:EC1347,"=0")+COUNTIF(J1347:EC1347,"=1"))</f>
        <v>0</v>
      </c>
      <c r="I1347" s="15" t="n">
        <f aca="false">IFERROR(ROUND(10-AVERAGE(J1347:EC1347)*10,0),0)</f>
        <v>0</v>
      </c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customFormat="false" ht="15.75" hidden="false" customHeight="false" outlineLevel="0" collapsed="false">
      <c r="D1348" s="5"/>
      <c r="E1348" s="5"/>
      <c r="F1348" s="5"/>
      <c r="G1348" s="5"/>
      <c r="H1348" s="5" t="n">
        <f aca="false">(COUNTIF(J1348:EC1348,"=0")+COUNTIF(J1348:EC1348,"=1"))</f>
        <v>0</v>
      </c>
      <c r="I1348" s="15" t="n">
        <f aca="false">IFERROR(ROUND(10-AVERAGE(J1348:EC1348)*10,0),0)</f>
        <v>0</v>
      </c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customFormat="false" ht="15.75" hidden="false" customHeight="false" outlineLevel="0" collapsed="false">
      <c r="D1349" s="5"/>
      <c r="E1349" s="5"/>
      <c r="F1349" s="5"/>
      <c r="G1349" s="5"/>
      <c r="H1349" s="5" t="n">
        <f aca="false">(COUNTIF(J1349:EC1349,"=0")+COUNTIF(J1349:EC1349,"=1"))</f>
        <v>0</v>
      </c>
      <c r="I1349" s="15" t="n">
        <f aca="false">IFERROR(ROUND(10-AVERAGE(J1349:EC1349)*10,0),0)</f>
        <v>0</v>
      </c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customFormat="false" ht="15.75" hidden="false" customHeight="false" outlineLevel="0" collapsed="false">
      <c r="D1350" s="5"/>
      <c r="E1350" s="5"/>
      <c r="F1350" s="5"/>
      <c r="G1350" s="5"/>
      <c r="H1350" s="5" t="n">
        <f aca="false">(COUNTIF(J1350:EC1350,"=0")+COUNTIF(J1350:EC1350,"=1"))</f>
        <v>0</v>
      </c>
      <c r="I1350" s="15" t="n">
        <f aca="false">IFERROR(ROUND(10-AVERAGE(J1350:EC1350)*10,0),0)</f>
        <v>0</v>
      </c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customFormat="false" ht="15.75" hidden="false" customHeight="false" outlineLevel="0" collapsed="false">
      <c r="D1351" s="5"/>
      <c r="E1351" s="5"/>
      <c r="F1351" s="5"/>
      <c r="G1351" s="5"/>
      <c r="H1351" s="5" t="n">
        <f aca="false">(COUNTIF(J1351:EC1351,"=0")+COUNTIF(J1351:EC1351,"=1"))</f>
        <v>0</v>
      </c>
      <c r="I1351" s="15" t="n">
        <f aca="false">IFERROR(ROUND(10-AVERAGE(J1351:EC1351)*10,0),0)</f>
        <v>0</v>
      </c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customFormat="false" ht="15.75" hidden="false" customHeight="false" outlineLevel="0" collapsed="false">
      <c r="D1352" s="5"/>
      <c r="E1352" s="5"/>
      <c r="F1352" s="5"/>
      <c r="G1352" s="5"/>
      <c r="H1352" s="5" t="n">
        <f aca="false">(COUNTIF(J1352:EC1352,"=0")+COUNTIF(J1352:EC1352,"=1"))</f>
        <v>0</v>
      </c>
      <c r="I1352" s="15" t="n">
        <f aca="false">IFERROR(ROUND(10-AVERAGE(J1352:EC1352)*10,0),0)</f>
        <v>0</v>
      </c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customFormat="false" ht="15.75" hidden="false" customHeight="false" outlineLevel="0" collapsed="false">
      <c r="D1353" s="5"/>
      <c r="E1353" s="5"/>
      <c r="F1353" s="5"/>
      <c r="G1353" s="5"/>
      <c r="H1353" s="5" t="n">
        <f aca="false">(COUNTIF(J1353:EC1353,"=0")+COUNTIF(J1353:EC1353,"=1"))</f>
        <v>0</v>
      </c>
      <c r="I1353" s="15" t="n">
        <f aca="false">IFERROR(ROUND(10-AVERAGE(J1353:EC1353)*10,0),0)</f>
        <v>0</v>
      </c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customFormat="false" ht="15.75" hidden="false" customHeight="false" outlineLevel="0" collapsed="false">
      <c r="D1354" s="5"/>
      <c r="E1354" s="5"/>
      <c r="F1354" s="5"/>
      <c r="G1354" s="5"/>
      <c r="H1354" s="5" t="n">
        <f aca="false">(COUNTIF(J1354:EC1354,"=0")+COUNTIF(J1354:EC1354,"=1"))</f>
        <v>0</v>
      </c>
      <c r="I1354" s="15" t="n">
        <f aca="false">IFERROR(ROUND(10-AVERAGE(J1354:EC1354)*10,0),0)</f>
        <v>0</v>
      </c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customFormat="false" ht="15.75" hidden="false" customHeight="false" outlineLevel="0" collapsed="false">
      <c r="D1355" s="5"/>
      <c r="E1355" s="5"/>
      <c r="F1355" s="5"/>
      <c r="G1355" s="5"/>
      <c r="H1355" s="5" t="n">
        <f aca="false">(COUNTIF(J1355:EC1355,"=0")+COUNTIF(J1355:EC1355,"=1"))</f>
        <v>0</v>
      </c>
      <c r="I1355" s="15" t="n">
        <f aca="false">IFERROR(ROUND(10-AVERAGE(J1355:EC1355)*10,0),0)</f>
        <v>0</v>
      </c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customFormat="false" ht="15.75" hidden="false" customHeight="false" outlineLevel="0" collapsed="false">
      <c r="D1356" s="5"/>
      <c r="E1356" s="5"/>
      <c r="F1356" s="5"/>
      <c r="G1356" s="5"/>
      <c r="H1356" s="5" t="n">
        <f aca="false">(COUNTIF(J1356:EC1356,"=0")+COUNTIF(J1356:EC1356,"=1"))</f>
        <v>0</v>
      </c>
      <c r="I1356" s="15" t="n">
        <f aca="false">IFERROR(ROUND(10-AVERAGE(J1356:EC1356)*10,0),0)</f>
        <v>0</v>
      </c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customFormat="false" ht="15.75" hidden="false" customHeight="false" outlineLevel="0" collapsed="false">
      <c r="D1357" s="5"/>
      <c r="E1357" s="5"/>
      <c r="F1357" s="5"/>
      <c r="G1357" s="5"/>
      <c r="H1357" s="5" t="n">
        <f aca="false">(COUNTIF(J1357:EC1357,"=0")+COUNTIF(J1357:EC1357,"=1"))</f>
        <v>0</v>
      </c>
      <c r="I1357" s="15" t="n">
        <f aca="false">IFERROR(ROUND(10-AVERAGE(J1357:EC1357)*10,0),0)</f>
        <v>0</v>
      </c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customFormat="false" ht="15.75" hidden="false" customHeight="false" outlineLevel="0" collapsed="false">
      <c r="D1358" s="5"/>
      <c r="E1358" s="5"/>
      <c r="F1358" s="5"/>
      <c r="G1358" s="5"/>
      <c r="H1358" s="11" t="n">
        <f aca="false">(COUNTIF(J1358:EC1358,"=0")+COUNTIF(J1358:EC1358,"=1"))</f>
        <v>0</v>
      </c>
      <c r="I1358" s="20" t="n">
        <f aca="false">IFERROR(ROUND(10-AVERAGE(J1358:EC1358)*10,0),0)</f>
        <v>0</v>
      </c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customFormat="false" ht="15.75" hidden="false" customHeight="false" outlineLevel="0" collapsed="false">
      <c r="D1359" s="5"/>
      <c r="E1359" s="5"/>
      <c r="F1359" s="5"/>
      <c r="G1359" s="5"/>
      <c r="H1359" s="11" t="n">
        <f aca="false">(COUNTIF(J1359:EC1359,"=0")+COUNTIF(J1359:EC1359,"=1"))</f>
        <v>0</v>
      </c>
      <c r="I1359" s="20" t="n">
        <f aca="false">IFERROR(ROUND(10-AVERAGE(J1359:EC1359)*10,0),0)</f>
        <v>0</v>
      </c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customFormat="false" ht="15.75" hidden="false" customHeight="false" outlineLevel="0" collapsed="false">
      <c r="D1360" s="5"/>
      <c r="E1360" s="5"/>
      <c r="F1360" s="5"/>
      <c r="G1360" s="5"/>
      <c r="H1360" s="11" t="n">
        <f aca="false">(COUNTIF(J1360:EC1360,"=0")+COUNTIF(J1360:EC1360,"=1"))</f>
        <v>0</v>
      </c>
      <c r="I1360" s="12" t="n">
        <f aca="false">IFERROR(ROUND(10-AVERAGE(J1360:EC1360)*10,0),0)</f>
        <v>0</v>
      </c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customFormat="false" ht="15.75" hidden="false" customHeight="false" outlineLevel="0" collapsed="false">
      <c r="D1361" s="5"/>
      <c r="E1361" s="5"/>
      <c r="F1361" s="5"/>
      <c r="G1361" s="5"/>
      <c r="H1361" s="11" t="n">
        <f aca="false">(COUNTIF(J1361:EC1361,"=0")+COUNTIF(J1361:EC1361,"=1"))</f>
        <v>0</v>
      </c>
      <c r="I1361" s="12" t="n">
        <f aca="false">IFERROR(ROUND(10-AVERAGE(J1361:EC1361)*10,0),0)</f>
        <v>0</v>
      </c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customFormat="false" ht="15.75" hidden="false" customHeight="false" outlineLevel="0" collapsed="false">
      <c r="D1362" s="5"/>
      <c r="E1362" s="5"/>
      <c r="F1362" s="5"/>
      <c r="G1362" s="5"/>
      <c r="H1362" s="11" t="n">
        <f aca="false">(COUNTIF(J1362:EC1362,"=0")+COUNTIF(J1362:EC1362,"=1"))</f>
        <v>0</v>
      </c>
      <c r="I1362" s="23" t="n">
        <f aca="false">IFERROR(ROUND(10-AVERAGE(J1362:EC1362)*10,0),0)</f>
        <v>0</v>
      </c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customFormat="false" ht="15.75" hidden="false" customHeight="false" outlineLevel="0" collapsed="false">
      <c r="D1363" s="5"/>
      <c r="E1363" s="5"/>
      <c r="F1363" s="5"/>
      <c r="G1363" s="5"/>
      <c r="H1363" s="11" t="n">
        <f aca="false">(COUNTIF(J1363:EC1363,"=0")+COUNTIF(J1363:EC1363,"=1"))</f>
        <v>0</v>
      </c>
      <c r="I1363" s="16" t="n">
        <f aca="false">IFERROR(ROUND(10-AVERAGE(J1363:EC1363)*10,0),0)</f>
        <v>0</v>
      </c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customFormat="false" ht="15.75" hidden="false" customHeight="false" outlineLevel="0" collapsed="false">
      <c r="D1364" s="5"/>
      <c r="E1364" s="5"/>
      <c r="F1364" s="5"/>
      <c r="G1364" s="5"/>
      <c r="H1364" s="11" t="n">
        <f aca="false">(COUNTIF(J1364:EC1364,"=0")+COUNTIF(J1364:EC1364,"=1"))</f>
        <v>0</v>
      </c>
      <c r="I1364" s="16" t="n">
        <f aca="false">IFERROR(ROUND(10-AVERAGE(J1364:EC1364)*10,0),0)</f>
        <v>0</v>
      </c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customFormat="false" ht="15.75" hidden="false" customHeight="false" outlineLevel="0" collapsed="false">
      <c r="D1365" s="5"/>
      <c r="E1365" s="5"/>
      <c r="F1365" s="5"/>
      <c r="G1365" s="5"/>
      <c r="H1365" s="11" t="n">
        <f aca="false">(COUNTIF(J1365:EC1365,"=0")+COUNTIF(J1365:EC1365,"=1"))</f>
        <v>0</v>
      </c>
      <c r="I1365" s="12" t="n">
        <f aca="false">IFERROR(ROUND(10-AVERAGE(J1365:EC1365)*10,0),0)</f>
        <v>0</v>
      </c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customFormat="false" ht="15.75" hidden="false" customHeight="false" outlineLevel="0" collapsed="false">
      <c r="D1366" s="5"/>
      <c r="E1366" s="5"/>
      <c r="F1366" s="5"/>
      <c r="G1366" s="5"/>
      <c r="H1366" s="11" t="n">
        <f aca="false">(COUNTIF(J1366:EC1366,"=0")+COUNTIF(J1366:EC1366,"=1"))</f>
        <v>0</v>
      </c>
      <c r="I1366" s="12" t="n">
        <f aca="false">IFERROR(ROUND(10-AVERAGE(J1366:EC1366)*10,0),0)</f>
        <v>0</v>
      </c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customFormat="false" ht="15.75" hidden="false" customHeight="false" outlineLevel="0" collapsed="false">
      <c r="D1367" s="5"/>
      <c r="E1367" s="5"/>
      <c r="F1367" s="5"/>
      <c r="G1367" s="5"/>
      <c r="H1367" s="11" t="n">
        <f aca="false">(COUNTIF(J1367:EC1367,"=0")+COUNTIF(J1367:EC1367,"=1"))</f>
        <v>0</v>
      </c>
      <c r="I1367" s="12" t="n">
        <f aca="false">IFERROR(ROUND(10-AVERAGE(J1367:EC1367)*10,0),0)</f>
        <v>0</v>
      </c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customFormat="false" ht="15.75" hidden="false" customHeight="false" outlineLevel="0" collapsed="false">
      <c r="D1368" s="5"/>
      <c r="E1368" s="5"/>
      <c r="F1368" s="5"/>
      <c r="G1368" s="5"/>
      <c r="H1368" s="11" t="n">
        <f aca="false">(COUNTIF(J1368:EC1368,"=0")+COUNTIF(J1368:EC1368,"=1"))</f>
        <v>0</v>
      </c>
      <c r="I1368" s="15" t="n">
        <f aca="false">IFERROR(ROUND(10-AVERAGE(J1368:EC1368)*10,0),0)</f>
        <v>0</v>
      </c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customFormat="false" ht="15.75" hidden="false" customHeight="false" outlineLevel="0" collapsed="false">
      <c r="D1369" s="5"/>
      <c r="E1369" s="5"/>
      <c r="F1369" s="5"/>
      <c r="G1369" s="5"/>
      <c r="H1369" s="11" t="n">
        <f aca="false">(COUNTIF(J1369:EC1369,"=0")+COUNTIF(J1369:EC1369,"=1"))</f>
        <v>0</v>
      </c>
      <c r="I1369" s="12" t="n">
        <f aca="false">IFERROR(ROUND(10-AVERAGE(J1369:EC1369)*10,0),0)</f>
        <v>0</v>
      </c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customFormat="false" ht="15.75" hidden="false" customHeight="false" outlineLevel="0" collapsed="false">
      <c r="D1370" s="5"/>
      <c r="E1370" s="5"/>
      <c r="F1370" s="5"/>
      <c r="G1370" s="5"/>
      <c r="H1370" s="11" t="n">
        <f aca="false">(COUNTIF(J1370:EC1370,"=0")+COUNTIF(J1370:EC1370,"=1"))</f>
        <v>0</v>
      </c>
      <c r="I1370" s="12" t="n">
        <f aca="false">IFERROR(ROUND(10-AVERAGE(J1370:EC1370)*10,0),0)</f>
        <v>0</v>
      </c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customFormat="false" ht="15.75" hidden="false" customHeight="false" outlineLevel="0" collapsed="false">
      <c r="D1371" s="5"/>
      <c r="E1371" s="5"/>
      <c r="F1371" s="5"/>
      <c r="G1371" s="5"/>
      <c r="H1371" s="11" t="n">
        <f aca="false">(COUNTIF(J1371:EC1371,"=0")+COUNTIF(J1371:EC1371,"=1"))</f>
        <v>0</v>
      </c>
      <c r="I1371" s="12" t="n">
        <f aca="false">IFERROR(ROUND(10-AVERAGE(J1371:EC1371)*10,0),0)</f>
        <v>0</v>
      </c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customFormat="false" ht="15.75" hidden="false" customHeight="false" outlineLevel="0" collapsed="false">
      <c r="D1372" s="5"/>
      <c r="E1372" s="5"/>
      <c r="F1372" s="5"/>
      <c r="G1372" s="5"/>
      <c r="H1372" s="11" t="n">
        <f aca="false">(COUNTIF(J1372:EC1372,"=0")+COUNTIF(J1372:EC1372,"=1"))</f>
        <v>0</v>
      </c>
      <c r="I1372" s="13" t="n">
        <f aca="false">IFERROR(ROUND(10-AVERAGE(J1372:EC1372)*10,0),0)</f>
        <v>0</v>
      </c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customFormat="false" ht="15.75" hidden="false" customHeight="false" outlineLevel="0" collapsed="false">
      <c r="D1373" s="5"/>
      <c r="E1373" s="5"/>
      <c r="F1373" s="5"/>
      <c r="G1373" s="5"/>
      <c r="H1373" s="11" t="n">
        <f aca="false">(COUNTIF(J1373:EC1373,"=0")+COUNTIF(J1373:EC1373,"=1"))</f>
        <v>0</v>
      </c>
      <c r="I1373" s="19" t="n">
        <f aca="false">IFERROR(ROUND(10-AVERAGE(J1373:EC1373)*10,0),0)</f>
        <v>0</v>
      </c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customFormat="false" ht="15.75" hidden="false" customHeight="false" outlineLevel="0" collapsed="false">
      <c r="D1374" s="5"/>
      <c r="E1374" s="5"/>
      <c r="F1374" s="5"/>
      <c r="G1374" s="5"/>
      <c r="H1374" s="11" t="n">
        <f aca="false">(COUNTIF(J1374:EC1374,"=0")+COUNTIF(J1374:EC1374,"=1"))</f>
        <v>0</v>
      </c>
      <c r="I1374" s="15" t="n">
        <f aca="false">IFERROR(ROUND(10-AVERAGE(J1374:EC1374)*10,0),0)</f>
        <v>0</v>
      </c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customFormat="false" ht="15.75" hidden="false" customHeight="false" outlineLevel="0" collapsed="false">
      <c r="D1375" s="5"/>
      <c r="E1375" s="5"/>
      <c r="F1375" s="5"/>
      <c r="G1375" s="5"/>
      <c r="H1375" s="11" t="n">
        <f aca="false">(COUNTIF(J1375:EC1375,"=0")+COUNTIF(J1375:EC1375,"=1"))</f>
        <v>0</v>
      </c>
      <c r="I1375" s="21" t="n">
        <f aca="false">IFERROR(ROUND(10-AVERAGE(J1375:EC1375)*10,0),0)</f>
        <v>0</v>
      </c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customFormat="false" ht="15.75" hidden="false" customHeight="false" outlineLevel="0" collapsed="false">
      <c r="D1376" s="5"/>
      <c r="E1376" s="5"/>
      <c r="F1376" s="5"/>
      <c r="G1376" s="5"/>
      <c r="H1376" s="11" t="n">
        <f aca="false">(COUNTIF(J1376:EC1376,"=0")+COUNTIF(J1376:EC1376,"=1"))</f>
        <v>0</v>
      </c>
      <c r="I1376" s="16" t="n">
        <f aca="false">IFERROR(ROUND(10-AVERAGE(J1376:EC1376)*10,0),0)</f>
        <v>0</v>
      </c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customFormat="false" ht="15.75" hidden="false" customHeight="false" outlineLevel="0" collapsed="false">
      <c r="D1377" s="5"/>
      <c r="E1377" s="5"/>
      <c r="F1377" s="5"/>
      <c r="G1377" s="5"/>
      <c r="H1377" s="11" t="n">
        <f aca="false">(COUNTIF(J1377:EC1377,"=0")+COUNTIF(J1377:EC1377,"=1"))</f>
        <v>0</v>
      </c>
      <c r="I1377" s="12" t="n">
        <f aca="false">IFERROR(ROUND(10-AVERAGE(J1377:EC1377)*10,0),0)</f>
        <v>0</v>
      </c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customFormat="false" ht="15.75" hidden="false" customHeight="false" outlineLevel="0" collapsed="false">
      <c r="D1378" s="5"/>
      <c r="E1378" s="5"/>
      <c r="F1378" s="5"/>
      <c r="G1378" s="5"/>
      <c r="H1378" s="11" t="n">
        <f aca="false">(COUNTIF(J1378:EC1378,"=0")+COUNTIF(J1378:EC1378,"=1"))</f>
        <v>0</v>
      </c>
      <c r="I1378" s="16" t="n">
        <f aca="false">IFERROR(ROUND(10-AVERAGE(J1378:EC1378)*10,0),0)</f>
        <v>0</v>
      </c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customFormat="false" ht="15.75" hidden="false" customHeight="false" outlineLevel="0" collapsed="false">
      <c r="D1379" s="5"/>
      <c r="E1379" s="5"/>
      <c r="F1379" s="5"/>
      <c r="G1379" s="5"/>
      <c r="H1379" s="11" t="n">
        <f aca="false">(COUNTIF(J1379:EC1379,"=0")+COUNTIF(J1379:EC1379,"=1"))</f>
        <v>0</v>
      </c>
      <c r="I1379" s="12" t="n">
        <f aca="false">IFERROR(ROUND(10-AVERAGE(J1379:EC1379)*10,0),0)</f>
        <v>0</v>
      </c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customFormat="false" ht="15.75" hidden="false" customHeight="false" outlineLevel="0" collapsed="false">
      <c r="D1380" s="5"/>
      <c r="E1380" s="5"/>
      <c r="F1380" s="5"/>
      <c r="G1380" s="5"/>
      <c r="H1380" s="11" t="n">
        <f aca="false">(COUNTIF(J1380:EC1380,"=0")+COUNTIF(J1380:EC1380,"=1"))</f>
        <v>0</v>
      </c>
      <c r="I1380" s="12" t="n">
        <f aca="false">IFERROR(ROUND(10-AVERAGE(J1380:EC1380)*10,0),0)</f>
        <v>0</v>
      </c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customFormat="false" ht="15.75" hidden="false" customHeight="false" outlineLevel="0" collapsed="false">
      <c r="D1381" s="5"/>
      <c r="E1381" s="5"/>
      <c r="F1381" s="5"/>
      <c r="G1381" s="5"/>
      <c r="H1381" s="11" t="n">
        <f aca="false">(COUNTIF(J1381:EC1381,"=0")+COUNTIF(J1381:EC1381,"=1"))</f>
        <v>0</v>
      </c>
      <c r="I1381" s="23" t="n">
        <f aca="false">IFERROR(ROUND(10-AVERAGE(J1381:EC1381)*10,0),0)</f>
        <v>0</v>
      </c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customFormat="false" ht="15.75" hidden="false" customHeight="false" outlineLevel="0" collapsed="false">
      <c r="D1382" s="5"/>
      <c r="E1382" s="5"/>
      <c r="F1382" s="5"/>
      <c r="G1382" s="5"/>
      <c r="H1382" s="11" t="n">
        <f aca="false">(COUNTIF(J1382:EC1382,"=0")+COUNTIF(J1382:EC1382,"=1"))</f>
        <v>0</v>
      </c>
      <c r="I1382" s="16" t="n">
        <f aca="false">IFERROR(ROUND(10-AVERAGE(J1382:EC1382)*10,0),0)</f>
        <v>0</v>
      </c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customFormat="false" ht="15.75" hidden="false" customHeight="false" outlineLevel="0" collapsed="false">
      <c r="D1383" s="5"/>
      <c r="E1383" s="5"/>
      <c r="F1383" s="5"/>
      <c r="G1383" s="5"/>
      <c r="H1383" s="11" t="n">
        <f aca="false">(COUNTIF(J1383:EC1383,"=0")+COUNTIF(J1383:EC1383,"=1"))</f>
        <v>0</v>
      </c>
      <c r="I1383" s="12" t="n">
        <f aca="false">IFERROR(ROUND(10-AVERAGE(J1383:EC1383)*10,0),0)</f>
        <v>0</v>
      </c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customFormat="false" ht="15.75" hidden="false" customHeight="false" outlineLevel="0" collapsed="false">
      <c r="D1384" s="5"/>
      <c r="E1384" s="5"/>
      <c r="F1384" s="5"/>
      <c r="G1384" s="5"/>
      <c r="H1384" s="11" t="n">
        <f aca="false">(COUNTIF(J1384:EC1384,"=0")+COUNTIF(J1384:EC1384,"=1"))</f>
        <v>0</v>
      </c>
      <c r="I1384" s="19" t="n">
        <f aca="false">IFERROR(ROUND(10-AVERAGE(J1384:EC1384)*10,0),0)</f>
        <v>0</v>
      </c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customFormat="false" ht="15.75" hidden="false" customHeight="false" outlineLevel="0" collapsed="false">
      <c r="D1385" s="5"/>
      <c r="E1385" s="5"/>
      <c r="F1385" s="5"/>
      <c r="G1385" s="5"/>
      <c r="H1385" s="11" t="n">
        <f aca="false">(COUNTIF(J1385:EC1385,"=0")+COUNTIF(J1385:EC1385,"=1"))</f>
        <v>0</v>
      </c>
      <c r="I1385" s="19" t="n">
        <f aca="false">IFERROR(ROUND(10-AVERAGE(J1385:EC1385)*10,0),0)</f>
        <v>0</v>
      </c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customFormat="false" ht="15.75" hidden="false" customHeight="false" outlineLevel="0" collapsed="false">
      <c r="D1386" s="5"/>
      <c r="E1386" s="5"/>
      <c r="F1386" s="5"/>
      <c r="G1386" s="5"/>
      <c r="H1386" s="11" t="n">
        <f aca="false">(COUNTIF(J1386:EC1386,"=0")+COUNTIF(J1386:EC1386,"=1"))</f>
        <v>0</v>
      </c>
      <c r="I1386" s="19" t="n">
        <f aca="false">IFERROR(ROUND(10-AVERAGE(J1386:EC1386)*10,0),0)</f>
        <v>0</v>
      </c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customFormat="false" ht="15.75" hidden="false" customHeight="false" outlineLevel="0" collapsed="false">
      <c r="D1387" s="5"/>
      <c r="E1387" s="5"/>
      <c r="F1387" s="5"/>
      <c r="G1387" s="5"/>
      <c r="H1387" s="11" t="n">
        <f aca="false">(COUNTIF(J1387:EC1387,"=0")+COUNTIF(J1387:EC1387,"=1"))</f>
        <v>0</v>
      </c>
      <c r="I1387" s="15" t="n">
        <f aca="false">IFERROR(ROUND(10-AVERAGE(J1387:EC1387)*10,0),0)</f>
        <v>0</v>
      </c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customFormat="false" ht="15.75" hidden="false" customHeight="false" outlineLevel="0" collapsed="false">
      <c r="D1388" s="5"/>
      <c r="E1388" s="5"/>
      <c r="F1388" s="5"/>
      <c r="G1388" s="5"/>
      <c r="H1388" s="11" t="n">
        <f aca="false">(COUNTIF(J1388:EC1388,"=0")+COUNTIF(J1388:EC1388,"=1"))</f>
        <v>0</v>
      </c>
      <c r="I1388" s="15" t="n">
        <f aca="false">IFERROR(ROUND(10-AVERAGE(J1388:EC1388)*10,0),0)</f>
        <v>0</v>
      </c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customFormat="false" ht="15.75" hidden="false" customHeight="false" outlineLevel="0" collapsed="false">
      <c r="D1389" s="5"/>
      <c r="E1389" s="5"/>
      <c r="F1389" s="5"/>
      <c r="G1389" s="5"/>
      <c r="H1389" s="11" t="n">
        <f aca="false">(COUNTIF(J1389:EC1389,"=0")+COUNTIF(J1389:EC1389,"=1"))</f>
        <v>0</v>
      </c>
      <c r="I1389" s="15" t="n">
        <f aca="false">IFERROR(ROUND(10-AVERAGE(J1389:EC1389)*10,0),0)</f>
        <v>0</v>
      </c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customFormat="false" ht="15.75" hidden="false" customHeight="false" outlineLevel="0" collapsed="false">
      <c r="D1390" s="5"/>
      <c r="E1390" s="5"/>
      <c r="F1390" s="5"/>
      <c r="G1390" s="5"/>
      <c r="H1390" s="11" t="n">
        <f aca="false">(COUNTIF(J1390:EC1390,"=0")+COUNTIF(J1390:EC1390,"=1"))</f>
        <v>0</v>
      </c>
      <c r="I1390" s="15" t="n">
        <f aca="false">IFERROR(ROUND(10-AVERAGE(J1390:EC1390)*10,0),0)</f>
        <v>0</v>
      </c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customFormat="false" ht="15.75" hidden="false" customHeight="false" outlineLevel="0" collapsed="false">
      <c r="D1391" s="5"/>
      <c r="E1391" s="5"/>
      <c r="F1391" s="5"/>
      <c r="G1391" s="5"/>
      <c r="H1391" s="11" t="n">
        <f aca="false">(COUNTIF(J1391:EC1391,"=0")+COUNTIF(J1391:EC1391,"=1"))</f>
        <v>0</v>
      </c>
      <c r="I1391" s="15" t="n">
        <f aca="false">IFERROR(ROUND(10-AVERAGE(J1391:EC1391)*10,0),0)</f>
        <v>0</v>
      </c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customFormat="false" ht="15.75" hidden="false" customHeight="false" outlineLevel="0" collapsed="false">
      <c r="D1392" s="5"/>
      <c r="E1392" s="5"/>
      <c r="F1392" s="5"/>
      <c r="G1392" s="5"/>
      <c r="H1392" s="11" t="n">
        <f aca="false">(COUNTIF(J1392:EC1392,"=0")+COUNTIF(J1392:EC1392,"=1"))</f>
        <v>0</v>
      </c>
      <c r="I1392" s="15" t="n">
        <f aca="false">IFERROR(ROUND(10-AVERAGE(J1392:EC1392)*10,0),0)</f>
        <v>0</v>
      </c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customFormat="false" ht="15.75" hidden="false" customHeight="false" outlineLevel="0" collapsed="false">
      <c r="D1393" s="5"/>
      <c r="E1393" s="5"/>
      <c r="F1393" s="5"/>
      <c r="G1393" s="5"/>
      <c r="H1393" s="11" t="n">
        <f aca="false">(COUNTIF(J1393:EC1393,"=0")+COUNTIF(J1393:EC1393,"=1"))</f>
        <v>0</v>
      </c>
      <c r="I1393" s="15" t="n">
        <f aca="false">IFERROR(ROUND(10-AVERAGE(J1393:EC1393)*10,0),0)</f>
        <v>0</v>
      </c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customFormat="false" ht="15.75" hidden="false" customHeight="false" outlineLevel="0" collapsed="false">
      <c r="D1394" s="5"/>
      <c r="E1394" s="5"/>
      <c r="F1394" s="5"/>
      <c r="G1394" s="5"/>
      <c r="H1394" s="11" t="n">
        <f aca="false">(COUNTIF(J1394:EC1394,"=0")+COUNTIF(J1394:EC1394,"=1"))</f>
        <v>0</v>
      </c>
      <c r="I1394" s="15" t="n">
        <f aca="false">IFERROR(ROUND(10-AVERAGE(J1394:EC1394)*10,0),0)</f>
        <v>0</v>
      </c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customFormat="false" ht="15.75" hidden="false" customHeight="false" outlineLevel="0" collapsed="false">
      <c r="D1395" s="5"/>
      <c r="E1395" s="5"/>
      <c r="F1395" s="5"/>
      <c r="G1395" s="5"/>
      <c r="H1395" s="11" t="n">
        <f aca="false">(COUNTIF(J1395:EC1395,"=0")+COUNTIF(J1395:EC1395,"=1"))</f>
        <v>0</v>
      </c>
      <c r="I1395" s="15" t="n">
        <f aca="false">IFERROR(ROUND(10-AVERAGE(J1395:EC1395)*10,0),0)</f>
        <v>0</v>
      </c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customFormat="false" ht="15.75" hidden="false" customHeight="false" outlineLevel="0" collapsed="false">
      <c r="D1396" s="5"/>
      <c r="E1396" s="5"/>
      <c r="F1396" s="5"/>
      <c r="G1396" s="5"/>
      <c r="H1396" s="11" t="n">
        <f aca="false">(COUNTIF(J1396:EC1396,"=0")+COUNTIF(J1396:EC1396,"=1"))</f>
        <v>0</v>
      </c>
      <c r="I1396" s="15" t="n">
        <f aca="false">IFERROR(ROUND(10-AVERAGE(J1396:EC1396)*10,0),0)</f>
        <v>0</v>
      </c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customFormat="false" ht="15.75" hidden="false" customHeight="false" outlineLevel="0" collapsed="false">
      <c r="D1397" s="5"/>
      <c r="E1397" s="5"/>
      <c r="F1397" s="5"/>
      <c r="G1397" s="5"/>
      <c r="H1397" s="11" t="n">
        <f aca="false">(COUNTIF(J1397:EC1397,"=0")+COUNTIF(J1397:EC1397,"=1"))</f>
        <v>0</v>
      </c>
      <c r="I1397" s="15" t="n">
        <f aca="false">IFERROR(ROUND(10-AVERAGE(J1397:EC1397)*10,0),0)</f>
        <v>0</v>
      </c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customFormat="false" ht="15.75" hidden="false" customHeight="false" outlineLevel="0" collapsed="false">
      <c r="D1398" s="5"/>
      <c r="E1398" s="5"/>
      <c r="F1398" s="5"/>
      <c r="G1398" s="5"/>
      <c r="H1398" s="11" t="n">
        <f aca="false">(COUNTIF(J1398:EC1398,"=0")+COUNTIF(J1398:EC1398,"=1"))</f>
        <v>0</v>
      </c>
      <c r="I1398" s="15" t="n">
        <f aca="false">IFERROR(ROUND(10-AVERAGE(J1398:EC1398)*10,0),0)</f>
        <v>0</v>
      </c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customFormat="false" ht="15.75" hidden="false" customHeight="false" outlineLevel="0" collapsed="false">
      <c r="D1399" s="5"/>
      <c r="E1399" s="5"/>
      <c r="F1399" s="5"/>
      <c r="G1399" s="5"/>
      <c r="H1399" s="11" t="n">
        <f aca="false">(COUNTIF(J1399:EC1399,"=0")+COUNTIF(J1399:EC1399,"=1"))</f>
        <v>0</v>
      </c>
      <c r="I1399" s="15" t="n">
        <f aca="false">IFERROR(ROUND(10-AVERAGE(J1399:EC1399)*10,0),0)</f>
        <v>0</v>
      </c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customFormat="false" ht="15.75" hidden="false" customHeight="false" outlineLevel="0" collapsed="false">
      <c r="D1400" s="5"/>
      <c r="E1400" s="5"/>
      <c r="F1400" s="5"/>
      <c r="G1400" s="5"/>
      <c r="H1400" s="11" t="n">
        <f aca="false">(COUNTIF(J1400:EC1400,"=0")+COUNTIF(J1400:EC1400,"=1"))</f>
        <v>0</v>
      </c>
      <c r="I1400" s="15" t="n">
        <f aca="false">IFERROR(ROUND(10-AVERAGE(J1400:EC1400)*10,0),0)</f>
        <v>0</v>
      </c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customFormat="false" ht="15.75" hidden="false" customHeight="false" outlineLevel="0" collapsed="false">
      <c r="D1401" s="5"/>
      <c r="E1401" s="5"/>
      <c r="F1401" s="5"/>
      <c r="G1401" s="5"/>
      <c r="H1401" s="11" t="n">
        <f aca="false">(COUNTIF(J1401:EC1401,"=0")+COUNTIF(J1401:EC1401,"=1"))</f>
        <v>0</v>
      </c>
      <c r="I1401" s="15" t="n">
        <f aca="false">IFERROR(ROUND(10-AVERAGE(J1401:EC1401)*10,0),0)</f>
        <v>0</v>
      </c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customFormat="false" ht="15.75" hidden="false" customHeight="false" outlineLevel="0" collapsed="false">
      <c r="D1402" s="5"/>
      <c r="E1402" s="5"/>
      <c r="F1402" s="5"/>
      <c r="G1402" s="5"/>
      <c r="H1402" s="11" t="n">
        <f aca="false">(COUNTIF(J1402:EC1402,"=0")+COUNTIF(J1402:EC1402,"=1"))</f>
        <v>0</v>
      </c>
      <c r="I1402" s="15" t="n">
        <f aca="false">IFERROR(ROUND(10-AVERAGE(J1402:EC1402)*10,0),0)</f>
        <v>0</v>
      </c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customFormat="false" ht="15.75" hidden="false" customHeight="false" outlineLevel="0" collapsed="false">
      <c r="D1403" s="5"/>
      <c r="E1403" s="5"/>
      <c r="F1403" s="5"/>
      <c r="G1403" s="5"/>
      <c r="H1403" s="11" t="n">
        <f aca="false">(COUNTIF(J1403:EC1403,"=0")+COUNTIF(J1403:EC1403,"=1"))</f>
        <v>0</v>
      </c>
      <c r="I1403" s="15" t="n">
        <f aca="false">IFERROR(ROUND(10-AVERAGE(J1403:EC1403)*10,0),0)</f>
        <v>0</v>
      </c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customFormat="false" ht="15.75" hidden="false" customHeight="false" outlineLevel="0" collapsed="false">
      <c r="D1404" s="5"/>
      <c r="E1404" s="5"/>
      <c r="F1404" s="5"/>
      <c r="G1404" s="5"/>
      <c r="H1404" s="11" t="n">
        <f aca="false">(COUNTIF(J1404:EC1404,"=0")+COUNTIF(J1404:EC1404,"=1"))</f>
        <v>0</v>
      </c>
      <c r="I1404" s="15" t="n">
        <f aca="false">IFERROR(ROUND(10-AVERAGE(J1404:EC1404)*10,0),0)</f>
        <v>0</v>
      </c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customFormat="false" ht="15.75" hidden="false" customHeight="false" outlineLevel="0" collapsed="false">
      <c r="D1405" s="5"/>
      <c r="E1405" s="5"/>
      <c r="F1405" s="5"/>
      <c r="G1405" s="5"/>
      <c r="H1405" s="11" t="n">
        <f aca="false">(COUNTIF(J1405:EC1405,"=0")+COUNTIF(J1405:EC1405,"=1"))</f>
        <v>0</v>
      </c>
      <c r="I1405" s="15" t="n">
        <f aca="false">IFERROR(ROUND(10-AVERAGE(J1405:EC1405)*10,0),0)</f>
        <v>0</v>
      </c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customFormat="false" ht="15.75" hidden="false" customHeight="false" outlineLevel="0" collapsed="false">
      <c r="D1406" s="5"/>
      <c r="E1406" s="5"/>
      <c r="F1406" s="5"/>
      <c r="G1406" s="5"/>
      <c r="H1406" s="11" t="n">
        <f aca="false">(COUNTIF(J1406:EC1406,"=0")+COUNTIF(J1406:EC1406,"=1"))</f>
        <v>0</v>
      </c>
      <c r="I1406" s="15" t="n">
        <f aca="false">IFERROR(ROUND(10-AVERAGE(J1406:EC1406)*10,0),0)</f>
        <v>0</v>
      </c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customFormat="false" ht="15.75" hidden="false" customHeight="false" outlineLevel="0" collapsed="false">
      <c r="D1407" s="5"/>
      <c r="E1407" s="5"/>
      <c r="F1407" s="5"/>
      <c r="G1407" s="5"/>
      <c r="H1407" s="11" t="n">
        <f aca="false">(COUNTIF(J1407:EC1407,"=0")+COUNTIF(J1407:EC1407,"=1"))</f>
        <v>0</v>
      </c>
      <c r="I1407" s="15" t="n">
        <f aca="false">IFERROR(ROUND(10-AVERAGE(J1407:EC1407)*10,0),0)</f>
        <v>0</v>
      </c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customFormat="false" ht="15.75" hidden="false" customHeight="false" outlineLevel="0" collapsed="false">
      <c r="D1408" s="5"/>
      <c r="E1408" s="5"/>
      <c r="F1408" s="5"/>
      <c r="G1408" s="5"/>
      <c r="H1408" s="11" t="n">
        <f aca="false">(COUNTIF(J1408:EC1408,"=0")+COUNTIF(J1408:EC1408,"=1"))</f>
        <v>0</v>
      </c>
      <c r="I1408" s="15" t="n">
        <f aca="false">IFERROR(ROUND(10-AVERAGE(J1408:EC1408)*10,0),0)</f>
        <v>0</v>
      </c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customFormat="false" ht="15.75" hidden="false" customHeight="false" outlineLevel="0" collapsed="false">
      <c r="D1409" s="5"/>
      <c r="E1409" s="5"/>
      <c r="F1409" s="5"/>
      <c r="G1409" s="5"/>
      <c r="H1409" s="11" t="n">
        <f aca="false">(COUNTIF(J1409:EC1409,"=0")+COUNTIF(J1409:EC1409,"=1"))</f>
        <v>0</v>
      </c>
      <c r="I1409" s="15" t="n">
        <f aca="false">IFERROR(ROUND(10-AVERAGE(J1409:EC1409)*10,0),0)</f>
        <v>0</v>
      </c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customFormat="false" ht="15.75" hidden="false" customHeight="false" outlineLevel="0" collapsed="false"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customFormat="false" ht="15.75" hidden="false" customHeight="false" outlineLevel="0" collapsed="false"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customFormat="false" ht="15.75" hidden="false" customHeight="false" outlineLevel="0" collapsed="false"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customFormat="false" ht="15.75" hidden="false" customHeight="false" outlineLevel="0" collapsed="false"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customFormat="false" ht="15.75" hidden="false" customHeight="false" outlineLevel="0" collapsed="false"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customFormat="false" ht="15.75" hidden="false" customHeight="false" outlineLevel="0" collapsed="false"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customFormat="false" ht="15.75" hidden="false" customHeight="false" outlineLevel="0" collapsed="false"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customFormat="false" ht="15.75" hidden="false" customHeight="false" outlineLevel="0" collapsed="false"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customFormat="false" ht="15.75" hidden="false" customHeight="false" outlineLevel="0" collapsed="false"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customFormat="false" ht="15.75" hidden="false" customHeight="false" outlineLevel="0" collapsed="false"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customFormat="false" ht="15.75" hidden="false" customHeight="false" outlineLevel="0" collapsed="false"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customFormat="false" ht="15.75" hidden="false" customHeight="false" outlineLevel="0" collapsed="false"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customFormat="false" ht="15.75" hidden="false" customHeight="false" outlineLevel="0" collapsed="false"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customFormat="false" ht="15.75" hidden="false" customHeight="false" outlineLevel="0" collapsed="false"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customFormat="false" ht="15.75" hidden="false" customHeight="false" outlineLevel="0" collapsed="false"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customFormat="false" ht="15.75" hidden="false" customHeight="false" outlineLevel="0" collapsed="false"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customFormat="false" ht="15.75" hidden="false" customHeight="false" outlineLevel="0" collapsed="false"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customFormat="false" ht="15.75" hidden="false" customHeight="false" outlineLevel="0" collapsed="false"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customFormat="false" ht="15.75" hidden="false" customHeight="false" outlineLevel="0" collapsed="false"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customFormat="false" ht="15.75" hidden="false" customHeight="false" outlineLevel="0" collapsed="false"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customFormat="false" ht="15.75" hidden="false" customHeight="false" outlineLevel="0" collapsed="false"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customFormat="false" ht="15.75" hidden="false" customHeight="false" outlineLevel="0" collapsed="false"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customFormat="false" ht="15.75" hidden="false" customHeight="false" outlineLevel="0" collapsed="false"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customFormat="false" ht="15.75" hidden="false" customHeight="false" outlineLevel="0" collapsed="false"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customFormat="false" ht="15.75" hidden="false" customHeight="false" outlineLevel="0" collapsed="false"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customFormat="false" ht="15.75" hidden="false" customHeight="false" outlineLevel="0" collapsed="false"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customFormat="false" ht="15.75" hidden="false" customHeight="false" outlineLevel="0" collapsed="false"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customFormat="false" ht="15.75" hidden="false" customHeight="false" outlineLevel="0" collapsed="false"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customFormat="false" ht="15.75" hidden="false" customHeight="false" outlineLevel="0" collapsed="false"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customFormat="false" ht="15.75" hidden="false" customHeight="false" outlineLevel="0" collapsed="false"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customFormat="false" ht="15.75" hidden="false" customHeight="false" outlineLevel="0" collapsed="false"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customFormat="false" ht="15.75" hidden="false" customHeight="false" outlineLevel="0" collapsed="false"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customFormat="false" ht="15.75" hidden="false" customHeight="false" outlineLevel="0" collapsed="false"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customFormat="false" ht="15.75" hidden="false" customHeight="false" outlineLevel="0" collapsed="false"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customFormat="false" ht="15.75" hidden="false" customHeight="false" outlineLevel="0" collapsed="false"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customFormat="false" ht="15.75" hidden="false" customHeight="false" outlineLevel="0" collapsed="false"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customFormat="false" ht="15.75" hidden="false" customHeight="false" outlineLevel="0" collapsed="false"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customFormat="false" ht="15.75" hidden="false" customHeight="false" outlineLevel="0" collapsed="false"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customFormat="false" ht="15.75" hidden="false" customHeight="false" outlineLevel="0" collapsed="false"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customFormat="false" ht="15.75" hidden="false" customHeight="false" outlineLevel="0" collapsed="false"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customFormat="false" ht="15.75" hidden="false" customHeight="false" outlineLevel="0" collapsed="false"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customFormat="false" ht="15.75" hidden="false" customHeight="false" outlineLevel="0" collapsed="false"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customFormat="false" ht="15.75" hidden="false" customHeight="false" outlineLevel="0" collapsed="false"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customFormat="false" ht="15.75" hidden="false" customHeight="false" outlineLevel="0" collapsed="false"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customFormat="false" ht="15.75" hidden="false" customHeight="false" outlineLevel="0" collapsed="false"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customFormat="false" ht="15.75" hidden="false" customHeight="false" outlineLevel="0" collapsed="false"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customFormat="false" ht="15.75" hidden="false" customHeight="false" outlineLevel="0" collapsed="false"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customFormat="false" ht="15.75" hidden="false" customHeight="false" outlineLevel="0" collapsed="false"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customFormat="false" ht="15.75" hidden="false" customHeight="false" outlineLevel="0" collapsed="false"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customFormat="false" ht="15.75" hidden="false" customHeight="false" outlineLevel="0" collapsed="false"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customFormat="false" ht="15.75" hidden="false" customHeight="false" outlineLevel="0" collapsed="false"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customFormat="false" ht="15.75" hidden="false" customHeight="false" outlineLevel="0" collapsed="false"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customFormat="false" ht="15.75" hidden="false" customHeight="false" outlineLevel="0" collapsed="false"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customFormat="false" ht="15.75" hidden="false" customHeight="false" outlineLevel="0" collapsed="false"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customFormat="false" ht="15.75" hidden="false" customHeight="false" outlineLevel="0" collapsed="false"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customFormat="false" ht="15.75" hidden="false" customHeight="false" outlineLevel="0" collapsed="false"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customFormat="false" ht="15.75" hidden="false" customHeight="false" outlineLevel="0" collapsed="false"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customFormat="false" ht="15.75" hidden="false" customHeight="false" outlineLevel="0" collapsed="false"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customFormat="false" ht="15.75" hidden="false" customHeight="false" outlineLevel="0" collapsed="false"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customFormat="false" ht="15.75" hidden="false" customHeight="false" outlineLevel="0" collapsed="false"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customFormat="false" ht="15.75" hidden="false" customHeight="false" outlineLevel="0" collapsed="false"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customFormat="false" ht="15.75" hidden="false" customHeight="false" outlineLevel="0" collapsed="false"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customFormat="false" ht="15.75" hidden="false" customHeight="false" outlineLevel="0" collapsed="false"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customFormat="false" ht="15.75" hidden="false" customHeight="false" outlineLevel="0" collapsed="false"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customFormat="false" ht="15.75" hidden="false" customHeight="false" outlineLevel="0" collapsed="false"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customFormat="false" ht="15.75" hidden="false" customHeight="false" outlineLevel="0" collapsed="false"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customFormat="false" ht="15.75" hidden="false" customHeight="false" outlineLevel="0" collapsed="false"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customFormat="false" ht="15.75" hidden="false" customHeight="false" outlineLevel="0" collapsed="false"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customFormat="false" ht="15.75" hidden="false" customHeight="false" outlineLevel="0" collapsed="false"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customFormat="false" ht="15.75" hidden="false" customHeight="false" outlineLevel="0" collapsed="false"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customFormat="false" ht="15.75" hidden="false" customHeight="false" outlineLevel="0" collapsed="false"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customFormat="false" ht="15.75" hidden="false" customHeight="false" outlineLevel="0" collapsed="false"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customFormat="false" ht="15.75" hidden="false" customHeight="false" outlineLevel="0" collapsed="false"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customFormat="false" ht="15.75" hidden="false" customHeight="false" outlineLevel="0" collapsed="false"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customFormat="false" ht="15.75" hidden="false" customHeight="false" outlineLevel="0" collapsed="false"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customFormat="false" ht="15.75" hidden="false" customHeight="false" outlineLevel="0" collapsed="false"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customFormat="false" ht="15.75" hidden="false" customHeight="false" outlineLevel="0" collapsed="false"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customFormat="false" ht="15.75" hidden="false" customHeight="false" outlineLevel="0" collapsed="false"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customFormat="false" ht="15.75" hidden="false" customHeight="false" outlineLevel="0" collapsed="false"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customFormat="false" ht="15.75" hidden="false" customHeight="false" outlineLevel="0" collapsed="false"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customFormat="false" ht="15.75" hidden="false" customHeight="false" outlineLevel="0" collapsed="false"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customFormat="false" ht="15.75" hidden="false" customHeight="false" outlineLevel="0" collapsed="false"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customFormat="false" ht="15.75" hidden="false" customHeight="false" outlineLevel="0" collapsed="false"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customFormat="false" ht="15.75" hidden="false" customHeight="false" outlineLevel="0" collapsed="false"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customFormat="false" ht="15.75" hidden="false" customHeight="false" outlineLevel="0" collapsed="false"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customFormat="false" ht="15.75" hidden="false" customHeight="false" outlineLevel="0" collapsed="false"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customFormat="false" ht="15.75" hidden="false" customHeight="false" outlineLevel="0" collapsed="false"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customFormat="false" ht="15.75" hidden="false" customHeight="false" outlineLevel="0" collapsed="false"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customFormat="false" ht="15.75" hidden="false" customHeight="false" outlineLevel="0" collapsed="false"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customFormat="false" ht="15.75" hidden="false" customHeight="false" outlineLevel="0" collapsed="false"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customFormat="false" ht="15.75" hidden="false" customHeight="false" outlineLevel="0" collapsed="false"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customFormat="false" ht="15.75" hidden="false" customHeight="false" outlineLevel="0" collapsed="false"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customFormat="false" ht="15.75" hidden="false" customHeight="false" outlineLevel="0" collapsed="false"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customFormat="false" ht="15.75" hidden="false" customHeight="false" outlineLevel="0" collapsed="false"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customFormat="false" ht="15.75" hidden="false" customHeight="false" outlineLevel="0" collapsed="false"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customFormat="false" ht="15.75" hidden="false" customHeight="false" outlineLevel="0" collapsed="false"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</sheetData>
  <mergeCells count="3">
    <mergeCell ref="A1:I1"/>
    <mergeCell ref="A2:H2"/>
    <mergeCell ref="A3:H3"/>
  </mergeCells>
  <conditionalFormatting sqref="I1:I1505">
    <cfRule type="colorScale" priority="2">
      <colorScale>
        <cfvo type="min" val="0"/>
        <cfvo type="percentile" val="50"/>
        <cfvo type="max" val="0"/>
        <color rgb="FFFFE599"/>
        <color rgb="FFF9CB9C"/>
        <color rgb="FFEA9999"/>
      </colorScale>
    </cfRule>
  </conditionalFormatting>
  <hyperlinks>
    <hyperlink ref="A1" r:id="rId1" display="Lien d'une DB de musiques (khinsider)"/>
    <hyperlink ref="G5" r:id="rId2" display="https://audio.jukehost.co.uk/E49raN6v4BAV79JoSn9eYcsByEp8Y4MR"/>
    <hyperlink ref="E6" r:id="rId3" display="https://downloads.khinsider.com/game-soundtracks/album/a-dance-of-fire-and-ice-windows-gamerip-2019/017.%252010-X%2520Butterfly%2520Planet.mp3"/>
    <hyperlink ref="G6" r:id="rId4" display="https://audio.jukehost.co.uk/S6UHSzIkKf9FEwK2FuMfdYjsGdUYxA1I"/>
    <hyperlink ref="G7" r:id="rId5" display="https://audio.jukehost.co.uk/XJ7Vhxs6P8S3k43FqioL0tzImi7d67vi"/>
    <hyperlink ref="G8" r:id="rId6" display="https://audio.jukehost.co.uk/ta5mN2jdMfX6BNIHZMrBIuYdtAseriZ2"/>
    <hyperlink ref="G9" r:id="rId7" display="https://audio.jukehost.co.uk/l4NnCUebRZUkFOkLGJ5QxkRJMOqJvJT8"/>
    <hyperlink ref="G10" r:id="rId8" display="https://audio.jukehost.co.uk/vIIABtce2kPtV8ibwKrDKhN5nm3ouSxk"/>
    <hyperlink ref="G11" r:id="rId9" display="https://audio.jukehost.co.uk/B5HM2eYj1n0gCBrS4toVqVpJWgPcgRpD"/>
    <hyperlink ref="G12" r:id="rId10" display="https://audio.jukehost.co.uk/GCPvOmkHdBEDjY4OAdRds3QaC50jZCQn"/>
    <hyperlink ref="G13" r:id="rId11" display="https://audio.jukehost.co.uk/KFT3JYfQFMlU1TT4aSMUIIyysxfGCOk7"/>
    <hyperlink ref="E14" r:id="rId12" display="https://downloads.khinsider.com/game-soundtracks/album/dai-gyakuten-saiban-2-naruhodou-ryuunosuke-no-kakugo-gekiban-ongaku-daizenshuu-2017/2-05.%2520Partners%2520-%2520The%2520game%2520is%2520afoot%2521.mp3"/>
    <hyperlink ref="G14" r:id="rId13" display="https://lambda.vgmtreasurechest.com/soundtracks/dai-gyakuten-saiban-2-naruhodou-ryuunosuke-no-kakugo-gekiban-ongaku-daizenshuu-2017/upooxbsowh/2-05.%20Partners%20-%20The%20game%20is%20afoot%21.mp3"/>
    <hyperlink ref="G15" r:id="rId14" display="https://audio.jukehost.co.uk/MBcRDkiIBOPEcA52Ah1hfnI4zPkbA9he"/>
    <hyperlink ref="G16" r:id="rId15" display="https://audio.jukehost.co.uk/uurnQmA3E1brJYMRAC3bZKONqy4H7RIa"/>
    <hyperlink ref="E18" r:id="rId16" display="https://downloads.khinsider.com/game-soundtracks/album/afterimage-ps4-ps5-switch-windows-xbox-one-xbox-series-xs-gamerip-2023/04%2520Bgm%2520Login.mp3"/>
    <hyperlink ref="G18" r:id="rId17" display="https://nu.vgmtreasurechest.com/soundtracks/afterimage-original-game-soundtrack-2023/knlquavz/01.%20Afterimage.mp3"/>
    <hyperlink ref="G19" r:id="rId18" display="https://audio.jukehost.co.uk/8maF1awhxwX6t5JDILy6IIJotLq0t0wJ"/>
    <hyperlink ref="G20" r:id="rId19" display="https://audio.jukehost.co.uk/IR4NjlOF6bPdNH4Cm1sZSNlvluPghb8U"/>
    <hyperlink ref="G21" r:id="rId20" display="https://audio.jukehost.co.uk/b2lCTYJJDDX9aAKPHEtPPWYMjlMm2GEM"/>
    <hyperlink ref="G24" r:id="rId21" display="https://audio.jukehost.co.uk/LKaUR5GGVuUE8bhxzl0tVHT32r0hEqbQ"/>
    <hyperlink ref="E25" r:id="rId22" display="https://downloads.khinsider.com/game-soundtracks/album/alan-wake-2-old-gods-of-asgard-2023/07%2520-%2520Herald%2520of%2520Darkness%2520%2528feat.%2520Alan%2520Wake%2520%2526%2520Mr.%2520Door%2529.mp3"/>
    <hyperlink ref="G25" r:id="rId23" display="https://nu.vgmtreasurechest.com/soundtracks/alan-wake-2-old-gods-of-asgard-2023/ecbynwru/07%20-%20Herald%20of%20Darkness%20%28feat.%20Alan%20Wake%20%26%20Mr.%20Door%29.mp3"/>
    <hyperlink ref="G26" r:id="rId24" display="https://audio.jukehost.co.uk/JndZQdO3c3Hp8EZ8lXp9rggayd9rhTmH"/>
    <hyperlink ref="E27" r:id="rId25" display="https://downloads.khinsider.com/game-soundtracks/album/amnesia-the-dark-descent/11.%2520Back%2520Hall.mp3"/>
    <hyperlink ref="G27" r:id="rId26" display="https://nu.vgmtreasurechest.com/soundtracks/amnesia-the-dark-descent/fruwxajt/11.%20Back%20Hall.mp3"/>
    <hyperlink ref="G32" r:id="rId27" display="https://audio.jukehost.co.uk/Cly4nSycDbot03KacGRD59iC2iwnmX4F"/>
    <hyperlink ref="G33" r:id="rId28" display="https://audio.jukehost.co.uk/cdVmbZiJGPkzGxMT7Lbdg6wSxjetndet"/>
    <hyperlink ref="G34" r:id="rId29" display="https://audio.jukehost.co.uk/2JHCSRV4EDwuwnoOrSB3TmlzsteXazfq"/>
    <hyperlink ref="G35" r:id="rId30" display="https://audio.jukehost.co.uk/j4yXWmRrwyQ3A7IpHcpAfYTaj74wunDi"/>
    <hyperlink ref="G36" r:id="rId31" display="https://audio.jukehost.co.uk/BinqBPt69en6THO336FrJcMMz5NCwBYP"/>
    <hyperlink ref="G37" r:id="rId32" display="https://audio.jukehost.co.uk/P48WzYotsOOmnmJzzeWnO0U6BiovfQTM"/>
    <hyperlink ref="G38" r:id="rId33" display="https://audio.jukehost.co.uk/ARKHW1tDDv2qBFShJaQJxJeqGRz474Pv"/>
    <hyperlink ref="G39" r:id="rId34" display="https://audio.jukehost.co.uk/pPqiER4PNkCbsTOcYjx5M2Burxe6is1N"/>
    <hyperlink ref="G40" r:id="rId35" display="https://audio.jukehost.co.uk/i1MtTPZTk1KySAPDrFy1vPIWZjZnNXT9"/>
    <hyperlink ref="G41" r:id="rId36" display="https://audio.jukehost.co.uk/puQ6jl39GkjTcwHv5BPy5zXBrKEywcGI"/>
    <hyperlink ref="G42" r:id="rId37" display="https://audio.jukehost.co.uk/yNuz5yvgYWm5QOuQvFj0CVUrUikikXy5"/>
    <hyperlink ref="G43" r:id="rId38" display="https://audio.jukehost.co.uk/lDdxg2q8JJ3Afeuhj7aF266Zx9OgoX04"/>
    <hyperlink ref="G46" r:id="rId39" display="https://audio.jukehost.co.uk/ieF4B353U382DDr4KbPS3KrV6AcaOM9p"/>
    <hyperlink ref="G47" r:id="rId40" display="https://audio.jukehost.co.uk/6ftZO52GQHpManbHVdVfvqLOAN9BTN7z"/>
    <hyperlink ref="G48" r:id="rId41" display="https://audio.jukehost.co.uk/XF3INZdawZSyPxB0gnb9enaYvdG9Ldky"/>
    <hyperlink ref="G49" r:id="rId42" display="https://audio.jukehost.co.uk/qQ7RD6jnDZmk3eASTzNcCoDsjjY8T3Jt"/>
    <hyperlink ref="G50" r:id="rId43" display="https://audio.jukehost.co.uk/q6gN0mlLmpz698TgQYZuidWiGP8gJEwW"/>
    <hyperlink ref="G51" r:id="rId44" display="https://audio.jukehost.co.uk/xxhj1FzIw7dDnKLvBnOO44CdDTxjO3lv"/>
    <hyperlink ref="G52" r:id="rId45" display="https://audio.jukehost.co.uk/4MwKn9HKjAGYJZUeUNI91sNwYLfCW9jM"/>
    <hyperlink ref="G54" r:id="rId46" display="https://audio.jukehost.co.uk/KLWlQoP5CcqC0wTVAN66OgwYc3MtOi0w"/>
    <hyperlink ref="G55" r:id="rId47" display="https://audio.jukehost.co.uk/4c64cim6wYWylpl9rYgqzypSY927QAgQ"/>
    <hyperlink ref="G56" r:id="rId48" display="https://audio.jukehost.co.uk/CE9GzHeyOgjnWJ8DJIW9YRaYK1jm9zq7"/>
    <hyperlink ref="G57" r:id="rId49" display="https://audio.jukehost.co.uk/Fe1Rvep0AV8PHc7lEi879g86VFxsydOU"/>
    <hyperlink ref="G58" r:id="rId50" display="https://audio.jukehost.co.uk/fMgrhCbXHWaXhiOnWbPHG9u4ZCEpa2lE"/>
    <hyperlink ref="G59" r:id="rId51" display="https://audio.jukehost.co.uk/6ItJY2wqPk2veEZR1AwaijS6ZSwRxtiQ"/>
    <hyperlink ref="G60" r:id="rId52" display="https://audio.jukehost.co.uk/i8aIjeyC2bK7gTnovTKnYzGKNk9YMB0J"/>
    <hyperlink ref="G61" r:id="rId53" display="https://audio.jukehost.co.uk/K2PHtbLxVehVBX42Iv3M8FuwXGxZSuni"/>
    <hyperlink ref="G62" r:id="rId54" display="https://audio.jukehost.co.uk/wJtRk3VnfauRoReuFv57P9vH9750Olu5"/>
    <hyperlink ref="G63" r:id="rId55" display="https://audio.jukehost.co.uk/Md9mkaqEsbyP6elbWhzT4cfQIJ1LFxBw"/>
    <hyperlink ref="G64" r:id="rId56" display="https://audio.jukehost.co.uk/PatrI4GrYrZHazzj29wGGbpDe5DDH5UK"/>
    <hyperlink ref="G65" r:id="rId57" display="https://audio.jukehost.co.uk/8EXfyn9O6bRtSC2QbeaNt6E6KUN6YD8x"/>
    <hyperlink ref="G68" r:id="rId58" display="https://audio.jukehost.co.uk/7XSTGHP48pR3CjH23ws3OjONPiToHwOo"/>
    <hyperlink ref="G69" r:id="rId59" display="https://audio.jukehost.co.uk/MhQvxSly3AVbBBZCJ9pPYs0BRTkXnnvD"/>
    <hyperlink ref="G70" r:id="rId60" display="https://audio.jukehost.co.uk/hIaAQGdrSFHQDGg56iYXbsU0HC9EdhXN"/>
    <hyperlink ref="G71" r:id="rId61" display="https://audio.jukehost.co.uk/ZMUu7Z3pAFyX1nKraW8gfHkOHi389RZN"/>
    <hyperlink ref="G72" r:id="rId62" display="https://audio.jukehost.co.uk/I3KP0tRDEs0XaPgnXK7y635pjLQWlo1C"/>
    <hyperlink ref="G73" r:id="rId63" display="https://audio.jukehost.co.uk/eZWGaniD5agc4DwMAg0M0ML9mMe8fUsg"/>
    <hyperlink ref="G74" r:id="rId64" display="https://audio.jukehost.co.uk/jb7l2VX0u9ZgsgL5olLUusx99vF8l2hd"/>
    <hyperlink ref="G75" r:id="rId65" display="https://audio.jukehost.co.uk/1nNoHX9NvBNI8nAqmBqnO5GdUcx5eE5b"/>
    <hyperlink ref="G76" r:id="rId66" display="https://audio.jukehost.co.uk/0brLUu1VBZdgLjkfQeqbhEsoP7cIQcaw"/>
    <hyperlink ref="G77" r:id="rId67" display="https://audio.jukehost.co.uk/tIpmz9FioglRTFiwjNSDv1AsrZoFEZf0"/>
    <hyperlink ref="G78" r:id="rId68" display="https://lambda.vgmtreasurechest.com/soundtracks/baba-is-you/xxvkooee/02.%20Baba%20Is%20You.mp3"/>
    <hyperlink ref="G79" r:id="rId69" display="https://audio.jukehost.co.uk/sdCw91jPH1ox2IQYOZpgeTiykNHJWWX2"/>
    <hyperlink ref="G80" r:id="rId70" display="https://audio.jukehost.co.uk/wMspmALkj2p8mZQp4m7aZ6LtuqCybnIa"/>
    <hyperlink ref="G81" r:id="rId71" display="https://audio.jukehost.co.uk/W7ZVOBoe7DG29k0hQDwFrn0uXcotkFWG"/>
    <hyperlink ref="G85" r:id="rId72" display="https://audio.jukehost.co.uk/z4TEF4OIgPhBlCYXnVxKEI62qa9ePaI1"/>
    <hyperlink ref="G86" r:id="rId73" display="https://audio.jukehost.co.uk/UEvt1COEJB4DDsyrK6lf1yirV52FL9T8"/>
    <hyperlink ref="G87" r:id="rId74" display="https://jetta.vgmtreasurechest.com/soundtracks/baten-kaitos-origins-gc-gamerip-2006/yglktopf/1-01.%20Le%20Ali%20del%20Principio.mp3"/>
    <hyperlink ref="G88" r:id="rId75" display="https://audio.jukehost.co.uk/7WPJEl614OQf4inecNjF8CDt80UREpkQ"/>
    <hyperlink ref="G89" r:id="rId76" display="https://nu.vgmtreasurechest.com/soundtracks/battlefield-1942/qxpixllz/01%20-%20Vehicle%204.mp3"/>
    <hyperlink ref="G90" r:id="rId77" display="https://audio.jukehost.co.uk/z0Cc5LQQ66KwarIPGyavJ2EO9hIdAGxN"/>
    <hyperlink ref="G91" r:id="rId78" display="https://audio.jukehost.co.uk/K7SifgnwhqCvICIP5dkYQFOJUPLoJ61B"/>
    <hyperlink ref="G92" r:id="rId79" display="https://audio.jukehost.co.uk/8wmBYb9F9juBO7z39S5dku8pDcCLCA9T"/>
    <hyperlink ref="E93" r:id="rId80" display="https://downloads.khinsider.com/game-soundtracks/album/blasphemous-linux-macos-ps4-switch-windows-xbox-one-gamerip-2019/38%2520Cante%2520de%2520los%2520Muertos%2520%25E2%2594%2582%2520Chants%2520of%2520the%2520Dead%2520%2528Instrumental%2529%2520%25E2%259A%259CIsidora%252C%2520Voice%2520of%2520the%2520Dead%25E2%259A%259C.mp3"/>
    <hyperlink ref="G93" r:id="rId81" display="https://nu.vgmtreasurechest.com/soundtracks/blasphemous-linux-macos-ps4-switch-windows-xbox-one-gamerip-2019/btptyjcl/38%20Cante%20de%20los%20Muertos%20%E2%94%82%20Chants%20of%20the%20Dead%20%28Instrumental%29%20%E2%9A%9CIsidora%2C%20Voice%20of%20the%20Dead%E2%9A%9C.mp3"/>
    <hyperlink ref="G94" r:id="rId82" display="https://audio.jukehost.co.uk/ds65MaHpSrVG9uk9pNwz7vpdze9BHqDC"/>
    <hyperlink ref="G95" r:id="rId83" display="https://audio.jukehost.co.uk/1fPtZYkJSgp9wB3BqLywYD1JFGu8Xrfh"/>
    <hyperlink ref="E96" r:id="rId84" display="https://downloads.khinsider.com/game-soundtracks/album/blasphemous-2-ost-2023/18.%2520De%2520Blanca%2520Mantilla.mp3"/>
    <hyperlink ref="G96" r:id="rId85" display="https://jetta.vgmtreasurechest.com/soundtracks/blasphemous-2-ost-2023/qbkuuomt/18.%20De%20Blanca%20Mantilla.mp3"/>
    <hyperlink ref="E97" r:id="rId86" display="https://downloads.khinsider.com/game-soundtracks/album/blasphemous-2-ost-2023/30.%2520Lienzo%2520de%2520la%2520Luz%2520y%2520el%2520Tiempo.mp3"/>
    <hyperlink ref="G97" r:id="rId87" display="https://jetta.vgmtreasurechest.com/soundtracks/blasphemous-2-ost-2023/gcvwwtbd/30.%20Lienzo%20de%20la%20Luz%20y%20el%20Tiempo.mp3"/>
    <hyperlink ref="E98" r:id="rId88" display="https://downloads.khinsider.com/game-soundtracks/album/blasphemous-2-ost-2023/27.%2520Padre%2520de%2520los%2520Penitentes.mp3"/>
    <hyperlink ref="G98" r:id="rId89" display="https://jetta.vgmtreasurechest.com/soundtracks/blasphemous-2-ost-2023/nvppbptz/27.%20Padre%20de%20los%20Penitentes.mp3"/>
    <hyperlink ref="G99" r:id="rId90" display="https://audio.jukehost.co.uk/g8CVNzy7NJHdEDN3SCGzCYwEJcsxgOYU"/>
    <hyperlink ref="E100" r:id="rId91" display="https://downloads.khinsider.com/game-soundtracks/album/bloodborne-original-soundtrack-2015/03.%2520Hunter%2527s%2520Dream.mp3"/>
    <hyperlink ref="G100" r:id="rId92" display="https://nu.vgmtreasurechest.com/soundtracks/bloodborne-original-soundtrack-2015/cdnefrqf/03.%20Hunter%27s%20Dream.mp3"/>
    <hyperlink ref="E101" r:id="rId93" display="https://downloads.khinsider.com/game-soundtracks/album/bloodborne-original-soundtrack-2015/22.%2520Lullaby%2520for%2520Mergo.mp3"/>
    <hyperlink ref="G101" r:id="rId94" display="https://nu.vgmtreasurechest.com/soundtracks/bloodborne-original-soundtrack-2015/kzsmknlq/22.%20Lullaby%20for%20Mergo.mp3"/>
    <hyperlink ref="G102" r:id="rId95" display="https://audio.jukehost.co.uk/oGWZyDnGoTOfS7qQjWtqIp9alIZl3Onf"/>
    <hyperlink ref="G103" r:id="rId96" display="https://audio.jukehost.co.uk/4riDOzp7lqW85opKrM4jod8KREq4fyVb"/>
    <hyperlink ref="G104" r:id="rId97" display="https://audio.jukehost.co.uk/yfiIUq1V9d0D5HAvHIMd1tK5w2JQF1Bd"/>
    <hyperlink ref="G105" r:id="rId98" display="https://audio.jukehost.co.uk/IsIWg1mgKKDg1NoK2cEpVWxIlyREJuRM"/>
    <hyperlink ref="G106" r:id="rId99" display="https://audio.jukehost.co.uk/IjY7spwowM6PTR9Obek7ZtlkJUIItArD"/>
    <hyperlink ref="G107" r:id="rId100" display="https://audio.jukehost.co.uk/n59olf6W5jPq68Qnxekoc9zK0QC7yeH5"/>
    <hyperlink ref="E108" r:id="rId101" display="https://downloads.khinsider.com/game-soundtracks/album/bomb-rush-cyberfunk-soundtrack-2023/02.%2520I%2520Wanna%2520Kno.mp3"/>
    <hyperlink ref="G109" r:id="rId102" display="https://audio.jukehost.co.uk/6fO0sLmU08SW8jJ7xMxD0NzhKAp11ih4"/>
    <hyperlink ref="G110" r:id="rId103" display="https://audio.jukehost.co.uk/qfwjuEW1rtL8fH0HrA9tx03T9c3oRw0D"/>
    <hyperlink ref="G111" r:id="rId104" display="https://audio.jukehost.co.uk/rRQGRkKgSudSRjh5twMH9h7xDKx9X2hW"/>
    <hyperlink ref="G112" r:id="rId105" display="https://audio.jukehost.co.uk/PGP8l78ct84VwfP1XPPWy0d2CFyQTovJ"/>
    <hyperlink ref="G113" r:id="rId106" display="https://audio.jukehost.co.uk/8dV9Y5y6TEdfKBQxNkh4o6OobrprJYxh"/>
    <hyperlink ref="G114" r:id="rId107" display="https://audio.jukehost.co.uk/syxsuu3YB2w3mzrFnbkVLsJB5eTY06db"/>
    <hyperlink ref="G115" r:id="rId108" display="https://audio.jukehost.co.uk/a3I17EHgmq7O4B2COpzrfXRz7KtEHmks"/>
    <hyperlink ref="G116" r:id="rId109" display="https://audio.jukehost.co.uk/mNrQw6NDFmzeIVkE4QahC8lPmk1EpjYi"/>
    <hyperlink ref="E117" r:id="rId110" display="https://downloads.khinsider.com/game-soundtracks/album/borderlands-gamerip-2009/22.%2520Intro%2520Music%2520No%2520Edit%2520Full.mp3"/>
    <hyperlink ref="G117" r:id="rId111" display="https://lambda.vgmtreasurechest.com/soundtracks/borderlands-gamerip-2009/jutkusgd/22.%20Intro%20Music%20No%20Edit%20Full.mp3"/>
    <hyperlink ref="G119" r:id="rId112" display="https://lambda.vgmtreasurechest.com/soundtracks/bpm-bullets-per-minute-original-game-soundtrack/xdarggms/07%20-%20Into%20Asgard.mp3"/>
    <hyperlink ref="G120" r:id="rId113" display="https://audio.jukehost.co.uk/orErAghyP9mgzszlOVTlKjUPi9OGqGI8"/>
    <hyperlink ref="G121" r:id="rId114" display="https://audio.jukehost.co.uk/yaMyqQUKdp5WtcMpVv2iSmex1oHtro6x"/>
    <hyperlink ref="G124" r:id="rId115" display="https://audio.jukehost.co.uk/8yVgjTsl67fWKaenNUjGtX2elX7Xo2yM"/>
    <hyperlink ref="G125" r:id="rId116" display="https://audio.jukehost.co.uk/lu2FQ74bew5ngu5c8WGpB2myhXuP93ww"/>
    <hyperlink ref="G126" r:id="rId117" display="https://audio.jukehost.co.uk/5SccJr7ZAncksBRnLT6U36PYuwaLt0yC"/>
    <hyperlink ref="G128" r:id="rId118" display="https://audio.jukehost.co.uk/0rPmuHSNswHDTbCJmSZfZRMfq25h2XYk"/>
    <hyperlink ref="G131" r:id="rId119" display="https://audio.jukehost.co.uk/4mNlhEuaZHdhY4mlt4r7LyFb5oZNHvYv"/>
    <hyperlink ref="G132" r:id="rId120" display="https://audio.jukehost.co.uk/2fYVmi0AhFwjkZcwnPs6G9yLcVe0HegR"/>
    <hyperlink ref="G133" r:id="rId121" display="https://audio.jukehost.co.uk/kasQg7snNjkeptR7cJNhBegGbCABrnJY"/>
    <hyperlink ref="G134" r:id="rId122" display="https://audio.jukehost.co.uk/Gbs5DInRJ2OkCfGwNPSK2IfwcnVeq9UG"/>
    <hyperlink ref="G135" r:id="rId123" display="https://audio.jukehost.co.uk/iauCRfgY255ffYLTPm7VdsfJRsqnE98s"/>
    <hyperlink ref="G136" r:id="rId124" display="https://audio.jukehost.co.uk/uVhqNJpX7H67TcitbrrYxxtmiqxEkL1t"/>
    <hyperlink ref="G137" r:id="rId125" display="https://audio.jukehost.co.uk/Jtgmfkxz1DJiVmmqGgitCmUeIXV1SK0h"/>
    <hyperlink ref="G138" r:id="rId126" display="https://audio.jukehost.co.uk/fbeBhjyE7E9ArXC97EulqphapUxSyxUX"/>
    <hyperlink ref="G139" r:id="rId127" display="https://audio.jukehost.co.uk/Ax2rX8EznbL8Teu6Bs7Jpn0bSv7Ydvym"/>
    <hyperlink ref="G140" r:id="rId128" display="https://audio.jukehost.co.uk/JMVmmNab7KcTfLdubDkzK7pbu5EJWJ9n"/>
    <hyperlink ref="G141" r:id="rId129" display="https://audio.jukehost.co.uk/T4Zh51L9FCVxYBrWxXxwt9kl6YKCUOxv"/>
    <hyperlink ref="G142" r:id="rId130" display="https://audio.jukehost.co.uk/IepLfUbdCsgQaudS9pGegtZJa9H3I9Ed"/>
    <hyperlink ref="G143" r:id="rId131" display="https://audio.jukehost.co.uk/k1nVc2CHoTyUiTi9DpNDxPOqZ09kRyXq"/>
    <hyperlink ref="G144" r:id="rId132" display="https://audio.jukehost.co.uk/KvuuqG8GNjs5XRsIMZjpZ8NF0yXEoOGa"/>
    <hyperlink ref="G145" r:id="rId133" display="https://audio.jukehost.co.uk/XF0JsifFKSJPtf3xrK0vUqzN2zxVqdlx"/>
    <hyperlink ref="G147" r:id="rId134" display="https://audio.jukehost.co.uk/fPBFSmkDKj8BhflldbmPhRTyS39CzoKa"/>
    <hyperlink ref="G148" r:id="rId135" display="https://audio.jukehost.co.uk/L6MMMYUtYo2ldeQM1QG16cXAevZ1cVRf"/>
    <hyperlink ref="G149" r:id="rId136" display="https://audio.jukehost.co.uk/6P7iXfvqxCsHtXLlGAXfhvWFY15VTLvi"/>
    <hyperlink ref="G150" r:id="rId137" display="https://audio.jukehost.co.uk/AiuhC5JFrPZWPrWFYxq4PCkvDK081v9p"/>
    <hyperlink ref="G151" r:id="rId138" display="https://audio.jukehost.co.uk/cPEHlrsRdEk6jeKLSTpnPITm6H2eeolp"/>
    <hyperlink ref="G152" r:id="rId139" display="https://audio.jukehost.co.uk/xYVfcYxnZZRwqa30ILiaY3Y25cCIZybO"/>
    <hyperlink ref="G153" r:id="rId140" display="https://audio.jukehost.co.uk/ILiVfq68K5WNMnjwS9RQFIbkCGS5dmUb"/>
    <hyperlink ref="G154" r:id="rId141" display="https://audio.jukehost.co.uk/NxHv8IJSR8e27YnA4W6MIjApfWifpGHb"/>
    <hyperlink ref="G155" r:id="rId142" display="https://audio.jukehost.co.uk/S1FabQ3D7C1QY1TKC2oCBx2AOqsMQzWn"/>
    <hyperlink ref="G156" r:id="rId143" display="https://audio.jukehost.co.uk/R7GnXbqVfRU1IFY7SjCe4wK2P6oK3oSs"/>
    <hyperlink ref="G157" r:id="rId144" display="https://audio.jukehost.co.uk/lHWEp2f21kpxywMvepOK6kkpPoitjJ2f"/>
    <hyperlink ref="G158" r:id="rId145" display="https://audio.jukehost.co.uk/HhjG9Kr3uqIgn95rM3mJEO3oWgMhmM44"/>
    <hyperlink ref="G159" r:id="rId146" display="https://audio.jukehost.co.uk/GrV0dnFAFqcGaAbxtgQD19j4EG3ePcca"/>
    <hyperlink ref="G160" r:id="rId147" display="https://audio.jukehost.co.uk/XYel9IJchCFeqAz1Qz1MvdxV5vpGTpoA"/>
    <hyperlink ref="G162" r:id="rId148" display="https://audio.jukehost.co.uk/JMv5zwqgGzjYY9NA8VFsCciW0Adk1Drp"/>
    <hyperlink ref="G163" r:id="rId149" display="https://dn720306.ca.archive.org/0/items/official-celeste-original-soundtrack-06-checking-in/%5BOfficial%5D%20Celeste%20Original%20Soundtrack%20-%2016%20-%20Confronting%20Myself.mp3"/>
    <hyperlink ref="G164" r:id="rId150" display="https://ia803204.us.archive.org/3/items/MirrorTempleMirrorMagicMix/Mirror%20Temple%20%28Mirror%20Magic%20Mix%29.mp3"/>
    <hyperlink ref="G165" r:id="rId151" display="https://audio.jukehost.co.uk/9W2ZZhTePBbkTdvlG4FkmZHcVl7k4eGE"/>
    <hyperlink ref="G166" r:id="rId152" display="https://audio.jukehost.co.uk/JsBLSwloMXcMn9nMhpPDoAJ9Zo7J4NNO"/>
    <hyperlink ref="G167" r:id="rId153" display="https://audio.jukehost.co.uk/E92dzGhFp8646cUUD6RxhBg6CVuS9IPB"/>
    <hyperlink ref="G168" r:id="rId154" display="https://audio.jukehost.co.uk/7mUVmo5zJ1SPzFhfknp1OgLW2OhhEIGA"/>
    <hyperlink ref="G169" r:id="rId155" display="https://audio.jukehost.co.uk/DdWPl03nePu7AbOyKXgP3GmYeKItAX7Z"/>
    <hyperlink ref="G171" r:id="rId156" display="https://ia600809.us.archive.org/2/items/christopher-tin-sogno-di-volare-the-dream-of-flight-civilization-vi-main-theme/Christopher%20Tin%20-%20Sogno%20di%20Volare%20%28The%20Dream%20of%20Flight%29%20%28Civilization%20VI%20Main%20Theme%29.mp3"/>
    <hyperlink ref="G173" r:id="rId157" display="https://www.youtube.com/watch?v=oeFkb3LsmlQ"/>
    <hyperlink ref="G174" r:id="rId158" display="https://www.youtube.com/watch?v=pXHE2MH9vLU"/>
    <hyperlink ref="G175" r:id="rId159" display="https://www.youtube.com/watch?v=6aMIr6KI0Xc"/>
    <hyperlink ref="G176" r:id="rId160" display="https://www.youtube.com/watch?v=oEtmFgonY3E"/>
    <hyperlink ref="G178" r:id="rId161" display="https://lambda.vgmtreasurechest.com/soundtracks/club-penguin-gamerip-2005-pc-mobile/gkervejh/Pizzatron%203000.mp3"/>
    <hyperlink ref="E179" r:id="rId162" display="https://downloads.khinsider.com/game-soundtracks/album/code-vein-original-soundtrack/01.%2520Code%2520Vein.mp3"/>
    <hyperlink ref="G179" r:id="rId163" display="https://vgmtreasurechest.com/soundtracks/code-vein-original-soundtrack/xoanoedg/01.%20Code%20Vein.mp3"/>
    <hyperlink ref="E180" r:id="rId164" display="https://downloads.khinsider.com/game-soundtracks/album/alan-wake-2-old-gods-of-asgard-2023/08%2520-%2520Take%2520Control.mp3"/>
    <hyperlink ref="G180" r:id="rId165" display="https://nu.vgmtreasurechest.com/soundtracks/alan-wake-2-old-gods-of-asgard-2023/yhrmjjvx/08%20-%20Take%20Control.mp3"/>
    <hyperlink ref="G185" r:id="rId166" display="https://audio.jukehost.co.uk/BG4kNobQHcj8Z3DyNWXwJH3pd4ZpEhCB"/>
    <hyperlink ref="G186" r:id="rId167" display="https://audio.jukehost.co.uk/BG4kNobQHcj8Z3DyNWXwJH3pd4ZpEhCB"/>
    <hyperlink ref="G187" r:id="rId168" display="https://audio.jukehost.co.uk/iMosmHXQEdIjLRA6F7baRKQfoxfdROaY"/>
    <hyperlink ref="E198" r:id="rId169" display="https://downloads.khinsider.com/game-soundtracks/album/crysis-2-ps3-windows-xbox-360-gamerip-2011/92.%2520Epilogue.mp3"/>
    <hyperlink ref="G198" r:id="rId170" display="https://lambda.vgmtreasurechest.com/soundtracks/crysis-2-ps3-windows-xbox-360-gamerip-2011/waqbkwcy/92.%20Epilogue.mp3"/>
    <hyperlink ref="G199" r:id="rId171" display="https://audio.jukehost.co.uk/4AdoReXXBR6QFFFsuBsExMzCqxIRJNrI"/>
    <hyperlink ref="G200" r:id="rId172" display="https://audio.jukehost.co.uk/Lf2mS8e7mRcXxAIYRvmPT6LeX2g9JXbA"/>
    <hyperlink ref="G205" r:id="rId173" display="https://audio.jukehost.co.uk/6TaY4wE1anMMrHyZQ0MyXnj1gSk3Fl0y"/>
    <hyperlink ref="G207" r:id="rId174" display="https://audio.jukehost.co.uk/gROuFlNc4F5bEwK9uoww9AOfPkxFwVjw"/>
    <hyperlink ref="G208" r:id="rId175" display="https://audio.jukehost.co.uk/zWPFMueMuSsf5Z7Psxt7sUUKJMlry4ee"/>
    <hyperlink ref="G209" r:id="rId176" display="https://audio.jukehost.co.uk/BfpOUFvE7eDIIOGTwvONVo88y2H1gIBx"/>
    <hyperlink ref="G210" r:id="rId177" display="https://audio.jukehost.co.uk/saDkNZP620ZiKgptWwFulk8OpqNLLoji"/>
    <hyperlink ref="G211" r:id="rId178" display="https://audio.jukehost.co.uk/ly0a1BJmYXFkYXHstIhNar9ldOgcOGDV"/>
    <hyperlink ref="G212" r:id="rId179" display="https://audio.jukehost.co.uk/Pj3asao1cYG7RMO6VAk6EXtJUPgflPKQ"/>
    <hyperlink ref="G213" r:id="rId180" display="https://audio.jukehost.co.uk/UUIIRw39LKQrN3rEXaxFFvqfbVuv8Qr4"/>
    <hyperlink ref="G214" r:id="rId181" display="https://audio.jukehost.co.uk/l4YFyMy5ri6BdXKkFdeiIrkXSVbXSpTo"/>
    <hyperlink ref="E215" r:id="rId182" display="https://downloads.khinsider.com/game-soundtracks/album/dark-souls-ii-official-soundtrack-2014/03.%2520Majula.mp3"/>
    <hyperlink ref="G215" r:id="rId183" display="https://jetta.vgmtreasurechest.com/soundtracks/dark-souls-ii-official-soundtrack-2014/sjrhmoiz/03.%20Majula.mp3"/>
    <hyperlink ref="G216" r:id="rId184" display="https://audio.jukehost.co.uk/aFcNQDjRvkf64yqJr5sQQwG3fSTH03Ta"/>
    <hyperlink ref="G217" r:id="rId185" display="https://audio.jukehost.co.uk/9AiAar10g04yGyQcH6Zrd2X5wQIHibfz"/>
    <hyperlink ref="G218" r:id="rId186" display="https://audio.jukehost.co.uk/MEfywgUSZbMOpcAOPQIvYX45WltOW8KY"/>
    <hyperlink ref="G219" r:id="rId187" display="https://vgmtreasurechest.com/soundtracks/dark-souls-iii-soundtracks/nszsskym/1-01%20Dark%20Souls%20III.mp3"/>
    <hyperlink ref="G220" r:id="rId188" display="https://audio.jukehost.co.uk/3H1WlkhLEz2BwNPMMMrIkR9kiM1hnqWW"/>
    <hyperlink ref="E221" r:id="rId189" display="https://downloads.khinsider.com/game-soundtracks/album/dark-souls-iii-soundtracks/2-10%2520Sister%2520Friede%2520and%2520Father%2520Ariandel.mp3"/>
    <hyperlink ref="G221" r:id="rId190" display="https://vgmtreasurechest.com/soundtracks/dark-souls-iii-soundtracks/jhitvwui/2-10%20Sister%20Friede%20and%20Father%20Ariandel.mp3"/>
    <hyperlink ref="E222" r:id="rId191" display="https://downloads.khinsider.com/game-soundtracks/album/dark-souls-iii-soundtracks/2-19%2520Slave%2520Knight%2520Gael.mp3"/>
    <hyperlink ref="G222" r:id="rId192" display="https://vgmtreasurechest.com/soundtracks/dark-souls-iii-soundtracks/pffjgcsi/2-19%20Slave%20Knight%20Gael.mp3"/>
    <hyperlink ref="G223" r:id="rId193" display="https://vgmtreasurechest.com/soundtracks/dark-souls-iii-soundtracks/ahiwhvid/1-24%20Soul%20Of%20Cinder.mp3"/>
    <hyperlink ref="G224" r:id="rId194" display="https://audio.jukehost.co.uk/DIxuZ8oTMMfoiaDJO1bQVmyWWtaooZzX"/>
    <hyperlink ref="E228" r:id="rId195" display="https://downloads.khinsider.com/game-soundtracks/album/death-s-door-2021-pc-switch-gamerip/Avarice%2520Crow%2520Land%2520%257Bm%257D.mp3"/>
    <hyperlink ref="G228" r:id="rId196" display="https://jetta.vgmtreasurechest.com/soundtracks/death-s-door-2021-pc-switch-gamerip/xgmrwklz/Avarice%20Crow%20Land%20%7Bm%7D.mp3"/>
    <hyperlink ref="G229" r:id="rId197" display="https://audio.jukehost.co.uk/7rBmB1wbvxrl9bNg5ewwJrsb74WdtNhO"/>
    <hyperlink ref="G230" r:id="rId198" display="https://audio.jukehost.co.uk/kRe05VA2aWvBxYeAox0uCLspmZQr8Z1m"/>
    <hyperlink ref="G231" r:id="rId199" display="https://audio.jukehost.co.uk/8P6prKcTYAq5fP10mnbkfdQDQiJP32I5"/>
    <hyperlink ref="E232" r:id="rId200" display="https://downloads.khinsider.com/game-soundtracks/album/deathloop-original-game-soundtrack/03.%2520Menu%2520%2528Break%2520the%2520Loop%2529.mp3"/>
    <hyperlink ref="E233" r:id="rId201" display="https://downloads.khinsider.com/game-soundtracks/album/deathloop-singles/Pitch%2520Black%2520%2528Original%2520Trailer%2520Soundtrack%2529.mp3"/>
    <hyperlink ref="G233" r:id="rId202" display="https://lambda.vgmtreasurechest.com/soundtracks/deathloop-singles/tonybnlo/Pitch%20Black%20%28Original%20Trailer%20Soundtrack%29.mp3"/>
    <hyperlink ref="G234" r:id="rId203" display="https://nu.vgmtreasurechest.com/soundtracks/deep-rock-galactic-original-soundtrack-volume-i/cqtxfibh/02%20-%20Attack%20of%20the%20Glyphids.mp3"/>
    <hyperlink ref="G237" r:id="rId204" display="https://audio.jukehost.co.uk/uwQ4P4nkS16qaq19FYy5CqYPfue3vIvH"/>
    <hyperlink ref="G238" r:id="rId205" display="https://audio.jukehost.co.uk/eTLp5JkChkJbio9SNrYfLilrpcpAOsGQ"/>
    <hyperlink ref="G239" r:id="rId206" display="https://audio.jukehost.co.uk/7xfeuaqLsYWxceBwgqRIHdc9EJdOtn52"/>
    <hyperlink ref="G240" r:id="rId207" display="https://audio.jukehost.co.uk/kgNzsYrzSG9aRtW4qV9NpCnKNOlzwEz9"/>
    <hyperlink ref="G241" r:id="rId208" display="https://audio.jukehost.co.uk/Sx31hGrOsZ2yoUBw3vITeFumTcbmfAT5"/>
    <hyperlink ref="G242" r:id="rId209" display="https://audio.jukehost.co.uk/f6tR1kqbinpgc4qACyJIsmNIfqsP3SC9"/>
    <hyperlink ref="G243" r:id="rId210" display="https://audio.jukehost.co.uk/0oubGAlEC9MBFjGlWhQul743H3oQ6Fmj"/>
    <hyperlink ref="G244" r:id="rId211" display="https://audio.jukehost.co.uk/Jiiwa9Ioql5VlkfwmnRlFlM3tTYe7yIx"/>
    <hyperlink ref="G245" r:id="rId212" display="https://audio.jukehost.co.uk/phNjcPRggRCJ8nMBzUR4GQ7qwJSuadkE"/>
    <hyperlink ref="E246" r:id="rId213" display="https://downloads.khinsider.com/game-soundtracks/album/detroit-become-human-original-soundtrack/01.%2520Kara%2520Main%2520Theme.mp3"/>
    <hyperlink ref="G246" r:id="rId214" display="https://vgmtreasurechest.com/soundtracks/detroit-become-human-original-soundtrack/udgxrrkz/01.%20Kara%20Main%20Theme.mp3"/>
    <hyperlink ref="G247" r:id="rId215" display="https://audio.jukehost.co.uk/7K7DeKBpHW89X9NgLSik5ELc2D4WwFvx"/>
    <hyperlink ref="G248" r:id="rId216" display="https://audio.jukehost.co.uk/vnwXuLRSuDwBMg0RMabMO6PSHtXIR8Y2"/>
    <hyperlink ref="G249" r:id="rId217" display="https://audio.jukehost.co.uk/e7vjXiCSHc9XfFBwFjXmzTfl1BAGGdzq"/>
    <hyperlink ref="G250" r:id="rId218" display="https://audio.jukehost.co.uk/uxXNNRe7BwHWaAIvIJKQAsQ9yaWuULre"/>
    <hyperlink ref="G251" r:id="rId219" display="https://audio.jukehost.co.uk/nNKWRNwDTgFMUIgCPQv7aBHDQohg4zGv"/>
    <hyperlink ref="E252" r:id="rId220" display="https://downloads.khinsider.com/game-soundtracks/album/diablo-1/02%2520Tristram.mp3"/>
    <hyperlink ref="G252" r:id="rId221" display="https://vgmtreasurechest.com/soundtracks/diablo-1/zlgyzaex/02%20Tristram.mp3"/>
    <hyperlink ref="G255" r:id="rId222" display="https://vgmtreasurechest.com/soundtracks/dishonored-original-game-soundtrack-2013/seudqvpjzq/12.%20Honor%20for%20All%20-%20End%20Credits.mp3"/>
    <hyperlink ref="E256" r:id="rId223" display="https://downloads.khinsider.com/game-soundtracks/album/dishonored-2-original-soundtrack-deluxe-edition-2017/01.%2520Dishonored%25202%2520Main%2520Theme.mp3"/>
    <hyperlink ref="G256" r:id="rId224" display="https://audio.jukehost.co.uk/EnxpzLvZxX4qx2GdNNNAITrMy2IdFrMg"/>
    <hyperlink ref="E257" r:id="rId225" display="https://downloads.khinsider.com/game-soundtracks/album/divinity-original-sin-ii-original-soundtrack/02.%2520Mead%252C%2520Gold%2520and%2520Blood%2520%2528Ifan%2527s%2520Theme%2529.mp3"/>
    <hyperlink ref="G257" r:id="rId226" display="https://vgmtreasurechest.com/soundtracks/divinity-original-sin-ii-original-soundtrack/wddguene/02.%20Mead%2C%20Gold%20and%20Blood%20%28Ifan%27s%20Theme%29.mp3"/>
    <hyperlink ref="G261" r:id="rId227" display="https://audio.jukehost.co.uk/cldnPb58aWZCRcNAK4YaRrhvoSgUwEBa"/>
    <hyperlink ref="G262" r:id="rId228" display="https://audio.jukehost.co.uk/QsREnyTqP9zSlCAmD1BFdX4ljTTcOX2Q"/>
    <hyperlink ref="G263" r:id="rId229" display="https://audio.jukehost.co.uk/cPmVFOeGRUmSWPkxE8pGMTMu0H2O20UO"/>
    <hyperlink ref="G264" r:id="rId230" display="https://audio.jukehost.co.uk/kcXZ1RtYXhWVN2QpcLDzsJRD4E1hIUDD"/>
    <hyperlink ref="G265" r:id="rId231" display="https://audio.jukehost.co.uk/OkfQnVyshHizHiaDzJMegaLJf3Fx8t3P"/>
    <hyperlink ref="G266" r:id="rId232" display="https://audio.jukehost.co.uk/fZ30Zp0N9XRAp0m004zm8aVNtdUPLTHs"/>
    <hyperlink ref="G267" r:id="rId233" display="https://audio.jukehost.co.uk/pJh0M95fgPkkmSSl5BtcDcl2jdgsYhrA"/>
    <hyperlink ref="G268" r:id="rId234" display="https://audio.jukehost.co.uk/5aQJYrP6AtM5gsFrLuV3fTMFZTX2NHOf"/>
    <hyperlink ref="G269" r:id="rId235" display="https://audio.jukehost.co.uk/78drt3wFZrnMhmmQ9OAft3FtblitGiVb"/>
    <hyperlink ref="G270" r:id="rId236" display="https://audio.jukehost.co.uk/yx9LZpuaVLahYuuNpOpilL2iSkCOkP1s"/>
    <hyperlink ref="E272" r:id="rId237" display="https://downloads.khinsider.com/game-soundtracks/album/dragon-age-inquisition-ost/11.%2520The%2520Dawn%2520Will%2520Come.mp3"/>
    <hyperlink ref="G273" r:id="rId238" display="https://audio.jukehost.co.uk/KouXcXq6cD2g9WdYyTEutItOQwuO2soa"/>
    <hyperlink ref="G274" r:id="rId239" display="https://audio.jukehost.co.uk/VkA1MHjlHaDIrIAhRWVxKbuuxadVF3BE"/>
    <hyperlink ref="G275" r:id="rId240" display="https://audio.jukehost.co.uk/QhL5M2rsM6vze8G7fs2MwhXMJEv72St8"/>
    <hyperlink ref="G276" r:id="rId241" display="https://audio.jukehost.co.uk/dIBQqye1wuDs7zMFySC9hJtclXkfMpGC"/>
    <hyperlink ref="G277" r:id="rId242" display="https://audio.jukehost.co.uk/5Me5HgDy8GHUc4lxFdfFz5rEb9VYYpCy"/>
    <hyperlink ref="G278" r:id="rId243" display="https://audio.jukehost.co.uk/4Lk8hySg1bo8lyLYuaJ3gSqqcsFm8hrP"/>
    <hyperlink ref="G279" r:id="rId244" display="https://audio.jukehost.co.uk/4Vn3BsMIFlWoTpbGif1A5B35KuGjyYbw"/>
    <hyperlink ref="G280" r:id="rId245" display="https://audio.jukehost.co.uk/qj5m7p0l8kTJFQ94rmiRlbj8ftjgWsyB"/>
    <hyperlink ref="G282" r:id="rId246" display="https://audio.jukehost.co.uk/8O9OAYQK5kA5cSwJFk9IVvu3cf8Fef8g"/>
    <hyperlink ref="E283" r:id="rId247" display="https://downloads.khinsider.com/game-soundtracks/album/everhood-soundtrack/07.%2520Tinnitus%2520Dance.mp3"/>
    <hyperlink ref="G283" r:id="rId248" display="https://vgmtreasurechest.com/soundtracks/everhood-soundtrack/vtfvkret/07.%20Tinnitus%20Dance.mp3"/>
    <hyperlink ref="G285" r:id="rId249" display="https://audio.jukehost.co.uk/dHtrgq77ZgeDqwIzitXdt3PdQuZhhUNi"/>
    <hyperlink ref="G286" r:id="rId250" display="https://audio.jukehost.co.uk/0Jn7w7QsejGvyqPT7WDAVNdG6z0rTmIo"/>
    <hyperlink ref="G289" r:id="rId251" display="https://audio.jukehost.co.uk/5QHL0rMRsvpRqa1SUf6MS07xrK2RgMeu"/>
    <hyperlink ref="G290" r:id="rId252" display="https://audio.jukehost.co.uk/10TaSkksLYY3q1KT5ZlHqjPcEGZ2F7NB"/>
    <hyperlink ref="G291" r:id="rId253" display="https://audio.jukehost.co.uk/KMdg997yw0QKwPvRHBccWcYuA87oTEBk"/>
    <hyperlink ref="G292" r:id="rId254" display="https://audio.jukehost.co.uk/J49T72drYqxEoKll1eEZb85C939py0oV"/>
    <hyperlink ref="G293" r:id="rId255" display="https://audio.jukehost.co.uk/ug5eJd7YL1Zdm9Wo1aJBpSiWO31SlNeZ"/>
    <hyperlink ref="G295" r:id="rId256" display="https://audio.jukehost.co.uk/E5Jf2fAApdQT1TnqBMQ0OzFNmJcQaTSh"/>
    <hyperlink ref="G296" r:id="rId257" display="https://audio.jukehost.co.uk/Udz46oJfYvqjS6bsb4gVPbD7N5VkfR87"/>
    <hyperlink ref="E297" r:id="rId258" display="https://downloads.khinsider.com/game-soundtracks/album/fear-hunger-2-termina-windows-gamerip-2022/44.%2520Dark%2520Outside.mp3"/>
    <hyperlink ref="G297" r:id="rId259" display="https://jetta.vgmtreasurechest.com/soundtracks/fear-hunger-2-termina-windows-gamerip-2022/lwbqbili/44.%20Dark%20Outside.mp3"/>
    <hyperlink ref="G300" r:id="rId260" display="https://audio.jukehost.co.uk/geKZW0MmiaeM1x13bh4hS6ppYlJtWea9"/>
    <hyperlink ref="E303" r:id="rId261" display="https://downloads.khinsider.com/game-soundtracks/album/final-fantasy-iv-world-2018/07.%2520Main%2520Theme%2520of%2520Final%2520Fantasy%2520IV.mp3"/>
    <hyperlink ref="E304" r:id="rId262" display="https://downloads.khinsider.com/game-soundtracks/album/final-fantasy-iv-world-2018/02.%2520Red%2520Wings.mp3"/>
    <hyperlink ref="G304" r:id="rId263" display="https://lambda.vgmtreasurechest.com/soundtracks/final-fantasy-iv-world-2018/neiagbpt/02.%20Red%20Wings.mp3"/>
    <hyperlink ref="E305" r:id="rId264" display="https://downloads.khinsider.com/game-soundtracks/album/final-fantasy-iv-world-2018/01.%2520The%2520Prelude.mp3"/>
    <hyperlink ref="G305" r:id="rId265" display="https://lambda.vgmtreasurechest.com/soundtracks/final-fantasy-iv-world-2018/vxamgtce/01.%20The%20Prelude.mp3"/>
    <hyperlink ref="G307" r:id="rId266" display="https://ia600807.us.archive.org/3/items/final-fantasy-vi-6-terras-theme-snes-version/Final%20Fantasy%20VI%206%20Terras%20Theme%20SNES%20Version.mp3"/>
    <hyperlink ref="G308" r:id="rId267" display="https://audio.jukehost.co.uk/Y5sEc8gBXbOHnpn0qPhwQoPa7MAP27c3"/>
    <hyperlink ref="G309" r:id="rId268" display="https://audio.jukehost.co.uk/FJKKwg8VUJ2c4MPlQSueMSSDUrMu1Dep"/>
    <hyperlink ref="G310" r:id="rId269" display="https://audio.jukehost.co.uk/3sLGEPIuzDDlqxsjGDv9Sf4N4UFbCxQW"/>
    <hyperlink ref="G311" r:id="rId270" display="https://audio.jukehost.co.uk/uCCsh6yeikmxBnJahrEOvL757ohluQaq"/>
    <hyperlink ref="G312" r:id="rId271" display="https://audio.jukehost.co.uk/ERKBUT4Jn9CMw5l4t0LopuV6loWAlffw"/>
    <hyperlink ref="G313" r:id="rId272" display="https://audio.jukehost.co.uk/GzZKA8hLDc9nqtmgpTlfuWAXzR6gCRvR"/>
    <hyperlink ref="G314" r:id="rId273" display="https://audio.jukehost.co.uk/t3xrJUOt6y4S6IxWToqXvSCsZ8HS37sJ"/>
    <hyperlink ref="G315" r:id="rId274" display="https://audio.jukehost.co.uk/ZseAMn5Fnb5LdqjyVMTwi0cTdkUYGJTM"/>
    <hyperlink ref="G316" r:id="rId275" display="https://audio.jukehost.co.uk/3Xbt3iCvbqsrVmG1LKdr70o7sNHdrwPM"/>
    <hyperlink ref="G317" r:id="rId276" display="https://audio.jukehost.co.uk/R9jCi4iMJSNTq5VnbAKtcyVGPyHkaqpy"/>
    <hyperlink ref="G319" r:id="rId277" display="https://audio.jukehost.co.uk/mhjdCiZdtiB8lqQjrHVU0sKegv8XAFqt"/>
    <hyperlink ref="G320" r:id="rId278" display="https://audio.jukehost.co.uk/udzeBQeoi53MKV8Mh3K4mlhOtKyIfSgd"/>
    <hyperlink ref="G321" r:id="rId279" display="https://audio.jukehost.co.uk/PvPz3Ly0MYTxpSEl8KF9DoxlGOemZaBG"/>
    <hyperlink ref="G322" r:id="rId280" display="https://audio.jukehost.co.uk/q6OO0oFJoKvK4BgrQcNofoPIaIFqyPzv"/>
    <hyperlink ref="G323" r:id="rId281" display="https://audio.jukehost.co.uk/X9Ao1bVncu9VgxyN9UBFen7aSy77892c"/>
    <hyperlink ref="G324" r:id="rId282" display="https://audio.jukehost.co.uk/DHKKxa00fj64Vvtn3Il3Xrgp06KIopBB"/>
    <hyperlink ref="G326" r:id="rId283" display="https://audio.jukehost.co.uk/1mhqw2IZ6xs7qbqdNuXORNSjXq3uN20r"/>
    <hyperlink ref="G327" r:id="rId284" display="https://audio.jukehost.co.uk/bi8wIkB3jBlNCSVq5eqvx5PDFO7R326g"/>
    <hyperlink ref="G328" r:id="rId285" display="https://audio.jukehost.co.uk/MHoaJkuWlHL6qnrwWTnRoGAFxYsXJCzR"/>
    <hyperlink ref="G329" r:id="rId286" display="https://audio.jukehost.co.uk/QYEZq8BQNEOwNqLldz9ey4bK1SkA7st3"/>
    <hyperlink ref="G330" r:id="rId287" display="https://audio.jukehost.co.uk/j9NWJFpPyYfzmeui1tA3j0OcZ1eyPn3g"/>
    <hyperlink ref="G331" r:id="rId288" display="https://audio.jukehost.co.uk/Jvy57261Nf8JpHFStzg13YX2lHEwtuVF"/>
    <hyperlink ref="G332" r:id="rId289" display="https://audio.jukehost.co.uk/DWzWMTILc7uH3dtxsVHZ7FmKWxr6UxZ2"/>
    <hyperlink ref="G333" r:id="rId290" display="https://audio.jukehost.co.uk/A8XxtFbkMxg0aiJauQZlAg0bUMt859f1"/>
    <hyperlink ref="G334" r:id="rId291" display="https://audio.jukehost.co.uk/NVykZ1INrVeR3JP4i0dRPPAhn3TUIdvU"/>
    <hyperlink ref="G335" r:id="rId292" display="https://audio.jukehost.co.uk/GcrxZvtkI0tpEUSQCYzKYa9GECfxJJLY"/>
    <hyperlink ref="G338" r:id="rId293" display="https://audio.jukehost.co.uk/xzWgPPsjDagHChbDVkAnn7tNOEwjqXtY"/>
    <hyperlink ref="G339" r:id="rId294" display="https://audio.jukehost.co.uk/LQe1EQEPoLSTupawg5G1OOEZyIPhC84f"/>
    <hyperlink ref="G341" r:id="rId295" display="https://audio.jukehost.co.uk/1oJbITPRoPZrzqBwIzY49WCCoUtgLWbm"/>
    <hyperlink ref="G343" r:id="rId296" display="https://audio.jukehost.co.uk/dBksx24h5gxaudHTpmnyWCCjC6NGwh7v"/>
    <hyperlink ref="G349" r:id="rId297" display="https://audio.jukehost.co.uk/ndbIDCYobymsQOJBIdoF7gADOiStwGE6"/>
    <hyperlink ref="G350" r:id="rId298" display="https://audio.jukehost.co.uk/py4I0YvEuKQvFjqNTgkPC3nqeV3Ke5xq"/>
    <hyperlink ref="G351" r:id="rId299" display="https://audio.jukehost.co.uk/nefKPZ2znIsKAjWjcYRP2dM0DBmKdAdc"/>
    <hyperlink ref="G352" r:id="rId300" display="https://audio.jukehost.co.uk/pYZkGxjbHYOAXjlriQPUvvAxCNa5b1hO"/>
    <hyperlink ref="G355" r:id="rId301" display="https://audio.jukehost.co.uk/c3ekjEjZO2rsum8DguL0uBkyLbBvug0c"/>
    <hyperlink ref="G356" r:id="rId302" display="https://audio.jukehost.co.uk/TeuFcWH5b97JfXPMfDSXASC3qNLi6ru9"/>
    <hyperlink ref="G357" r:id="rId303" display="https://audio.jukehost.co.uk/QeFXd55nsKV41UnBO6A9OU9rtXqCcJt5"/>
    <hyperlink ref="G358" r:id="rId304" display="https://audio.jukehost.co.uk/tmnYShhRbNJ37L5K9wx83yoFY3JCc5Jz"/>
    <hyperlink ref="G362" r:id="rId305" display="https://lambda.vgmtreasurechest.com/soundtracks/geometry-dash-android-ios-macos-windows-gamerip-2013/mrxkktnj/31.%20Shop2.mp3"/>
    <hyperlink ref="G363" r:id="rId306" display="https://lambda.vgmtreasurechest.com/soundtracks/geometry-dash-android-ios-macos-windows-gamerip-2013/czrmjkva/34.%20Stereo%20Madness.mp3"/>
    <hyperlink ref="G366" r:id="rId307" display="https://vgmtreasurechest.com/soundtracks/gran-turismo-3-a-spec-original-game-sound-track/adolmeji/07.%20Slipstream.mp3"/>
    <hyperlink ref="G367" r:id="rId308" display="https://lambda.vgmtreasurechest.com/soundtracks/the-best-video-game-music-vol.2/wtchcoqk/06.%20Grand%20Theft%20Auto%20V%20%282013%29%20-%20Welcome%20to%20Los%20Santos%20-%20Main%20Theme.mp3"/>
    <hyperlink ref="G371" r:id="rId309" display="https://audio.jukehost.co.uk/BWpDlUTWATAQmJjhtRdQ802pKbc1PtuB"/>
    <hyperlink ref="G372" r:id="rId310" display="https://audio.jukehost.co.uk/yDK9uHTt463ndJocXfG7duSL4G3e3tIo"/>
    <hyperlink ref="G373" r:id="rId311" display="https://audio.jukehost.co.uk/II3oPKdsHTGKenxhTN7hZFJokkk5pQQB"/>
    <hyperlink ref="G374" r:id="rId312" display="https://audio.jukehost.co.uk/JN2g3qei9j7sE7fyX7gcjGtgWiPNOzah"/>
    <hyperlink ref="G375" r:id="rId313" display="https://audio.jukehost.co.uk/tTQJqGa0Pv7aLtL5BPFASV3bV8v9GGMf"/>
    <hyperlink ref="G376" r:id="rId314" display="https://audio.jukehost.co.uk/DGhAIQRP1gzqGWlnyK7IyLXqWXNz9fYR"/>
    <hyperlink ref="G377" r:id="rId315" display="https://audio.jukehost.co.uk/bPJaqOz1TSY0TliztHLXCWjY2hh6NGbM"/>
    <hyperlink ref="G379" r:id="rId316" display="https://audio.jukehost.co.uk/8s7dumqdHNXBjztXJU4VbbGzEbjxVbxB"/>
    <hyperlink ref="G380" r:id="rId317" display="https://audio.jukehost.co.uk/eJ6DL1R18BrtIdyvYqK0MoIlbnti6H0g"/>
    <hyperlink ref="G381" r:id="rId318" display="https://audio.jukehost.co.uk/BTIa33AGMmbWY2AqfOQqnm7FWU1LYbvc"/>
    <hyperlink ref="E382" r:id="rId319" display="https://downloads.khinsider.com/game-soundtracks/album/guilty-gear-xrd-sign/3-08.%2520Django%2520django.mp3"/>
    <hyperlink ref="G382" r:id="rId320" display="https://nu.vgmtreasurechest.com/soundtracks/guilty-gear-xrd-sign/weiewsbc/3-08.%20Django%20django.mp3"/>
    <hyperlink ref="G383" r:id="rId321" display="https://audio.jukehost.co.uk/h2tTeoHikGdmBQYVXyTLKV6gPxDXrFTC"/>
    <hyperlink ref="G384" r:id="rId322" display="https://audio.jukehost.co.uk/A9VWMhXeVG3h56RfzVIB3dARdI6bwkAO"/>
    <hyperlink ref="G385" r:id="rId323" display="https://audio.jukehost.co.uk/pNJcTg95KWC6D03Nybj0AZ2u2ftF811Y"/>
    <hyperlink ref="G386" r:id="rId324" display="https://audio.jukehost.co.uk/aYj1xx7KBgN6goHOtFcB2FG1GCDDRO5T"/>
    <hyperlink ref="G387" r:id="rId325" display="https://audio.jukehost.co.uk/IfzO3P0UXf2oSvB7C1jVsulKe4aGL8Mg"/>
    <hyperlink ref="G389" r:id="rId326" display="https://audio.jukehost.co.uk/hfkknjVJTy87cs5dwoJdpCHB9a3c2A1q"/>
    <hyperlink ref="G390" r:id="rId327" display="https://www.youtube.com/watch?v=CFKgmZC0o_E&amp;list=PLFF188C45BD627028&amp;index=5"/>
    <hyperlink ref="G391" r:id="rId328" display="https://www.youtube.com/watch?v=_V9MlehRXag&amp;list=PLFF188C45BD627028&amp;index=6"/>
    <hyperlink ref="G392" r:id="rId329" display="https://www.youtube.com/watch?v=1nlxzxnE2CE&amp;list=PLFF188C45BD627028&amp;index=4"/>
    <hyperlink ref="G393" r:id="rId330" display="https://www.youtube.com/watch?v=TgQFTVsBjjY&amp;list=PLFF188C45BD627028&amp;index=12"/>
    <hyperlink ref="G394" r:id="rId331" display="https://www.youtube.com/watch?v=U4mQX_3synQ&amp;list=PLFF188C45BD627028&amp;index=16"/>
    <hyperlink ref="G395" r:id="rId332" display="https://www.youtube.com/watch?v=mdLrUo_O52E&amp;list=PLFF188C45BD627028"/>
    <hyperlink ref="G396" r:id="rId333" display="https://audio.jukehost.co.uk/nzdho1ZOgkCDBgy2i16jIIGtn2kzkXHb"/>
    <hyperlink ref="G397" r:id="rId334" display="https://audio.jukehost.co.uk/nLvHYO54FxMUZE3RJGUD9eq3aXQ6Oxq8"/>
    <hyperlink ref="G398" r:id="rId335" display="https://audio.jukehost.co.uk/TgnxGeAmzRDdiL5XuXbgL5EXVglnjWFq"/>
    <hyperlink ref="G399" r:id="rId336" display="https://audio.jukehost.co.uk/bmWQwMcfXFTmBF4JjF43IPWjhFsD4JLj"/>
    <hyperlink ref="G400" r:id="rId337" display="https://lambda.vgmtreasurechest.com/soundtracks/the-henry-stickmin-collection-gamerip/ppnfqfohon/Completing%20The%20Mission%20-%20Theme.mp3"/>
    <hyperlink ref="G401" r:id="rId338" display="https://lambda.vgmtreasurechest.com/soundtracks/the-henry-stickmin-collection-gamerip/ynimsavfhh/Escaping%20The%20Prison%20-%20Theme.mp3"/>
    <hyperlink ref="G402" r:id="rId339" display="https://nu.vgmtreasurechest.com/soundtracks/fleeing-the-complex-online-gamerip-2016/wgtxhtwb/1.%20Main%20Menu%20-%20sound%20321%20%28over%20to%20down%20%29.mp3"/>
    <hyperlink ref="G403" r:id="rId340" display="https://lambda.vgmtreasurechest.com/soundtracks/the-henry-stickmin-collection-gamerip/dfnyqbtvne/Infiltrating%20The%20Airship%20-%20Theme.mp3"/>
    <hyperlink ref="G404" r:id="rId341" display="https://lambda.vgmtreasurechest.com/soundtracks/the-henry-stickmin-collection-gamerip/aiwhjixduo/Title%20Theme.mp3"/>
    <hyperlink ref="G414" r:id="rId342" display="https://audio.jukehost.co.uk/tUczzwo4CHp4lvwWOeltgLN6b0dDFd5t"/>
    <hyperlink ref="G422" r:id="rId343" display="https://audio.jukehost.co.uk/IpjnbUHPs4WjS9Vmyjj8q3DzpB6oPHrM"/>
    <hyperlink ref="G424" r:id="rId344" display="https://audio.jukehost.co.uk/lhodRZM7zhPV5MLBPgZcUb5N39X29xO2"/>
    <hyperlink ref="G426" r:id="rId345" display="https://audio.jukehost.co.uk/LvNRkE5Iqw4al3WZ1KqPu0DmVSqcoKbV"/>
    <hyperlink ref="G427" r:id="rId346" display="https://audio.jukehost.co.uk/qepMpRJIepQitFWkad7jt1vTyDO1yrkT"/>
    <hyperlink ref="G428" r:id="rId347" display="https://audio.jukehost.co.uk/s0oxWmk2rjZfhshmonG6SUAQ5RaAhbZC"/>
    <hyperlink ref="G429" r:id="rId348" display="https://audio.jukehost.co.uk/UnqlS0AU9cNew14kQrOKPE61BEiGk08i"/>
    <hyperlink ref="G430" r:id="rId349" display="https://audio.jukehost.co.uk/9uDTAEdKDrEWEzMHoURcVvyy3x1UrMmv"/>
    <hyperlink ref="G431" r:id="rId350" display="https://audio.jukehost.co.uk/r3SLejJ3tc5P7eRVqpq70XZi11voLXw1"/>
    <hyperlink ref="G432" r:id="rId351" display="https://audio.jukehost.co.uk/NQ2FUD8ml9FQBjlAWReW27VFqGMv7JRR"/>
    <hyperlink ref="G433" r:id="rId352" display="https://audio.jukehost.co.uk/VS4GQfGRse4lzXauj9AQYYHghrUqQNl7"/>
    <hyperlink ref="G434" r:id="rId353" display="https://audio.jukehost.co.uk/YeVxEWfkF6RBRUHLcXjA5krByDv1CwuZ"/>
    <hyperlink ref="G435" r:id="rId354" display="https://audio.jukehost.co.uk/iLtkswwqmOVCKS3MDxgDpIlnDdte0Iza"/>
    <hyperlink ref="G436" r:id="rId355" display="https://audio.jukehost.co.uk/dKfgbJQjS0G7oOBeLAH6wKnCkt9ZMIsX"/>
    <hyperlink ref="G438" r:id="rId356" display="https://audio.jukehost.co.uk/BaZL7PdYUghpvPmXHlhksiw4jbOw7Tvk"/>
    <hyperlink ref="G440" r:id="rId357" display="https://audio.jukehost.co.uk/kL5fYQ4XrjfaHXfk7PHcLUfo5iIHhEXh"/>
    <hyperlink ref="G442" r:id="rId358" display="https://audio.jukehost.co.uk/otUGRBSwUGT8BpBwcTuxpg2Zf6TNdHFv"/>
    <hyperlink ref="E444" r:id="rId359" display="https://downloads.khinsider.com/game-soundtracks/album/immortals-fenyx-rising-2020/01.%2520Heart%2520of%2520the%2520Hero.mp3"/>
    <hyperlink ref="G444" r:id="rId360" display="https://jetta.vgmtreasurechest.com/soundtracks/immortals-fenyx-rising-2020/lpphpbpt/01.%20Heart%20of%20the%20Hero.mp3"/>
    <hyperlink ref="G445" r:id="rId361" display="https://audio.jukehost.co.uk/I1ViwRJYsO4HmWXFJhu0rar13lEhBDtF"/>
    <hyperlink ref="G447" r:id="rId362" display="https://audio.jukehost.co.uk/4pQZwTC2W6iGLPOLwFq6sLF5LbtDjf6y"/>
    <hyperlink ref="G448" r:id="rId363" display="https://audio.jukehost.co.uk/6REL0sClnFvWbATmEUR426IjvhMBNcfu"/>
    <hyperlink ref="G449" r:id="rId364" display="https://audio.jukehost.co.uk/AD93efon6wJs401BQpKM19c0TcHb7svQ"/>
    <hyperlink ref="G450" r:id="rId365" display="https://audio.jukehost.co.uk/B9V9gEsn4nuJVieooQCJYsKmHwuX5MjV"/>
    <hyperlink ref="G451" r:id="rId366" display="https://audio.jukehost.co.uk/kQgPpdWMeiwQqDPz8PmcWWFR5kgnSigG"/>
    <hyperlink ref="E452" r:id="rId367" display="https://downloads.khinsider.com/game-soundtracks/album/jetpack-joyride-original-game-soundtrack-2021-android-ios/01.%2520Jetpack%2520Joyride%2520Main%2520Theme.mp3"/>
    <hyperlink ref="G452" r:id="rId368" display="https://lambda.vgmtreasurechest.com/soundtracks/jetpack-joyride-original-game-soundtrack-2021-android-ios/wpiuczqf/01.%20Jetpack%20Joyride%20Main%20Theme.mp3"/>
    <hyperlink ref="G453" r:id="rId369" display="https://lambda.vgmtreasurechest.com/soundtracks/journey/ryqmjldh/18%20I%20was%20Born%20for%20This.mp3"/>
    <hyperlink ref="G454" r:id="rId370" display="https://audio.jukehost.co.uk/La2CxlYQONTekAQgYuwwACl2fgZaNkDp"/>
    <hyperlink ref="G455" r:id="rId371" display="https://audio.jukehost.co.uk/HApAgbE1S8qRZSsksyclrGUnlYP9vUkp"/>
    <hyperlink ref="G456" r:id="rId372" display="https://audio.jukehost.co.uk/YMfnlCh3ypb5U0b0ZVuVpFoVgIa6n4as"/>
    <hyperlink ref="G457" r:id="rId373" display="https://audio.jukehost.co.uk/5dv0HkBMDxPma2c0LV7xCfV73XB0fnIC"/>
    <hyperlink ref="G458" r:id="rId374" display="https://audio.jukehost.co.uk/dSLaoFCDd6yLEcPWdf8KXHxsFOjd3Qod"/>
    <hyperlink ref="G459" r:id="rId375" display="https://audio.jukehost.co.uk/DyuKFDEo02LovE23EBf937mhfqtjgZDh"/>
    <hyperlink ref="G460" r:id="rId376" display="https://audio.jukehost.co.uk/EcPvVIqrq0a0PzS46TWSRquPzLDVjsFA"/>
    <hyperlink ref="G461" r:id="rId377" display="https://audio.jukehost.co.uk/Y0fwyXvE2LZJxJqLCfW320Ayy1tU5Ago"/>
    <hyperlink ref="G462" r:id="rId378" display="https://audio.jukehost.co.uk/6NJNKJmyhgA4NbCTZEKtgTXSRDxgyH3s"/>
    <hyperlink ref="G463" r:id="rId379" display="https://audio.jukehost.co.uk/0ltsrZt9rbMf1Ohvgl3ToqoH3KvKNKen"/>
    <hyperlink ref="G464" r:id="rId380" display="https://nu.vgmtreasurechest.com/soundtracks/katamari-damacy-ps2-gamerip-2004/nbznkgyxzi/02%20-%20Yu%20Miyake%20%26%20Masayuki%20Tanaka%20-%20Katamari%20On%20The%20Rock%20%28Main%20Theme%29.mp3"/>
    <hyperlink ref="G465" r:id="rId381" display="https://audio.jukehost.co.uk/poQIDAheL5lPLdOdI7RgWOAOkSZYLbqf"/>
    <hyperlink ref="G466" r:id="rId382" display="https://nu.vgmtreasurechest.com/soundtracks/kingdom-hearts-hd-1.5-2.5-remix-original-soundtrack-box-2014/kymoloic/3-11%20Vector%20to%20the%20Heavens.mp3"/>
    <hyperlink ref="G467" r:id="rId383" display="https://audio.jukehost.co.uk/IRN9LUCFFuapG85ZmPYORLm8kqQZhtWd"/>
    <hyperlink ref="G468" r:id="rId384" display="https://audio.jukehost.co.uk/lMxsQGMpuhbMmaDs4r3HjEKfqIbvCUeC"/>
    <hyperlink ref="G469" r:id="rId385" display="https://audio.jukehost.co.uk/IZiYTxUEX9aAiwIxygD3wn27iOO8xhep"/>
    <hyperlink ref="G470" r:id="rId386" display="https://audio.jukehost.co.uk/VKsAxPVe8KXVbZnTWRkbAyTUGSDT4EVw"/>
    <hyperlink ref="G471" r:id="rId387" display="https://audio.jukehost.co.uk/R08Th2C3frhi5imSjmPjEaAT1NmcF11O"/>
    <hyperlink ref="G472" r:id="rId388" display="https://audio.jukehost.co.uk/HQdvFjRad5f303XQSiTPMkhGvUjLA3rs"/>
    <hyperlink ref="G473" r:id="rId389" display="https://audio.jukehost.co.uk/ShucIcM6Zmi39chV7fxV9AwMy5fRQPKK"/>
    <hyperlink ref="G474" r:id="rId390" display="https://audio.jukehost.co.uk/iqIEIhytoAOzl15OUvvDjdABrHsCKwnh"/>
    <hyperlink ref="G475" r:id="rId391" display="https://audio.jukehost.co.uk/3FbOnfRs94DVdJ64npeagGh7AOKSJWJi"/>
    <hyperlink ref="G476" r:id="rId392" display="https://audio.jukehost.co.uk/dT2sFUdaqO0t6gZBXzpn5vPU1v1SWIn7"/>
    <hyperlink ref="E477" r:id="rId393" display="https://downloads.khinsider.com/game-soundtracks/album/kingdom-hearts-ii-final-mix-gamerip/fm%2520-%2520Cavern%2520of%2520Remembrance.mp3"/>
    <hyperlink ref="G477" r:id="rId394" display="https://vgmtreasurechest.com/soundtracks/kingdom-hearts-ii-final-mix-gamerip/cwdccftb/fm%20-%20Cavern%20of%20Remembrance.mp3"/>
    <hyperlink ref="G478" r:id="rId395" display="https://audio.jukehost.co.uk/9LZKjNImse6S2NcgNBRGalR1DbjP2wB4"/>
    <hyperlink ref="G479" r:id="rId396" display="https://audio.jukehost.co.uk/iJrw6Got3aZawqEJgaoWWMpGn4oI7b68"/>
    <hyperlink ref="G480" r:id="rId397" display="https://audio.jukehost.co.uk/w2M0gsmGbnSMpJHOsG8qAKQ5JrJylwrX"/>
    <hyperlink ref="G481" r:id="rId398" display="https://audio.jukehost.co.uk/c6jkp2QJNI0QzGfhFPwrmXpw2RHya9xI"/>
    <hyperlink ref="G482" r:id="rId399" display="https://audio.jukehost.co.uk/Uz3BB4fZ8FoGMh64gyAuYAxSLCsQarYf"/>
    <hyperlink ref="G483" r:id="rId400" display="https://audio.jukehost.co.uk/5PoDes0LA46Xl7zxaaksYZJHyelkZube"/>
    <hyperlink ref="G484" r:id="rId401" display="https://audio.jukehost.co.uk/BuKzuw8YLGpQQrHFmG4nVIz6Aku5XzLz"/>
    <hyperlink ref="G485" r:id="rId402" display="https://audio.jukehost.co.uk/j4MQNOMTdHnFBle6SSV4nSs2Bz6SWuhx"/>
    <hyperlink ref="G486" r:id="rId403" display="https://audio.jukehost.co.uk/saRld7OFTohSZwB64irLOKTslJ5n43Q2"/>
    <hyperlink ref="G487" r:id="rId404" display="https://nu.vgmtreasurechest.com/soundtracks/kingdom-hearts-iii-gamerip/poxwpjdm/003.%20Don%27t%20Think%20Twice%20%28English%29.mp3"/>
    <hyperlink ref="G488" r:id="rId405" display="https://audio.jukehost.co.uk/5Hg4Ssar3VCKQ11zWIkfYWeByNi2SeZz"/>
    <hyperlink ref="G489" r:id="rId406" display="https://audio.jukehost.co.uk/NFS1OfgtHqTnpWRSBWTlZ0VgfX9qIxD4"/>
    <hyperlink ref="G490" r:id="rId407" display="https://audio.jukehost.co.uk/jy7zpL2YwGJIiZhnPBKyN2bVJsvMwu0s"/>
    <hyperlink ref="G491" r:id="rId408" display="https://nu.vgmtreasurechest.com/soundtracks/kingdom-hearts-iii-gamerip/uumdfrsq/034.%20Wave%20of%20Darkness%20I.mp3"/>
    <hyperlink ref="G492" r:id="rId409" display="https://audio.jukehost.co.uk/Vun8E7fYghJyb5Hpr23vCfgb96WE1l1J"/>
    <hyperlink ref="G493" r:id="rId410" display="https://audio.jukehost.co.uk/dI9UQWkhlAp3V6QPUKbFTYRl4MoaYRPK"/>
    <hyperlink ref="G494" r:id="rId411" display="https://audio.jukehost.co.uk/vtW1J2ya2uZOBAPtKkzKc5vocWenN4Lu"/>
    <hyperlink ref="G502" r:id="rId412" display="https://audio.jukehost.co.uk/SbRAqLHh85Uuk8vRlNpJgnZLHL5ixCZt"/>
    <hyperlink ref="G503" r:id="rId413" display="https://audio.jukehost.co.uk/2UTDpOspxHGAfL2vsZedpJk6fbcNDuHV"/>
    <hyperlink ref="G504" r:id="rId414" display="https://audio.jukehost.co.uk/ZdlPN1ywtlNLT8SjGGFg88lApcHBG244"/>
    <hyperlink ref="E505" r:id="rId415" display="https://downloads.khinsider.com/game-soundtracks/album/astalon-tears-of-the-earth-2021/1-01.%2520Poisoned%2520World.mp3"/>
    <hyperlink ref="E506" r:id="rId416" display="https://downloads.khinsider.com/game-soundtracks/album/astalon-tears-of-the-earth-2021/1-05.%2520This%2520Cursed%2520Tower.mp3"/>
    <hyperlink ref="E507" r:id="rId417" display="https://downloads.khinsider.com/game-soundtracks/album/astalon-tears-of-the-earth-2021/1-07.%2520Hollow%2520%2528Hate%2529.mp3"/>
    <hyperlink ref="E508" r:id="rId418" display="https://downloads.khinsider.com/game-soundtracks/album/astalon-tears-of-the-earth-2021/1-16.%2520Arteries.mp3"/>
    <hyperlink ref="E509" r:id="rId419" display="https://downloads.khinsider.com/game-soundtracks/album/astalon-tears-of-the-earth-2021/1-28.%2520The%2520Apex.mp3"/>
    <hyperlink ref="G510" r:id="rId420" display="https://audio.jukehost.co.uk/Ap495a7OlpHtxtDRUqxKGbblBScdLGKJ"/>
    <hyperlink ref="G511" r:id="rId421" display="https://audio.jukehost.co.uk/rcbPDnOqt2dFMGHAWFEVJMGppPZhIKGe"/>
    <hyperlink ref="G514" r:id="rId422" display="https://audio.jukehost.co.uk/1aoB3UvKge0Mr0o5jBPMfDxNapSOLler"/>
    <hyperlink ref="G515" r:id="rId423" display="https://audio.jukehost.co.uk/cvaMrU3NJCd2hHtk55rvRdIkXbqF9T4d"/>
    <hyperlink ref="G516" r:id="rId424" display="https://audio.jukehost.co.uk/enDlwqgQPpuIfatf1zwKA040m9vjW8hV"/>
    <hyperlink ref="G517" r:id="rId425" display="https://audio.jukehost.co.uk/gueI2in6dP2YQZ8Z9oNAn9iRvMlHHsTO"/>
    <hyperlink ref="G521" r:id="rId426" display="https://audio.jukehost.co.uk/0Vne8SdBJPT66nLC9lLcSF5yDZHpvkMp"/>
    <hyperlink ref="G523" r:id="rId427" display="https://audio.jukehost.co.uk/5AWTahNagBUxz3LKdkqsTHFoh8gLkTYQ"/>
    <hyperlink ref="G524" r:id="rId428" display="https://audio.jukehost.co.uk/DbfLFnGdGncoUGUtgseJo0fAZi8NooOr"/>
    <hyperlink ref="G525" r:id="rId429" display="https://audio.jukehost.co.uk/XUjkjFWy0cwzbb5XwgLeqhI7HUzyDgCN"/>
    <hyperlink ref="G526" r:id="rId430" display="https://audio.jukehost.co.uk/5umdLSkzicay2usVz3u4eWNZRd1TEyCF"/>
    <hyperlink ref="G527" r:id="rId431" display="https://audio.jukehost.co.uk/yTq9xJZ768ZWItqxbpOtoDPyxJOYg4V8"/>
    <hyperlink ref="G528" r:id="rId432" display="https://audio.jukehost.co.uk/iYgMzSju0FAYhfi1MmtwKF4yZO69xiye"/>
    <hyperlink ref="G529" r:id="rId433" display="https://audio.jukehost.co.uk/q1uRVByPbHXXmKt1nK08h3MxPJvqkrlr"/>
    <hyperlink ref="G530" r:id="rId434" display="https://audio.jukehost.co.uk/SP1GayRMqEgeGE57KSjcpPdTmyPP9nDT"/>
    <hyperlink ref="G531" r:id="rId435" display="https://audio.jukehost.co.uk/q5KCrMbwXmlOOuxP1dGFilCNRKCVn0wj"/>
    <hyperlink ref="G532" r:id="rId436" display="https://audio.jukehost.co.uk/eAhyba5yLLdHSJlknvFucadt28I3Mz65"/>
    <hyperlink ref="G533" r:id="rId437" display="https://audio.jukehost.co.uk/6OrSwKJXgYQ8IC3v6E4nDQfwNnln19cc"/>
    <hyperlink ref="G534" r:id="rId438" display="https://audio.jukehost.co.uk/NNds8yuFbtiLz6yhPAq5duKFNo7clgiw"/>
    <hyperlink ref="G535" r:id="rId439" display="https://audio.jukehost.co.uk/iw4eBljXXjq4HEsjCsvIpayb4L86BFdK"/>
    <hyperlink ref="G536" r:id="rId440" display="https://audio.jukehost.co.uk/Y7RdKJo2BIW4oGSSnUZ58cwPdansJooJ"/>
    <hyperlink ref="G537" r:id="rId441" display="https://audio.jukehost.co.uk/030D2DeNERO5ozp2Reseu2CwapYCoDn9"/>
    <hyperlink ref="G538" r:id="rId442" display="https://audio.jukehost.co.uk/xmoKJSHl4ZecuMw7NcnbILoXjUiC9Hq1"/>
    <hyperlink ref="G539" r:id="rId443" display="https://audio.jukehost.co.uk/MYa5u63vlWyiH4cKkttchIefOVg79ugx"/>
    <hyperlink ref="G540" r:id="rId444" display="https://audio.jukehost.co.uk/No9viqcZpfKJxejiIEdcSwohFPqaTMf2"/>
    <hyperlink ref="G544" r:id="rId445" display="https://audio.jukehost.co.uk/FLIPhKAAiOaSKn2xhrP9IW5LyPtNQArR"/>
    <hyperlink ref="G545" r:id="rId446" display="https://audio.jukehost.co.uk/vfe2sYr82CA9aAQ80VfgWtPuqzEyKmxw"/>
    <hyperlink ref="E547" r:id="rId447" display="https://downloads.khinsider.com/game-soundtracks/album/lost-ark-vol.2-in-game-track-2018/07.%2520Club%2520Avenue.mp3"/>
    <hyperlink ref="G548" r:id="rId448" display="https://audio.jukehost.co.uk/YB4y7wUFp2kMTrUWcXageHqqsBUkJ9Q8"/>
    <hyperlink ref="E549" r:id="rId449" display="https://downloads.khinsider.com/game-soundtracks/album/luigi-s-mansion-dark-moon/01.%2520Title.mp3"/>
    <hyperlink ref="G550" r:id="rId450" display="https://audio.jukehost.co.uk/F2Pscjk8o5IWBUQ5tI6Wdh0rXJc0RZSc"/>
    <hyperlink ref="G555" r:id="rId451" display="https://audio.jukehost.co.uk/I9lZW3VSyzMSNSon0qqH57pMEm4m2s9K"/>
    <hyperlink ref="G557" r:id="rId452" display="https://lambda.vgmtreasurechest.com/soundtracks/mario-and-luigi-dream-team/lwbpxsxi/16%20Peach%27s%20Castle%20Theme.mp3"/>
    <hyperlink ref="G558" r:id="rId453" display="https://lambda.vgmtreasurechest.com/soundtracks/mario-and-luigi-dream-team/yzbkvzkb/21%20Breezy%20Mushrise%20Park.mp3"/>
    <hyperlink ref="G559" r:id="rId454" display="https://lambda.vgmtreasurechest.com/soundtracks/mario-and-luigi-dream-team/hdwwrwgs/01%20Your%20Dream%20Adventure%21.mp3"/>
    <hyperlink ref="G561" r:id="rId455" display="https://nu.vgmtreasurechest.com/soundtracks/mario-luigi-partners-in-time-arrangement-ost-2018/mmxcsged/20.%20Thwomp%20Volcano.mp3"/>
    <hyperlink ref="G562" r:id="rId456" display="https://audio.jukehost.co.uk/xD3qGjhnFIDTdMz5QH3rZ3itJ8SgGBIl"/>
    <hyperlink ref="G563" r:id="rId457" display="https://audio.jukehost.co.uk/faGRubEtmcx4Q6Utv0aeVhRiuNJARN4W"/>
    <hyperlink ref="G564" r:id="rId458" display="https://audio.jukehost.co.uk/bJLRxi1WuAdnFMw0L5E1jv7qhLQ0mrMN"/>
    <hyperlink ref="G566" r:id="rId459" display="https://audio.jukehost.co.uk/PUP5r3g55LJbCav2FeBsdaPOT64IMSKY"/>
    <hyperlink ref="G569" r:id="rId460" display="https://audio.jukehost.co.uk/5zxPWMcwklDx5JP5NrDRA54QctVpUpSq"/>
    <hyperlink ref="G570" r:id="rId461" display="https://audio.jukehost.co.uk/NUTOFAH9S6fYXwlIxgWw0jlQ8obIcbPR"/>
    <hyperlink ref="G571" r:id="rId462" display="https://audio.jukehost.co.uk/nVI3I5cdGc0j3yhFBiHmZeMGmr3KX2tI"/>
    <hyperlink ref="G572" r:id="rId463" display="https://audio.jukehost.co.uk/NxL9JzvR7ozAhWAMCirIRyF1J3UiWLGM"/>
    <hyperlink ref="G573" r:id="rId464" display="https://audio.jukehost.co.uk/MBg3DO40ZHJZ5wnMsUt0LsW2PDG6G8v6"/>
    <hyperlink ref="G574" r:id="rId465" display="https://audio.jukehost.co.uk/lBoLTZZ5pM9tPu9HlKNHu3RYOkvB28in"/>
    <hyperlink ref="G575" r:id="rId466" display="https://audio.jukehost.co.uk/BgcQRq2X2ulEeDz0u21frIgwfDyoLKT4"/>
    <hyperlink ref="G576" r:id="rId467" display="https://audio.jukehost.co.uk/JN33heZKJN61RMKNWisMlm8Uvz8puVVB"/>
    <hyperlink ref="G577" r:id="rId468" display="https://audio.jukehost.co.uk/sMtDZZG1CxhfbzDmykUeGhTFGwpHdON7"/>
    <hyperlink ref="G578" r:id="rId469" display="https://audio.jukehost.co.uk/XKtelkJu13b5nKGh6aunb9tDSqFjDEnF"/>
    <hyperlink ref="G599" r:id="rId470" display="https://audio.jukehost.co.uk/uWATsBoBskVQc3bQxCBwfCBVps0WAHE8"/>
    <hyperlink ref="G600" r:id="rId471" display="https://audio.jukehost.co.uk/sG8nEGgfW6KRBXZYRykOKinQieuHixEn"/>
    <hyperlink ref="G601" r:id="rId472" display="https://audio.jukehost.co.uk/nCjt77eFht1pUe5031UaeGa86jnKs8gf"/>
    <hyperlink ref="G602" r:id="rId473" display="https://audio.jukehost.co.uk/yUDmSh9JUSQ0iMDwEalT6nnYrpohM50F"/>
    <hyperlink ref="G604" r:id="rId474" display="https://audio.jukehost.co.uk/GvaSPY020XsIaJjcKdnCcj15IKHnoPTH"/>
    <hyperlink ref="G605" r:id="rId475" display="https://audio.jukehost.co.uk/FkRy1wCokMG1YglllTtbewjgOWpziy6u"/>
    <hyperlink ref="G606" r:id="rId476" display="https://audio.jukehost.co.uk/MWzbPvs4pjGy6PTdm7RpjByqSiPOUgtn"/>
    <hyperlink ref="G607" r:id="rId477" display="https://audio.jukehost.co.uk/roqW7Ww6PsYYqTJamgrLOCEKX8MdxOID"/>
    <hyperlink ref="G612" r:id="rId478" display="https://audio.jukehost.co.uk/czazP2cLB5CB26VIULxyOX97Fj0FwvwQ"/>
    <hyperlink ref="G625" r:id="rId479" display="https://audio.jukehost.co.uk/mLaoWI4NNj0m8BNtmL5jKSBb2vT0oZxk"/>
    <hyperlink ref="G626" r:id="rId480" display="https://audio.jukehost.co.uk/iQnnz3W7qJu1k8DxJ7MnpzUXYFsBMV6P"/>
    <hyperlink ref="G627" r:id="rId481" display="https://audio.jukehost.co.uk/bRXH3mtTPI9aYJ0NYVSIBjN8oSgxVjmB"/>
    <hyperlink ref="G628" r:id="rId482" display="https://audio.jukehost.co.uk/TYpuxYKIplvvG1TuqMGm1wypj3G4mABy"/>
    <hyperlink ref="G630" r:id="rId483" display="https://vgmtreasurechest.com/soundtracks/minecraft-gamerip-2011/audugduwgc/1-11.%2013.mp3"/>
    <hyperlink ref="G631" r:id="rId484" display="https://audio.jukehost.co.uk/HSYuARz9AwsuSfhW9MWrNh3QMbAHQwAg"/>
    <hyperlink ref="G632" r:id="rId485" display="https://vgmtreasurechest.com/soundtracks/minecraft-gamerip-2011/jtvbvnekbz/1-08.%20Dry%20Hands.mp3"/>
    <hyperlink ref="G633" r:id="rId486" display="https://vgmtreasurechest.com/soundtracks/minecraft-gamerip-2011/dosaqaaqzp/1-01.%20Key.mp3"/>
    <hyperlink ref="G635" r:id="rId487" display="https://audio.jukehost.co.uk/gsLzRIBoJGpoEbyxvMmbU8iCldLdxj3K"/>
    <hyperlink ref="G636" r:id="rId488" display="https://vgmtreasurechest.com/soundtracks/minecraft-gamerip-2011/xulrsqrqwj/1-02.%20Subwoofer%20Lullaby.mp3"/>
    <hyperlink ref="G637" r:id="rId489" display="https://vgmtreasurechest.com/soundtracks/minecraft-gamerip-2011/czcabeqevb/1-12.%20Sweden.mp3"/>
    <hyperlink ref="G638" r:id="rId490" display="https://vgmtreasurechest.com/soundtracks/sweden-caution-crisis-remix-2011/auoxnltndo/01.%20Sweden%20%28Caution%20%26%20Crisis%20Remix%29.mp3"/>
    <hyperlink ref="G639" r:id="rId491" display="https://vgmtreasurechest.com/soundtracks/minecraft-gamerip-2011/tqsspcaowj/1-09.%20Wet%20Hands.mp3"/>
    <hyperlink ref="G642" r:id="rId492" display="https://audio.jukehost.co.uk/nlsjVVV4UCV3idCozdCx7AmXyIfSVJ3Q"/>
    <hyperlink ref="G643" r:id="rId493" display="https://audio.jukehost.co.uk/sOAz4Fx6IHHsjf6BpC88V2ECbwPmFgcD"/>
    <hyperlink ref="G644" r:id="rId494" display="https://audio.jukehost.co.uk/8FPWW0H6YvxElQqmgMLgdjrbNhWutVgD"/>
    <hyperlink ref="G645" r:id="rId495" display="https://audio.jukehost.co.uk/b4iPbTOz0HYtaTjyswlqgXKGVrDncQHs"/>
    <hyperlink ref="G646" r:id="rId496" display="https://audio.jukehost.co.uk/WQoU57RGuYgHoFVn7qlvQXhpJGFl0Ibq"/>
    <hyperlink ref="G647" r:id="rId497" display="https://audio.jukehost.co.uk/yMOaXZYhYa57YVM0S5Fj0MWKQyTryw5I"/>
    <hyperlink ref="G648" r:id="rId498" display="https://audio.jukehost.co.uk/cBX20tmmFU8lEeMBbNR8dv8ZGuW7cBqP"/>
    <hyperlink ref="G649" r:id="rId499" display="https://audio.jukehost.co.uk/yMOaXZYhYa57YVM0S5Fj0MWKQyTryw5I"/>
    <hyperlink ref="G650" r:id="rId500" display="https://audio.jukehost.co.uk/AFpcVsDcBK9q6fD1JVycDX5oDtRH3p8H"/>
    <hyperlink ref="G651" r:id="rId501" display="https://audio.jukehost.co.uk/DTYSvntoic3Qaur1dBZI2EdaRyR6uuND"/>
    <hyperlink ref="G652" r:id="rId502" display="https://audio.jukehost.co.uk/f4w3qBt8MHAUAG9lWLKkABKqclYI0qcv"/>
    <hyperlink ref="G653" r:id="rId503" display="https://audio.jukehost.co.uk/013xVvvD3yNKGBVTV1RgERwZ8NhExpo9"/>
    <hyperlink ref="G654" r:id="rId504" display="https://audio.jukehost.co.uk/w6KnxMtkimivqeyC6BZxcj4AmdGuvcm3"/>
    <hyperlink ref="G656" r:id="rId505" display="https://audio.jukehost.co.uk/oS4catO8OoPsWPYUEL5NNtpEtmfeSuZr"/>
    <hyperlink ref="G657" r:id="rId506" display="https://audio.jukehost.co.uk/Fa0gLiFGrK4y6LCzPrO7Lhf9xCst3ve7"/>
    <hyperlink ref="G659" r:id="rId507" display="https://audio.jukehost.co.uk/VArWsOal7EpBGj16bXxYk0gHYHh25dav"/>
    <hyperlink ref="G660" r:id="rId508" display="https://audio.jukehost.co.uk/ANDa1lqrpJeft24lHqsUYTToTqSNg2q6"/>
    <hyperlink ref="G661" r:id="rId509" display="https://audio.jukehost.co.uk/ctlycNBUowMpTylLe4C7Ov2NVYehTZnx"/>
    <hyperlink ref="G662" r:id="rId510" display="https://audio.jukehost.co.uk/1Xy1zQd41CUQdfzbMcCdnQcGdHNRBTJf"/>
    <hyperlink ref="G663" r:id="rId511" display="https://audio.jukehost.co.uk/FrUGvGin6ZHQ1qzn5hQm3WWUghVPylaN"/>
    <hyperlink ref="G664" r:id="rId512" display="https://audio.jukehost.co.uk/esdrNhEAY9Quvv28jqvFS8QdlgidBSL7"/>
    <hyperlink ref="G665" r:id="rId513" display="https://audio.jukehost.co.uk/3P0fxI3Sq385ez1gGtyyt5AaYA8jTXlh"/>
    <hyperlink ref="G668" r:id="rId514" display="https://audio.jukehost.co.uk/1yG1DNgKumDIytg1L5tg2k4eHvDXGG8J"/>
    <hyperlink ref="G669" r:id="rId515" display="https://audio.jukehost.co.uk/byXw7onDFagSdCNEDVw5RLzJ9LRVnxsU"/>
    <hyperlink ref="G670" r:id="rId516" display="https://audio.jukehost.co.uk/Og4MpAmfxs7A09MICEHI12LozH6QGPQD"/>
    <hyperlink ref="G672" r:id="rId517" display="https://audio.jukehost.co.uk/2ccJLFomgf5fgcGiR5Cq9Bov7tL7m5f4"/>
    <hyperlink ref="G673" r:id="rId518" display="https://audio.jukehost.co.uk/VyPiiv8dSwSIPnENMalsSvJsNYxyFu8g"/>
    <hyperlink ref="G674" r:id="rId519" display="https://audio.jukehost.co.uk/GSCV6rjGZMwzKjldKT120kD2L52lfwof"/>
    <hyperlink ref="G675" r:id="rId520" display="https://audio.jukehost.co.uk/tg6V6j0c5LAdJqjELaCe9eRaBS9cVFwH"/>
    <hyperlink ref="G676" r:id="rId521" display="https://audio.jukehost.co.uk/iNNKfR26dWufjUdEJ9kpA3RXOxHGWOQ2"/>
    <hyperlink ref="G677" r:id="rId522" display="https://www.youtube.com/watch?v=_gIlIOasfG4"/>
    <hyperlink ref="G678" r:id="rId523" display="https://audio.jukehost.co.uk/qzx4cOp7nVc0CO0t1efH04VJqibDu40u"/>
    <hyperlink ref="G679" r:id="rId524" display="https://audio.jukehost.co.uk/YEIdQXRKI6YrY4yFyHfz4Un6EZK2G2kJ"/>
    <hyperlink ref="G680" r:id="rId525" display="https://www.youtube.com/watch?v=wuA_ReL_YlU"/>
    <hyperlink ref="G681" r:id="rId526" display="https://www.youtube.com/watch?v=S4LyHdlN9_o"/>
    <hyperlink ref="G685" r:id="rId527" display="https://audio.jukehost.co.uk/mQ68hGz8xlF88I9dHvAsJXnMtUcFs8oH"/>
    <hyperlink ref="G686" r:id="rId528" display="https://audio.jukehost.co.uk/RHjarceyKkNAKSrWjh1lGteon8x25L5I"/>
    <hyperlink ref="G687" r:id="rId529" display="https://lambda.vgmtreasurechest.com/soundtracks/octopath-traveler-original-soundtrack-2018/efoeelpr/1-06%20Primrose%2C%20the%20Dancer.mp3"/>
    <hyperlink ref="G689" r:id="rId530" display="https://audio.jukehost.co.uk/Jf6j5B32OytImzHjHGGtubA2F1UlJcqk"/>
    <hyperlink ref="G690" r:id="rId531" display="https://audio.jukehost.co.uk/Wi3H2XB64wfgp6xxqO0jNAp70dtFRzg2"/>
    <hyperlink ref="G691" r:id="rId532" display="https://audio.jukehost.co.uk/v3942Fxz5Gtg0J2gVao3FAkQVNKpCo3A"/>
    <hyperlink ref="G692" r:id="rId533" display="https://audio.jukehost.co.uk/780Zji4uJFLpi29B9WwScBItdY8lodmy"/>
    <hyperlink ref="G693" r:id="rId534" display="https://audio.jukehost.co.uk/3D5LrtDLFwL4ThUbiA1xzTSjiPpZ5mV4"/>
    <hyperlink ref="G694" r:id="rId535" display="https://audio.jukehost.co.uk/Jxugvk8Eaqu3NecJHnvMur7itqTfdQ9P"/>
    <hyperlink ref="G695" r:id="rId536" display="https://audio.jukehost.co.uk/NZJHk2aEvfJzPYZz2mJCLBydLHlsz6E5"/>
    <hyperlink ref="G696" r:id="rId537" display="https://audio.jukehost.co.uk/JrlqUilWhziNjjD77fTyg1kMWOfVGAg4"/>
    <hyperlink ref="G697" r:id="rId538" display="https://audio.jukehost.co.uk/57bw1zMXfCmhp171fDiRZglQ07VrlRf4"/>
    <hyperlink ref="G698" r:id="rId539" display="https://audio.jukehost.co.uk/ISdgrUFgjU836t6qTWn2AbdBIeH8vJ1L"/>
    <hyperlink ref="G699" r:id="rId540" display="https://audio.jukehost.co.uk/zCVCTmOuBxs4xw5ZLjUMyThboT8L8P8I"/>
    <hyperlink ref="G700" r:id="rId541" display="https://audio.jukehost.co.uk/dcA30yiFoxM0RqnNZYYxOZvagDbNrCYO"/>
    <hyperlink ref="G701" r:id="rId542" display="https://audio.jukehost.co.uk/iU6hTKUIEu0iSPDITUG3lRRS1Ir4TFOn"/>
    <hyperlink ref="G702" r:id="rId543" display="https://audio.jukehost.co.uk/CsV4ZYlVa2xoUTQjMFntNxbUxegveIbj"/>
    <hyperlink ref="G703" r:id="rId544" display="https://audio.jukehost.co.uk/pkWtURuUqjjjrKzSJdh8CRmxxQWnvBA2"/>
    <hyperlink ref="G704" r:id="rId545" display="https://audio.jukehost.co.uk/VHVfUXppO610EfDh28HwNeXXviInaQZW"/>
    <hyperlink ref="G705" r:id="rId546" display="https://audio.jukehost.co.uk/lYbZdihVgn4Zpvt8WLrTgNOVRMJvjQTq"/>
    <hyperlink ref="G706" r:id="rId547" display="https://audio.jukehost.co.uk/t0wRIfa7UWjC0guV1SjhzxnM0geJ2fae"/>
    <hyperlink ref="G707" r:id="rId548" display="https://audio.jukehost.co.uk/JIIG9Wdmway83faq523tdtcjxXNxoUJg"/>
    <hyperlink ref="G708" r:id="rId549" display="https://audio.jukehost.co.uk/FZiP1HdWcnUTwEvdGsntzqBH4AEa64Oi"/>
    <hyperlink ref="G709" r:id="rId550" display="https://audio.jukehost.co.uk/low7URjGbEoGWLJDjWD2a2z9ihruymP4"/>
    <hyperlink ref="G710" r:id="rId551" display="https://audio.jukehost.co.uk/bdLdpohMJjMhyAp3guDkbGgudwBWiEgz"/>
    <hyperlink ref="G711" r:id="rId552" display="https://audio.jukehost.co.uk/X8phW3HdSs0tSbl7ygsNZjQIadqgxhoi"/>
    <hyperlink ref="G712" r:id="rId553" display="https://audio.jukehost.co.uk/4QzXc3MSach2wpBg4sWV8WejbSZEor01"/>
    <hyperlink ref="G713" r:id="rId554" display="https://audio.jukehost.co.uk/mteNTqRWU9upbVyYQFw91jalPEsYCmqS"/>
    <hyperlink ref="G714" r:id="rId555" display="https://audio.jukehost.co.uk/5ppeC2DWQcsKzT9zkKRSUeeoTx2Vz4nJ"/>
    <hyperlink ref="G716" r:id="rId556" display="https://audio.jukehost.co.uk/oGa1tpcpmY7FGMeIDcwOqcAT7PfEMkFo"/>
    <hyperlink ref="G717" r:id="rId557" display="https://audio.jukehost.co.uk/rKi0hxmUTftTGM2fjq18V8M9XpPGydkD"/>
    <hyperlink ref="G718" r:id="rId558" display="https://audio.jukehost.co.uk/UtllOMckjrs6vtM4ew70n342oKKKTAG9"/>
    <hyperlink ref="G720" r:id="rId559" display="https://audio.jukehost.co.uk/utjYuVC0yLVpaGT4eHXkugcucU6oNUrA"/>
    <hyperlink ref="G721" r:id="rId560" display="https://lambda.vgmtreasurechest.com/soundtracks/outer-wilds-original-soundtrack/ixnvojdq/10.%20End%20Times.mp3"/>
    <hyperlink ref="G722" r:id="rId561" display="https://lambda.vgmtreasurechest.com/soundtracks/outer-wilds-original-soundtrack/pjaaacjo/02.%20Outer%20Wilds.mp3"/>
    <hyperlink ref="G723" r:id="rId562" display="https://lambda.vgmtreasurechest.com/soundtracks/outer-wilds-original-soundtrack/nrvbvzmk/20.%20Travelers.mp3"/>
    <hyperlink ref="G724" r:id="rId563" display="https://audio.jukehost.co.uk/pF7HrZK4E2y7uWcdxnSK44lTTbMfP03D"/>
    <hyperlink ref="G725" r:id="rId564" display="https://jetta.vgmtreasurechest.com/soundtracks/outer-wilds-echoes-of-the-eye-the-lost-reels-deluxe-original-game-soundtrack-2022/ezirkbaz/02.%20The%20River.mp3"/>
    <hyperlink ref="G726" r:id="rId565" display="https://jetta.vgmtreasurechest.com/soundtracks/outer-wilds-echoes-of-the-eye-the-lost-reels-deluxe-original-game-soundtrack-2022/juwzipze/21.%20Travelers%27%20encore.mp3"/>
    <hyperlink ref="G727" r:id="rId566" display="https://audio.jukehost.co.uk/6bt3rhW0MhlBP0DVqQra8HmaN5zcWISy"/>
    <hyperlink ref="G728" r:id="rId567" display="https://audio.jukehost.co.uk/k2jHOUFZVPeW7TArfoyMFk20263j2H9e"/>
    <hyperlink ref="G729" r:id="rId568" display="https://vgmtreasurechest.com/soundtracks/palworld-2024/pylunpmrds/01.%20The%20Beginning.mp3"/>
    <hyperlink ref="G732" r:id="rId569" display="https://audio.jukehost.co.uk/x05I4NyhIZB0ntOYsYA2fyvYoXXaNg9P"/>
    <hyperlink ref="G733" r:id="rId570" display="https://audio.jukehost.co.uk/FMl0acrA8wRmHl0Cu4lbbfx9ZMp1Qkwc"/>
    <hyperlink ref="G735" r:id="rId571" display="https://audio.jukehost.co.uk/hJRxmApNbKQCkaORsjWhYeOUjZJcZvEe"/>
    <hyperlink ref="E736" r:id="rId572" display="https://downloads.khinsider.com/game-soundtracks/album/persona-1-the-complete-soundtrack/3-009.%2520A%2520Lone%2520Prayer.mp3"/>
    <hyperlink ref="G736" r:id="rId573" display="https://nu.vgmtreasurechest.com/soundtracks/persona-1-the-complete-soundtrack/ujioufui/3-009.%20A%20Lone%20Prayer.mp3"/>
    <hyperlink ref="G737" r:id="rId574" display="https://audio.jukehost.co.uk/hLhTLkAvS1UiMoxtWeLpbaTlOFl5zhEJ"/>
    <hyperlink ref="G738" r:id="rId575" display="https://audio.jukehost.co.uk/6jyB11ZKLsw3oqTYcT5cvldA2h3bPFzV"/>
    <hyperlink ref="G741" r:id="rId576" display="https://audio.jukehost.co.uk/x4IoLmfmyQJFXqyCZQAYCDA2a2Dr9eoP"/>
    <hyperlink ref="G742" r:id="rId577" display="https://audio.jukehost.co.uk/6GGCKL9A6vJbJhvjpj4su1iIy29hTET7"/>
    <hyperlink ref="G743" r:id="rId578" display="https://audio.jukehost.co.uk/RBHRrIy90owxx1KapBTKKlH4P1rJQ5Vd"/>
    <hyperlink ref="G744" r:id="rId579" display="https://audio.jukehost.co.uk/JyEKioNKEOgikaEhXQRaRjp2CLPKVmNr"/>
    <hyperlink ref="G745" r:id="rId580" display="https://audio.jukehost.co.uk/nX5iDsb9Cs3lgpa3fg7ZUWO8whcaeCCd"/>
    <hyperlink ref="G747" r:id="rId581" display="https://nu.vgmtreasurechest.com/soundtracks/persona-3-reload-ps4-ps5-windows-xbox-one-xbox-series-xs-gamerip-2024/konycrck/44.%20tartarus_0d01.mp3"/>
    <hyperlink ref="G751" r:id="rId582" display="https://audio.jukehost.co.uk/E83POmbHEHauyIxk0OvNME6xXfO4qAzf"/>
    <hyperlink ref="G752" r:id="rId583" display="https://audio.jukehost.co.uk/jR7WxbnMSan6KP6CGj0Y44bmOQXt8ZAc"/>
    <hyperlink ref="G753" r:id="rId584" display="https://audio.jukehost.co.uk/vksrycqVcFyVOJqgF7DH6crwLUjRM4Rv"/>
    <hyperlink ref="G754" r:id="rId585" display="https://audio.jukehost.co.uk/Djozqqs3cZwPKpckhGt7iy8F2WSSG23B"/>
    <hyperlink ref="G755" r:id="rId586" display="https://audio.jukehost.co.uk/7zHiY3yN9RNNdQ9xLquXnJi6EmDTHQXz"/>
    <hyperlink ref="G756" r:id="rId587" display="https://audio.jukehost.co.uk/lx15NBmR4jaJDzU6dCo83Na48922avVo"/>
    <hyperlink ref="E757" r:id="rId588" display="https://downloads.khinsider.com/game-soundtracks/album/persona-4-dancing-all-night-the-complete-soundtrack/01.%2520Dance%2521.mp3"/>
    <hyperlink ref="G757" r:id="rId589" display="https://jetta.vgmtreasurechest.com/soundtracks/persona-4-dancing-all-night-the-complete-soundtrack/nknkkuse/01.%20Dance%21.mp3"/>
    <hyperlink ref="E758" r:id="rId590" display="https://downloads.khinsider.com/game-soundtracks/album/persona-4-dancing-all-night-the-complete-soundtrack/25.%2520Specialist%2520%2528Never%2520More%2520P4D-EDIT%2520ver.%2529.mp3"/>
    <hyperlink ref="G758" r:id="rId591" display="https://jetta.vgmtreasurechest.com/soundtracks/persona-4-dancing-all-night-the-complete-soundtrack/wdbvxeaq/25.%20Specialist%20%28Never%20More%20P4D-EDIT%20ver.%29.mp3"/>
    <hyperlink ref="E759" r:id="rId592" display="https://downloads.khinsider.com/game-soundtracks/album/persona-4-golden-the-complete-soundtrack/2-01.%2520Shadow%2520World.mp3"/>
    <hyperlink ref="G759" r:id="rId593" display="https://audio.jukehost.co.uk/z8KOQTtMH2LwiKnVXNOiu0hDHvBGVeH8"/>
    <hyperlink ref="E760" r:id="rId594" display="https://downloads.khinsider.com/game-soundtracks/album/persona-5-royal-the-complete-soundtrack/1-08.%2520Aria%2520of%2520the%2520Soul.mp3"/>
    <hyperlink ref="G760" r:id="rId595" display="https://lambda.vgmtreasurechest.com/soundtracks/persona-5-royal-the-complete-soundtrack/aaacksim/1-08.%20Aria%20of%20the%20Soul.mp3"/>
    <hyperlink ref="E761" r:id="rId596" display="https://downloads.khinsider.com/game-soundtracks/album/persona-5-royal-the-complete-soundtrack/1-29.%2520Beneath%2520the%2520Mask.mp3"/>
    <hyperlink ref="G761" r:id="rId597" display="https://lambda.vgmtreasurechest.com/soundtracks/persona-5-royal-the-complete-soundtrack/meknlooc/1-29.%20Beneath%20the%20Mask.mp3"/>
    <hyperlink ref="E762" r:id="rId598" display="https://downloads.khinsider.com/game-soundtracks/album/persona-5-royal-the-complete-soundtrack/1-17.%2520Last%2520Surprise.mp3"/>
    <hyperlink ref="G762" r:id="rId599" display="https://lambda.vgmtreasurechest.com/soundtracks/persona-5-royal-the-complete-soundtrack/lznrveie/1-17.%20Last%20Surprise.mp3"/>
    <hyperlink ref="E763" r:id="rId600" display="https://downloads.khinsider.com/game-soundtracks/album/persona-5-royal-the-complete-soundtrack/2-16.%2520Price.mp3"/>
    <hyperlink ref="G763" r:id="rId601" display="https://lambda.vgmtreasurechest.com/soundtracks/persona-5-royal-the-complete-soundtrack/nohtvzka/2-16.%20Price.mp3"/>
    <hyperlink ref="E764" r:id="rId602" display="https://downloads.khinsider.com/game-soundtracks/album/persona-5-royal-the-complete-soundtrack/3-22.%2520Rivers%2520in%2520the%2520Desert.mp3"/>
    <hyperlink ref="G764" r:id="rId603" display="https://lambda.vgmtreasurechest.com/soundtracks/persona-5-royal-the-complete-soundtrack/xagixnvo/3-22.%20Rivers%20in%20the%20Desert.mp3"/>
    <hyperlink ref="E765" r:id="rId604" display="https://downloads.khinsider.com/game-soundtracks/album/persona-5-royal-the-complete-soundtrack/3-10.%2520The%2520Whims%2520of%2520Fate.mp3"/>
    <hyperlink ref="G765" r:id="rId605" display="https://audio.jukehost.co.uk/pPbefGC8MPNHP4Ce0M5O7b7VHkdfHYBa"/>
    <hyperlink ref="E766" r:id="rId606" display="https://downloads.khinsider.com/game-soundtracks/album/persona-5-royal-the-complete-soundtrack/1-01.%2520Wake%2520Up%252C%2520Get%2520Up%252C%2520Get%2520Out%2520There.mp3"/>
    <hyperlink ref="G766" r:id="rId607" display="https://audio.jukehost.co.uk/OoTbHpXrTO3S8XwtPVcFO96HBbFvaskZ"/>
    <hyperlink ref="G767" r:id="rId608" display="https://audio.jukehost.co.uk/0W7x46iJvfr1Jcea8p8XeoE1gmuH1lhi"/>
    <hyperlink ref="E769" r:id="rId609" display="https://downloads.khinsider.com/game-soundtracks/album/persona-5-royal-the-complete-soundtrack/5-04.%2520Another%2520Ideology.mp3"/>
    <hyperlink ref="G769" r:id="rId610" display="https://lambda.vgmtreasurechest.com/soundtracks/persona-5-royal-the-complete-soundtrack/vltikbcf/5-04.%20Another%20Ideology.mp3"/>
    <hyperlink ref="E770" r:id="rId611" display="https://downloads.khinsider.com/game-soundtracks/album/persona-5-royal-the-complete-soundtrack/5-03.%2520Gentle%2520Madman.mp3"/>
    <hyperlink ref="G770" r:id="rId612" display="https://lambda.vgmtreasurechest.com/soundtracks/persona-5-royal-the-complete-soundtrack/kqzacmdg/5-03.%20Gentle%20Madman.mp3"/>
    <hyperlink ref="E771" r:id="rId613" display="https://downloads.khinsider.com/game-soundtracks/album/persona-5-royal-the-complete-soundtrack/5-08.%2520I%2520believe.mp3"/>
    <hyperlink ref="G771" r:id="rId614" display="https://audio.jukehost.co.uk/PzRwjxxII8mucMATKZprh26MidYBqWYm"/>
    <hyperlink ref="E772" r:id="rId615" display="https://downloads.khinsider.com/game-soundtracks/album/persona-5-royal-the-complete-soundtrack/4-03.%2520Take%2520Over.mp3"/>
    <hyperlink ref="G772" r:id="rId616" display="https://lambda.vgmtreasurechest.com/soundtracks/persona-5-royal-the-complete-soundtrack/jslaxiys/4-03.%20Take%20Over.mp3"/>
    <hyperlink ref="G780" r:id="rId617" display="https://audio.jukehost.co.uk/1NUvY9wCztH541AfqILpxLA365FmxtEU"/>
    <hyperlink ref="G781" r:id="rId618" display="https://audio.jukehost.co.uk/UfW4naw5PZYDweqfh6DNN8fs2j7spLl0"/>
    <hyperlink ref="G782" r:id="rId619" display="https://audio.jukehost.co.uk/r8zrvh6xTLhXYa61mYEbvTNahzmrFOqt"/>
    <hyperlink ref="G783" r:id="rId620" display="https://audio.jukehost.co.uk/avNKmwRyb75lekzHuFKNSOkSnUH9bu9n"/>
    <hyperlink ref="G784" r:id="rId621" display="https://audio.jukehost.co.uk/aaDpWbGwXYvnzHps14ioTxE6jKOrbN9t"/>
    <hyperlink ref="G785" r:id="rId622" display="https://audio.jukehost.co.uk/5zG6fvWAJDif1tivZoXs8ahSHXQoYPq2"/>
    <hyperlink ref="G786" r:id="rId623" display="https://audio.jukehost.co.uk/lgTzIqySH6dto46P6kSTvGNEeRREvu59"/>
    <hyperlink ref="G787" r:id="rId624" display="https://audio.jukehost.co.uk/bQtPhcFFoMdieJLe7CTsbwTb8mq9TB0S"/>
    <hyperlink ref="G788" r:id="rId625" display="https://audio.jukehost.co.uk/bZT1fNnUgY2UkUPOtuaualqaqIsUM6z5"/>
    <hyperlink ref="E789" r:id="rId626" display="https://downloads.khinsider.com/game-soundtracks/album/pokemon-red-green-blue-yellow/01.%2520Opening%2520Movie%2520%2528Red%252C%2520Green%2520%2526%2520Blue%2520Version%2529.mp3"/>
    <hyperlink ref="E790" r:id="rId627" display="https://downloads.khinsider.com/game-soundtracks/album/pokemon-red-green-blue-yellow/03%2520Title%2520Screen.mp3"/>
    <hyperlink ref="E791" r:id="rId628" display="https://downloads.khinsider.com/game-soundtracks/album/pokemon-red-green-blue-yellow/04%2520Pallet%2520Town.mp3"/>
    <hyperlink ref="E792" r:id="rId629" display="https://downloads.khinsider.com/game-soundtracks/album/pokemon-red-green-blue-yellow/06.%2520Hurry%2520Along.mp3"/>
    <hyperlink ref="E793" r:id="rId630" display="https://downloads.khinsider.com/game-soundtracks/album/pokemon-red-green-blue-yellow/07.%2520Pok%25C3%25A9mon%2520Lab.mp3"/>
    <hyperlink ref="E794" r:id="rId631" display="https://downloads.khinsider.com/game-soundtracks/album/pokemon-red-green-blue-yellow/09.%2520Rival%2520Appears%2521.mp3"/>
    <hyperlink ref="E795" r:id="rId632" display="https://downloads.khinsider.com/game-soundtracks/album/pokemon-red-green-blue-yellow/12.%2520Victory%2521%2520%2528Trainer%2520Battle%2529.mp3"/>
    <hyperlink ref="E796" r:id="rId633" display="https://downloads.khinsider.com/game-soundtracks/album/pokemon-red-green-blue-yellow/17%2520Viridian%2520City.mp3"/>
    <hyperlink ref="E797" r:id="rId634" display="https://downloads.khinsider.com/game-soundtracks/album/pokemon-red-green-blue-yellow/18%2520Pok%25C3%25A9mon%2520Center.mp3"/>
    <hyperlink ref="E798" r:id="rId635" display="https://downloads.khinsider.com/game-soundtracks/album/pokemon-red-green-blue-yellow/22%2520Viridian%2520Forest.mp3"/>
    <hyperlink ref="E799" r:id="rId636" display="https://downloads.khinsider.com/game-soundtracks/album/pokemon-red-green-blue-yellow/23.%2520A%2520Trainer%2520Appears%2520%2528Boy%2520Version%2529.mp3"/>
    <hyperlink ref="E800" r:id="rId637" display="https://downloads.khinsider.com/game-soundtracks/album/pokemon-red-green-blue-yellow/38.%2520Bicycle.mp3"/>
    <hyperlink ref="E801" r:id="rId638" display="https://downloads.khinsider.com/game-soundtracks/album/pokemon-red-green-blue-yellow/41%2520Celadon%2520City.mp3"/>
    <hyperlink ref="E802" r:id="rId639" display="https://downloads.khinsider.com/game-soundtracks/album/pokemon-red-green-blue-yellow/45%2520Pok%25C3%25A9mon%2520Tower.mp3"/>
    <hyperlink ref="E803" r:id="rId640" display="https://downloads.khinsider.com/game-soundtracks/album/pokemon-red-green-blue-yellow/50%2520Victory%2520Road.mp3"/>
    <hyperlink ref="E804" r:id="rId641" display="https://downloads.khinsider.com/game-soundtracks/album/pokemon-red-green-blue-yellow/27%2520Pok%25C3%25A9mon%2520Gym.mp3"/>
    <hyperlink ref="E805" r:id="rId642" display="https://downloads.khinsider.com/game-soundtracks/album/pokemon-red-green-blue-yellow/28.%2520Battle%2521%2520%2528Gym%2520Leader%2529.mp3"/>
    <hyperlink ref="E806" r:id="rId643" display="https://downloads.khinsider.com/game-soundtracks/album/pokemon-red-green-blue-yellow/30%2520Route%25203.mp3"/>
    <hyperlink ref="E807" r:id="rId644" display="https://downloads.khinsider.com/game-soundtracks/album/pokemon-red-green-blue-yellow/32%2520Mt.%2520Moon.mp3"/>
    <hyperlink ref="E808" r:id="rId645" display="https://downloads.khinsider.com/game-soundtracks/album/pokemon-red-green-blue-yellow/33.%2520A%2520Trainer%2520Appears%2520%2528Bad%2520Guy%2520Version%2529.mp3"/>
    <hyperlink ref="E809" r:id="rId646" display="https://downloads.khinsider.com/game-soundtracks/album/pokemon-red-green-blue-yellow/34%2520Cerulean%2520City.mp3"/>
    <hyperlink ref="G810" r:id="rId647" display="https://audio.jukehost.co.uk/3fscAMvpTRV4Yy7jOI344TKsyN0vcM4O"/>
    <hyperlink ref="G812" r:id="rId648" display="https://audio.jukehost.co.uk/kHFUUUOgtQozg8JKKMCxX5bChqEQoGbp"/>
    <hyperlink ref="G813" r:id="rId649" display="https://audio.jukehost.co.uk/tdayZolqZ9VA8kbSkolFP7cFR5Kp3nIh"/>
    <hyperlink ref="G814" r:id="rId650" display="https://audio.jukehost.co.uk/iUsOjrJ9IPrv8VK7fpAHuutctZBMeiLp"/>
    <hyperlink ref="G815" r:id="rId651" display="https://audio.jukehost.co.uk/Du0AyyL3EGhOnL9jKF8nJdq8S3VhZbgn"/>
    <hyperlink ref="G816" r:id="rId652" display="https://audio.jukehost.co.uk/Ap1h0i9AOsS5LdHyRr4iz78F8bsL7tG4"/>
    <hyperlink ref="G817" r:id="rId653" display="https://audio.jukehost.co.uk/FQ568qYG5qZJC7LkQUGwifYNSEgOWplT"/>
    <hyperlink ref="G818" r:id="rId654" display="https://audio.jukehost.co.uk/Y2p0kMyOIeRADX4o1X8bq2AOFoYcsMnT"/>
    <hyperlink ref="G819" r:id="rId655" display="https://audio.jukehost.co.uk/g1DPFrmfSAtykVEDf6pGtmH5FPMPyzhd"/>
    <hyperlink ref="G820" r:id="rId656" display="https://audio.jukehost.co.uk/tZGnya2JfTGHehqZA9yU8iI0poPiH3jY"/>
    <hyperlink ref="G821" r:id="rId657" display="https://audio.jukehost.co.uk/YOH7qTmb8LDwIk1WJdhVmtvHaMB0dzyN"/>
    <hyperlink ref="G822" r:id="rId658" display="https://audio.jukehost.co.uk/MsvZLpZjBkHGkGrkC9kDL74zHdLYirrg"/>
    <hyperlink ref="G824" r:id="rId659" display="https://audio.jukehost.co.uk/ZGnUR96jDdlPWVO55wYRtQ0rR9qRia3G"/>
    <hyperlink ref="G825" r:id="rId660" display="https://audio.jukehost.co.uk/pd272B3IINvcxRRdH65AbcZgdzB8nPir"/>
    <hyperlink ref="G826" r:id="rId661" display="https://audio.jukehost.co.uk/wTF7nkhQZwHygyN63BN0LxxYvLYzjRWq"/>
    <hyperlink ref="G827" r:id="rId662" display="https://audio.jukehost.co.uk/wFDoIacmCgBUZAjeEiD7jVtxBQy3fRAx"/>
    <hyperlink ref="G829" r:id="rId663" display="https://audio.jukehost.co.uk/FHfQalrgk53ST6U1Sk4MrHwYySotT9Ne"/>
    <hyperlink ref="G830" r:id="rId664" display="https://audio.jukehost.co.uk/IWm2VAvStcbJcXfafDpERlr8PG9x004N"/>
    <hyperlink ref="G831" r:id="rId665" display="https://audio.jukehost.co.uk/kcywNAN4U0uvD88AfYwDzHHey9cJcCF6"/>
    <hyperlink ref="G832" r:id="rId666" display="https://audio.jukehost.co.uk/y2OcSqy5FuC8QocpOhmuiH5wguaEZoud"/>
    <hyperlink ref="G833" r:id="rId667" display="https://audio.jukehost.co.uk/Lx2mA69w9jFMFGkh5T5tXZFkhdvJYqxf"/>
    <hyperlink ref="G834" r:id="rId668" display="https://audio.jukehost.co.uk/vOyt7yQMaimM0u6qLvxOJLI1BgG7bt6u"/>
    <hyperlink ref="G836" r:id="rId669" display="https://audio.jukehost.co.uk/VKo3a3gQDP7RFJ2zxS5qu9Gnjpa3TXFx"/>
    <hyperlink ref="G838" r:id="rId670" display="https://audio.jukehost.co.uk/T9oPVlGBDKHJ9Myct1RvhepJt5enwIJW"/>
    <hyperlink ref="G839" r:id="rId671" display="https://audio.jukehost.co.uk/uCZF3pHIfIDxpxelxgBne3zXFWFhIxuP"/>
    <hyperlink ref="G840" r:id="rId672" display="https://audio.jukehost.co.uk/PyWgaT3ITqd5lWq7PnktSeNafzpQZlku"/>
    <hyperlink ref="G841" r:id="rId673" display="https://audio.jukehost.co.uk/txLXQK9MCsZdrcOy9Zu7WEcYnU8LUj8z"/>
    <hyperlink ref="G842" r:id="rId674" display="https://audio.jukehost.co.uk/W6Re3bHeitJW4WpUg1TtOW1PGmbY3paX"/>
    <hyperlink ref="G843" r:id="rId675" display="https://audio.jukehost.co.uk/JEXO7lwfWnmKpjH1d6a7eOj3Qmfz1KF3"/>
    <hyperlink ref="G844" r:id="rId676" display="https://audio.jukehost.co.uk/yiZAMHQEDfMyuehUPhl47mmwsfZwjzvD"/>
    <hyperlink ref="G845" r:id="rId677" display="https://audio.jukehost.co.uk/SZaUgFtrHvmcjNuUOQxg0W6AEtWIlEt1"/>
    <hyperlink ref="G846" r:id="rId678" display="https://audio.jukehost.co.uk/dxJmELONrsL9XbEGt02XQdV1NbJbcPrE"/>
    <hyperlink ref="G847" r:id="rId679" display="https://audio.jukehost.co.uk/DyT81fbbmqYVXfZZAE0mGNKTCM9uUSKE"/>
    <hyperlink ref="G848" r:id="rId680" display="https://audio.jukehost.co.uk/rfByAbzwNVGa1LYg0NEiN4cwpthaRaLj"/>
    <hyperlink ref="G849" r:id="rId681" display="https://audio.jukehost.co.uk/hKmMAYoRX2JrE6E7gqBksTpa2z2I7Jz6"/>
    <hyperlink ref="G850" r:id="rId682" display="https://audio.jukehost.co.uk/PSG93xm4PakvIHbpdSsbTuVR4sOV0q1f"/>
    <hyperlink ref="G851" r:id="rId683" display="https://audio.jukehost.co.uk/L204gxRVvIUr5Mrs58DWmAsdCQ1beClT"/>
    <hyperlink ref="G852" r:id="rId684" display="https://audio.jukehost.co.uk/mCL2tMF1NKezApz2GisHjOLQ1rNcizdY"/>
    <hyperlink ref="G853" r:id="rId685" display="https://audio.jukehost.co.uk/DtThTSzvm0wbk44IwEJR7T9lEdFYgAbo"/>
    <hyperlink ref="E854" r:id="rId686" display="https://downloads.khinsider.com/game-soundtracks/album/pok-mon-shuffle-3ds-gamerip-2015/08.%2520Galerie%2520Rouge.mp3"/>
    <hyperlink ref="E855" r:id="rId687" display="https://downloads.khinsider.com/game-soundtracks/album/pok-mon-shuffle-3ds-gamerip-2015/06.%2520Isla%2520Asul.mp3"/>
    <hyperlink ref="E856" r:id="rId688" display="https://downloads.khinsider.com/game-soundtracks/album/pok-mon-shuffle-3ds-gamerip-2015/07.%2520Rainbow%2520Park.mp3"/>
    <hyperlink ref="E857" r:id="rId689" display="https://downloads.khinsider.com/game-soundtracks/album/pok-mon-shuffle-3ds-gamerip-2015/10.%2520Silbern%2520Museum.mp3"/>
    <hyperlink ref="E858" r:id="rId690" display="https://downloads.khinsider.com/game-soundtracks/album/pok-mon-shuffle-3ds-gamerip-2015/09.%2520Sweet%2520Strasse.mp3"/>
    <hyperlink ref="E859" r:id="rId691" display="https://downloads.khinsider.com/game-soundtracks/album/pok-mon-shuffle-3ds-gamerip-2015/02.%2520Title%2520Screen.mp3"/>
    <hyperlink ref="E860" r:id="rId692" display="https://downloads.khinsider.com/game-soundtracks/album/pokemon-mystery-dungeon-explorers-of-sky/68.%2520Dialga%2527s%2520Fight%2520to%2520the%2520Finish%2521.mp3"/>
    <hyperlink ref="E861" r:id="rId693" display="https://downloads.khinsider.com/game-soundtracks/album/pokemon-mystery-dungeon-explorers-of-sky/70.%2520Don%2527t%2520Ever%2520Forget....mp3"/>
    <hyperlink ref="E862" r:id="rId694" display="https://downloads.khinsider.com/game-soundtracks/album/pokemon-mystery-dungeon-explorers-of-sky/64.%2520Temporal%2520Tower.mp3"/>
    <hyperlink ref="G865" r:id="rId695" display="https://audio.jukehost.co.uk/xVhYtLVwjA21bY9F5e89Sl8ZVluJ4kop"/>
    <hyperlink ref="E867" r:id="rId696" display="https://downloads.khinsider.com/game-soundtracks/album/pokemon-mystery-dungeon-blue-rescue-team/01.%2520Opening.mp3"/>
    <hyperlink ref="E868" r:id="rId697" display="https://downloads.khinsider.com/game-soundtracks/album/pokemon-mystery-dungeon-blue-rescue-team/13.%2520Pokemon%2520Square.mp3"/>
    <hyperlink ref="E869" r:id="rId698" display="https://downloads.khinsider.com/game-soundtracks/album/pokemon-mystery-dungeon-blue-rescue-team/10.%2520Rescue%2520Base.mp3"/>
    <hyperlink ref="E870" r:id="rId699" display="https://downloads.khinsider.com/game-soundtracks/album/pokemon-mystery-dungeon-blue-rescue-team/03.%2520Top%2520Menu.mp3"/>
    <hyperlink ref="E871" r:id="rId700" display="https://downloads.khinsider.com/game-soundtracks/album/pokemon-mystery-dungeon-blue-rescue-team/04.%2520Welcome%2521%2520To%2520the%2520World%2520of%2520Pokemon%2521.mp3"/>
    <hyperlink ref="G872" r:id="rId701" display="https://audio.jukehost.co.uk/upWKz8NL7VWKieX8imsbxr37OZDHbSAY"/>
    <hyperlink ref="G873" r:id="rId702" display="https://jetta.vgmtreasurechest.com/soundtracks/portal-2-soundtrack-songs-to-test-by-collectors-edition/bwgodxcu/3-04%20-%20Machiavellian%20Bach.mp3"/>
    <hyperlink ref="G874" r:id="rId703" display="https://audio.jukehost.co.uk/a37kA1BSebVHcxKhOyqQndc2XoxdaJxA"/>
    <hyperlink ref="G875" r:id="rId704" display="https://jetta.vgmtreasurechest.com/soundtracks/portal-2-soundtrack-songs-to-test-by-collectors-edition/dohvemyd/3-24%20-%20Robots%20FTW.mp3"/>
    <hyperlink ref="G876" r:id="rId705" display="https://audio.jukehost.co.uk/Kbv89qV96PacGdkDoFcWRzLhUbzhfQzU"/>
    <hyperlink ref="G877" r:id="rId706" display="https://audio.jukehost.co.uk/GgVHZ43CnEbNbGG7IUo7hIdGSnZybC4U"/>
    <hyperlink ref="G878" r:id="rId707" display="https://audio.jukehost.co.uk/sefke4cpFVXAad42QhdWhVdIIPYv05QC"/>
    <hyperlink ref="G879" r:id="rId708" display="https://audio.jukehost.co.uk/aFggaivHvdF2Wxcyo5HNbTV8lShUXetd"/>
    <hyperlink ref="G880" r:id="rId709" display="https://audio.jukehost.co.uk/Z74BnrG9bTslBt9lQDzxQdXA3eFQwRW1"/>
    <hyperlink ref="G881" r:id="rId710" display="https://vgmtreasurechest.com/soundtracks/professor-layton-and-the-curious-village/waxhdylvtw/05.%20Puzzles.mp3"/>
    <hyperlink ref="G882" r:id="rId711" display="https://audio.jukehost.co.uk/es8jFRxkAnYQF9EhVvyYNl3ppjT5G2mL"/>
    <hyperlink ref="G883" r:id="rId712" display="https://nu.vgmtreasurechest.com/soundtracks/professor-layton-and-the-unwound-future-hd-android-ios-mobile-gamerip-2020/gkjoswfk/01.%20Theme%20of%20the%20Last%20Time%20Travel.mp3"/>
    <hyperlink ref="G884" r:id="rId713" display="https://audio.jukehost.co.uk/m0KvgHSKHqMlczeCFo58ItQNE4y6yFdB"/>
    <hyperlink ref="G891" r:id="rId714" display="https://audio.jukehost.co.uk/yD5kIqHZ05BS86FdIldvWNyw2DxKYng9"/>
    <hyperlink ref="G892" r:id="rId715" display="https://audio.jukehost.co.uk/AtBrZPsxuWWay2EBxIbmPlRcKiBUSgN1"/>
    <hyperlink ref="G893" r:id="rId716" display="https://audio.jukehost.co.uk/V3gjcpVF64H0iSNzeuQsp2ZpdvnclBEm"/>
    <hyperlink ref="G894" r:id="rId717" display="https://audio.jukehost.co.uk/4UdzdmG6WrqyK55l265wVDV1q8NKmkJz"/>
    <hyperlink ref="G895" r:id="rId718" display="https://audio.jukehost.co.uk/X9JfAqfz3s4AqtleElsuk4G7ili8QIuI"/>
    <hyperlink ref="G896" r:id="rId719" display="https://audio.jukehost.co.uk/djOiGXOwh9tbV9KSDdO06x3H9rqpiRKI"/>
    <hyperlink ref="G897" r:id="rId720" display="https://audio.jukehost.co.uk/Bqp32H9oNse0wVpSFnnbg2vNnUWkfZFZ"/>
    <hyperlink ref="G898" r:id="rId721" display="https://www.youtube.com/watch?v=tl5jje78Ya4"/>
    <hyperlink ref="G899" r:id="rId722" display="https://audio.jukehost.co.uk/a1YPGEu5xXaw1Mh4PpoMOQNBr9vnhtyx"/>
    <hyperlink ref="G900" r:id="rId723" display="https://audio.jukehost.co.uk/P5Cls83KL9m1TgkCZACqzjQd4O11bgNS"/>
    <hyperlink ref="G902" r:id="rId724" display="https://audio.jukehost.co.uk/Xp0CGnyYf4zC0n6PtOnfhq11MkntQCy1"/>
    <hyperlink ref="G903" r:id="rId725" display="https://audio.jukehost.co.uk/0myT3cCKf0BFPhstMYjjiYH3zwlEqQv0"/>
    <hyperlink ref="G904" r:id="rId726" display="https://audio.jukehost.co.uk/BY6eS65Kid4di3ZQ9uXpvkAZLre7fABA"/>
    <hyperlink ref="G905" r:id="rId727" display="https://audio.jukehost.co.uk/aGOT7CrUtdxxESIJ0Veo9xov9hjWm5Y4"/>
    <hyperlink ref="G906" r:id="rId728" display="https://audio.jukehost.co.uk/EobXVmTpRhtFmXBPGgg58bUWpDW1rBXY"/>
    <hyperlink ref="G907" r:id="rId729" display="https://audio.jukehost.co.uk/BHRClplwSFTuWhwugcOiRJEMrNtMNARo"/>
    <hyperlink ref="G908" r:id="rId730" display="https://audio.jukehost.co.uk/7YBdw86Ue8kY1oPnu8TP5p0NesJtU2DT"/>
    <hyperlink ref="G909" r:id="rId731" display="https://audio.jukehost.co.uk/Jbi6qjnDR4XYF2gTmZ7R9if9tjkMq5vB"/>
    <hyperlink ref="G910" r:id="rId732" display="https://audio.jukehost.co.uk/V3Pd2m6siYYZqnWbHpVfZqNg5rM7EySA"/>
    <hyperlink ref="G911" r:id="rId733" display="https://audio.jukehost.co.uk/oauLLk3lMhfjOIFJrN53m5fHshPoFxrJ"/>
    <hyperlink ref="G912" r:id="rId734" display="https://audio.jukehost.co.uk/lWwfCuiocEUzC006QS1zUOVxmAbjIEqZ"/>
    <hyperlink ref="G913" r:id="rId735" display="https://audio.jukehost.co.uk/2ExXMJ3t34bls8FfPR0b8GRudrtg88T2"/>
    <hyperlink ref="G914" r:id="rId736" display="https://audio.jukehost.co.uk/nUSUF1OcbvKUD2yin4NZrZNCkhV7kDNm"/>
    <hyperlink ref="G915" r:id="rId737" display="https://audio.jukehost.co.uk/DjyCAKD2tJIroUoIcLt9mq0oK9wOnzqz"/>
    <hyperlink ref="G916" r:id="rId738" display="https://audio.jukehost.co.uk/JKRqwCqIVWe975vqlZJtcfdxiM5s8Zz4"/>
    <hyperlink ref="G917" r:id="rId739" display="https://audio.jukehost.co.uk/IM5r1NMm7zuPHIIY8ydFzQknsHU9kPId"/>
    <hyperlink ref="G918" r:id="rId740" display="https://audio.jukehost.co.uk/0zrGOuUv73k23TLbduZzabDDZ6jT3BKC"/>
    <hyperlink ref="G920" r:id="rId741" display="https://audio.jukehost.co.uk/SrdGoSNEbXDlcOsIvjKDsOcN54ieVpyY"/>
    <hyperlink ref="G922" r:id="rId742" display="https://audio.jukehost.co.uk/cYZGuIsyaIfV6vQyN8gh1FBa6Zdtsge1"/>
    <hyperlink ref="G924" r:id="rId743" display="https://nu.vgmtreasurechest.com/soundtracks/rv-there-yet-soundtrack-2025/iwhuuekvnh/01.%20Jesus%20Take%20The%20Wheel.mp3"/>
    <hyperlink ref="G925" r:id="rId744" display="https://nu.vgmtreasurechest.com/soundtracks/rv-there-yet-soundtrack-2025/vpbfieawio/02.%20Relax%20Embrace.mp3"/>
    <hyperlink ref="G926" r:id="rId745" display="https://audio.jukehost.co.uk/wIHtt1HacDIrTNz48tf5nvW7WybW9GUg"/>
    <hyperlink ref="G927" r:id="rId746" display="https://audio.jukehost.co.uk/1y9mQUjUmMfdxn3WgtgcjVBQe6HXLhNP"/>
    <hyperlink ref="G928" r:id="rId747" display="https://audio.jukehost.co.uk/35OTDnDF0OfQmEqsWIutTw3hwZcFk2CI"/>
    <hyperlink ref="E929" r:id="rId748" display="https://downloads.khinsider.com/game-soundtracks/album/sea-of-stars-original-soundtrack-2023/1-10.%2520Dance%2520Of%25201%252C000%2520Suns.mp3"/>
    <hyperlink ref="G929" r:id="rId749" display="https://jetta.vgmtreasurechest.com/soundtracks/sea-of-stars-original-soundtrack-2023/vapzzafa/1-10.%20Dance%20Of%201%2C000%20Suns.mp3"/>
    <hyperlink ref="G930" r:id="rId750" display="https://jetta.vgmtreasurechest.com/soundtracks/sea-of-stars-original-soundtrack-2023/lkpxpjci/1-43.%20Encounter%20Elite%21.mp3"/>
    <hyperlink ref="E931" r:id="rId751" display="https://downloads.khinsider.com/game-soundtracks/album/sea-of-stars-original-soundtrack-2023/2-34.%2520Guardian%2520Gods%2520-%2520Horizons%2520Unbound.mp3"/>
    <hyperlink ref="G931" r:id="rId752" display="https://vgmtreasurechest.com/soundtracks/sea-of-stars-original-soundtrack-2023/jggnvqqf/2-34.%20Guardian%20Gods%20-%20Horizons%20Unbound.mp3"/>
    <hyperlink ref="E932" r:id="rId753" display="https://downloads.khinsider.com/game-soundtracks/album/sea-of-stars-original-soundtrack-2023/2-31.%2520Overture%2520Of%2520Legend%2520-%2520The%2520Beast%2520Awakens.mp3"/>
    <hyperlink ref="G932" r:id="rId754" display="https://vgmtreasurechest.com/soundtracks/sea-of-stars-original-soundtrack-2023/gnulvvqr/2-31.%20Overture%20Of%20Legend%20-%20The%20Beast%20Awakens.mp3"/>
    <hyperlink ref="E933" r:id="rId755" display="https://downloads.khinsider.com/game-soundtracks/album/sea-of-stars-original-soundtrack-physical-release-2023/2-14.%2520Sky%2520Base.mp3"/>
    <hyperlink ref="G933" r:id="rId756" display="https://nu.vgmtreasurechest.com/soundtracks/sea-of-stars-original-soundtrack-physical-release-2023/pywphqho/2-14.%20Sky%20Base.mp3"/>
    <hyperlink ref="G934" r:id="rId757" display="https://audio.jukehost.co.uk/5in4l8ucocsbFDAkmftCMbnxAIqge75d"/>
    <hyperlink ref="G935" r:id="rId758" display="https://audio.jukehost.co.uk/sLu7kQMxI19ov56FyHwrbTXQ5Bjnf83t"/>
    <hyperlink ref="G936" r:id="rId759" display="https://audio.jukehost.co.uk/xiR8pajJNp7schlYOwNugTxaLIr8yegI"/>
    <hyperlink ref="G937" r:id="rId760" display="https://audio.jukehost.co.uk/QSWTHHhIWT7WQ5ESew9bYdJ5EPfcwMJr"/>
    <hyperlink ref="G938" r:id="rId761" display="https://audio.jukehost.co.uk/xjeavdbubB2x6u29ocuJTpb1duHQSxFv"/>
    <hyperlink ref="G939" r:id="rId762" display="https://audio.jukehost.co.uk/f88p1DvEEFZ8al7KS6qp2DXCIkMh4Dw2"/>
    <hyperlink ref="G940" r:id="rId763" display="https://audio.jukehost.co.uk/6qIYSRVZD8fUoMn1lDWtWWPiiiVUlvu4"/>
    <hyperlink ref="G941" r:id="rId764" display="https://audio.jukehost.co.uk/HIIw4SiMtwCErlYo8nqvdYerRPq4Ia8d"/>
    <hyperlink ref="G942" r:id="rId765" display="https://audio.jukehost.co.uk/zuwYGRthl1dttXhbaeOpejUsu1AyhaYW"/>
    <hyperlink ref="G943" r:id="rId766" display="https://audio.jukehost.co.uk/EJrCPM2lBE8dULGtGlNBZTiqtb9vABZG"/>
    <hyperlink ref="G944" r:id="rId767" display="https://audio.jukehost.co.uk/Mc6yvhcXUawpg4n91OwVvpIOpzETLYWV"/>
    <hyperlink ref="G945" r:id="rId768" display="https://audio.jukehost.co.uk/UwXyAKjfIBdryr0nXraLZVGvi4i27kME"/>
    <hyperlink ref="G946" r:id="rId769" display="https://audio.jukehost.co.uk/DJYCxiwOIe0fA995j1KsIl1D6pOw9TmT"/>
    <hyperlink ref="G947" r:id="rId770" display="https://audio.jukehost.co.uk/ezSd27Lic00Biysc3qNJC9f9j68Nmwvj"/>
    <hyperlink ref="G950" r:id="rId771" display="https://www.youtube.com/watch?v=10z1Y5GW-GQ"/>
    <hyperlink ref="E951" r:id="rId772" display="https://downloads.khinsider.com/game-soundtracks/album/silent-hill-2-original-video-game-soundtrack-vinyl/06.%2520Promise%2520%2528Reprise%2529.mp3"/>
    <hyperlink ref="G951" r:id="rId773" display="https://nu.vgmtreasurechest.com/soundtracks/silent-hill-2-original-video-game-soundtrack-vinyl/cykgahjy/06.%20Promise%20%28Reprise%29.mp3"/>
    <hyperlink ref="G952" r:id="rId774" display="https://audio.jukehost.co.uk/IbLtbQX7xpekKAtRFRQsRb9na8Q7jkVO"/>
    <hyperlink ref="G954" r:id="rId775" display="https://audio.jukehost.co.uk/4VsiUEUxPeZzNBwClhZV41ksT15iexa1"/>
    <hyperlink ref="G955" r:id="rId776" display="https://audio.jukehost.co.uk/bC9kKMuGHaILPKFHVXqSWTNvl5y2KMGJ"/>
    <hyperlink ref="G956" r:id="rId777" display="https://audio.jukehost.co.uk/4nxDZCgNRNIGGva3C8G5PSKcyUbsKV4k"/>
    <hyperlink ref="G957" r:id="rId778" display="https://audio.jukehost.co.uk/YyFRpKyFcxotuC5QGoLByOpFRvjWmb0V"/>
    <hyperlink ref="G958" r:id="rId779" display="https://audio.jukehost.co.uk/oFZ9wSe02Cl2yGuXNpiKLvx2x4SJIPHu"/>
    <hyperlink ref="G959" r:id="rId780" display="https://audio.jukehost.co.uk/6ARV8MPcDSdahXcq05DiRUp5GRK9FH2E"/>
    <hyperlink ref="G960" r:id="rId781" display="https://audio.jukehost.co.uk/HT1sAYvWiZ9v3KypG0gXgL6dthyIpHrX"/>
    <hyperlink ref="G961" r:id="rId782" display="https://audio.jukehost.co.uk/Agqpwr2aG2wFcvMnijnD3USenWPAFFcZ"/>
    <hyperlink ref="G964" r:id="rId783" display="https://audio.jukehost.co.uk/G1oi1FexgsGztxCvRJFKu6sQ3ONxbye0"/>
    <hyperlink ref="G968" r:id="rId784" display="https://audio.jukehost.co.uk/QayRjmklJKJswGmnFd4dW9VmxgbO7uPe"/>
    <hyperlink ref="G969" r:id="rId785" display="https://audio.jukehost.co.uk/bxWPUbJgQhaNIqs3vuHF16sHEURVLBQI"/>
    <hyperlink ref="G970" r:id="rId786" display="https://audio.jukehost.co.uk/vs641HKNvoAykl8g0sBjjVBhl5AcaiOs"/>
    <hyperlink ref="G971" r:id="rId787" display="https://audio.jukehost.co.uk/MVw8IKy1lNM1pZ8fmYgta0xZXNkrSrbt"/>
    <hyperlink ref="G972" r:id="rId788" display="https://audio.jukehost.co.uk/Xv5V7w2sT2fqiqoLacoYLEBozqZXwMJG"/>
    <hyperlink ref="G973" r:id="rId789" display="https://audio.jukehost.co.uk/6Dm9sB1jlHLzeAJtaGtJX0KyaGHErz7N"/>
    <hyperlink ref="G975" r:id="rId790" display="https://audio.jukehost.co.uk/Phgc42R5wcvvsp8phM70rQVb0rHgp5aV"/>
    <hyperlink ref="G976" r:id="rId791" display="https://audio.jukehost.co.uk/je19Of4kQeKw5X2fPXCRLblu9xSEDDxR"/>
    <hyperlink ref="G979" r:id="rId792" display="https://audio.jukehost.co.uk/wCzYqVgShzUg32xO8A5CpfAp1vaEqC5Q"/>
    <hyperlink ref="G982" r:id="rId793" display="https://audio.jukehost.co.uk/zi37xTz52bCjAMrsAUGGyrXQ18WR7V1S"/>
    <hyperlink ref="G986" r:id="rId794" display="https://audio.jukehost.co.uk/ptZj67nebPU12brtgxfNWQh8KRlamua6"/>
    <hyperlink ref="G987" r:id="rId795" display="https://vgmtreasurechest.com/soundtracks/sonic-the-hedgehog-2-anniversary-edition-genesis-shc2020-gamerip/gxpyagjwmb/19.%20Chemical%20Plant%20Zone%20-%20Act%201.mp3"/>
    <hyperlink ref="G989" r:id="rId796" display="https://audio.jukehost.co.uk/6Wcuwn8ohCFKmk2Ltzy0VwufZYnpBfMK"/>
    <hyperlink ref="G990" r:id="rId797" display="https://audio.jukehost.co.uk/40IaugjZXxtD5ttPxR6ZaSu4EUa91f5n"/>
    <hyperlink ref="G991" r:id="rId798" display="https://audio.jukehost.co.uk/WD4aqkOePydRd9n7gROdUDvtH7lGe39Q"/>
    <hyperlink ref="G992" r:id="rId799" display="https://audio.jukehost.co.uk/zWfVFkzPtY6sKI0NVdYZLoPDVzwT8ofp"/>
    <hyperlink ref="G995" r:id="rId800" display="https://audio.jukehost.co.uk/FlR1Lq1MXTcKKrqMdo6kKSiatVLw8P2Q"/>
    <hyperlink ref="G996" r:id="rId801" display="https://lambda.vgmtreasurechest.com/soundtracks/spiritfarer-farewell-edition-2022/gnqfmoubxd/41.%20Meteoroids.mp3"/>
    <hyperlink ref="G997" r:id="rId802" display="https://lambda.vgmtreasurechest.com/soundtracks/spiritfarer-farewell-edition-2022/xaralxctln/47.%20What%20Will%20You%20Leave%20Behind%20%28End%20Titles%29%20%5Bfeat.%20Maude%20Plante-Husaruk%5D.mp3"/>
    <hyperlink ref="G998" r:id="rId803" display="https://www.youtube.com/watch?v=5qApHtzyRq0&amp;list=PLGz_pJSqYLg9jF-5lxWUxWVxCmnloNkGH&amp;index=6"/>
    <hyperlink ref="G999" r:id="rId804" display="https://www.youtube.com/watch?v=2XW0wAbDJpE"/>
    <hyperlink ref="G1000" r:id="rId805" display="https://audio.jukehost.co.uk/l3ZDIiTaciuy4SFSsNSvnMzQk1MABNgh"/>
    <hyperlink ref="G1001" r:id="rId806" display="https://audio.jukehost.co.uk/56UDqhhi4YDBdVYN0t9tPYPtidWILUIO"/>
    <hyperlink ref="G1002" r:id="rId807" display="https://audio.jukehost.co.uk/FZ25Jn1FgzIXS3aSuyPLvgnRqyRuT7bG"/>
    <hyperlink ref="G1003" r:id="rId808" display="https://audio.jukehost.co.uk/cK9bOeeNCt4aIRDSSPRc57vyXqte7AQf"/>
    <hyperlink ref="G1004" r:id="rId809" display="https://audio.jukehost.co.uk/Q2hrnFh6XLTvNx5iKvfoRDg1ACqYPCdt"/>
    <hyperlink ref="E1005" r:id="rId810" display="https://downloads.khinsider.com/game-soundtracks/album/steinsgate-0-selected-sound-works-2016/01.%2520Messenger%2520-%2520Main%2520Theme.mp3"/>
    <hyperlink ref="G1005" r:id="rId811" display="https://nu.vgmtreasurechest.com/soundtracks/steinsgate-0-selected-sound-works-2016/hqyxxqtbtn/01.%20Messenger%20-%20Main%20Theme.mp3"/>
    <hyperlink ref="E1006" r:id="rId812" display="https://downloads.khinsider.com/game-soundtracks/album/stellar-blade-soundtrack-2024/62.%2520Dawn.mp3"/>
    <hyperlink ref="G1007" r:id="rId813" display="https://audio.jukehost.co.uk/7PX07cVCk2Rp4OiLAK2a6ic15zMgWPIi"/>
    <hyperlink ref="G1008" r:id="rId814" display="https://audio.jukehost.co.uk/1xi6LpPDvK2Y5RvzuCnhRV6HBNZJhGr8"/>
    <hyperlink ref="G1009" r:id="rId815" display="https://jetta.vgmtreasurechest.com/soundtracks/stellar-blade-soundtrack-2024/booeejhj/144.%20Raven.mp3"/>
    <hyperlink ref="E1010" r:id="rId816" display="https://downloads.khinsider.com/game-soundtracks/album/stellar-blade-soundtrack-2024/94.%2520Shael.mp3"/>
    <hyperlink ref="E1011" r:id="rId817" display="https://downloads.khinsider.com/game-soundtracks/album/stellar-blade-soundtrack-2024/09.%2520Silent%2520Street%2520%2528Battle%2529.mp3"/>
    <hyperlink ref="G1012" r:id="rId818" display="https://audio.jukehost.co.uk/ESOfBomP0pyLnhkAG48jobnlaWlryAd2"/>
    <hyperlink ref="G1013" r:id="rId819" display="https://audio.jukehost.co.uk/hAjsHJOEir4XqDfpAZD5Q9knTMerJQLj"/>
    <hyperlink ref="G1014" r:id="rId820" display="https://jetta.vgmtreasurechest.com/soundtracks/stellar-blade-soundtrack-2024/rpzevppf/47.%20Wasteland%20%28Reboot%20Type%20A%29.mp3"/>
    <hyperlink ref="G1015" r:id="rId821" display="https://jetta.vgmtreasurechest.com/soundtracks/stellar-blade-soundtrack-2024/flpoboog/48.%20Wasteland%20%28Reboot%20Type%20B%29.mp3"/>
    <hyperlink ref="G1016" r:id="rId822" display="https://audio.jukehost.co.uk/7G7RLCqaX9vmRGNyysdlYZihdRHzV4fE"/>
    <hyperlink ref="G1017" r:id="rId823" display="https://audio.jukehost.co.uk/HfVVL8l42RFT5A4AhbECdYKcxLleJcDH"/>
    <hyperlink ref="G1018" r:id="rId824" display="https://jetta.vgmtreasurechest.com/soundtracks/stellar-blade-soundtrack-2024/wvnddgwo/44.%20Wasteland%20%28Type%20B%29.mp3"/>
    <hyperlink ref="G1019" r:id="rId825" display="https://audio.jukehost.co.uk/DRf8NQa73Z0w9J71euPzRRpWSAPbBHI3"/>
    <hyperlink ref="G1020" r:id="rId826" display="https://audio.jukehost.co.uk/MhJYSbUrqxlymHSmifhEjuUqtlkwCHgl"/>
    <hyperlink ref="G1021" r:id="rId827" display="https://audio.jukehost.co.uk/mlJVVI5KWFreOW6zNaCxbPL7wCkywwyW"/>
    <hyperlink ref="G1022" r:id="rId828" display="https://audio.jukehost.co.uk/0uMPmjIuvIVtJt31RBgJFZ3vfT3V43Jq"/>
    <hyperlink ref="G1023" r:id="rId829" display="https://audio.jukehost.co.uk/57MorTbbVgbmHC15d6p2RuLYIvjblT44"/>
    <hyperlink ref="E1026" r:id="rId830" display="https://downloads.khinsider.com/game-soundtracks/album/suika-game-android-ios-switch-gamerip-2021/01.%2520Original.mp3"/>
    <hyperlink ref="G1026" r:id="rId831" display="https://nu.vgmtreasurechest.com/soundtracks/suika-game-android-ios-switch-gamerip-2021/dzgmeahpvf/01.%20Original.mp3"/>
    <hyperlink ref="G1027" r:id="rId832" display="https://audio.jukehost.co.uk/TzNSePVDyQj9BfMDGn4sjSru97eBAFlP"/>
    <hyperlink ref="G1029" r:id="rId833" display="https://audio.jukehost.co.uk/EG0gOEUFFdjFdYegBp30jWWP0pT9HUo4"/>
    <hyperlink ref="G1030" r:id="rId834" display="https://audio.jukehost.co.uk/ItV7V6Oi8e6mKVhSK5nWU11SG2Qz4Fvz"/>
    <hyperlink ref="G1036" r:id="rId835" display="https://audio.jukehost.co.uk/nqFUwVjZc4Bbfvggd5nl2bHBzFWh53mb"/>
    <hyperlink ref="G1038" r:id="rId836" display="https://lambda.vgmtreasurechest.com/soundtracks/super-mario-64-soundtrack/shhnuigj/05.%20Super%20Mario%2064%20Main%20Theme.mp3"/>
    <hyperlink ref="G1039" r:id="rId837" display="https://lambda.vgmtreasurechest.com/soundtracks/super-mario-64-soundtrack/oqnpnthc/04.%20Opening.mp3"/>
    <hyperlink ref="G1041" r:id="rId838" display="https://audio.jukehost.co.uk/viBydezrZMTZajhXGEClzWLmZ3DMM8Ca"/>
    <hyperlink ref="G1042" r:id="rId839" display="https://audio.jukehost.co.uk/a4AfzSZmzBmIzVaA3jWezY3jZ1s9bnhm"/>
    <hyperlink ref="G1043" r:id="rId840" display="https://audio.jukehost.co.uk/iBgJyzDYegsnMkTwyu4rwUJanOEKCfGX"/>
    <hyperlink ref="G1044" r:id="rId841" display="https://audio.jukehost.co.uk/gvHUbhV9aSVdJgt7LZU2gjaRHCAuTgDK"/>
    <hyperlink ref="G1045" r:id="rId842" display="https://audio.jukehost.co.uk/jPsWPnPPyydiQmW23All09UTPP8vElZ5"/>
    <hyperlink ref="G1048" r:id="rId843" display="https://audio.jukehost.co.uk/mh0Mo8z6DZpD1HAi4E1Zul618LhsUdGr"/>
    <hyperlink ref="G1049" r:id="rId844" display="https://audio.jukehost.co.uk/RBDS5V3eJUeQI5eNLDLqP3PZ7EhDGfkq"/>
    <hyperlink ref="G1051" r:id="rId845" display="https://audio.jukehost.co.uk/n1EaJNeqqJ42ZnP4agBdStsXLK44cjP3"/>
    <hyperlink ref="G1055" r:id="rId846" display="https://lambda.vgmtreasurechest.com/soundtracks/super-mario-galaxy-2/qjyoakzt/1-33.%20Starship%20Mario%202.mp3"/>
    <hyperlink ref="E1058" r:id="rId847" display="https://downloads.khinsider.com/game-soundtracks/album/super-mario-odyssey-original-soundtrack/2-29.%2520Bowser%2527s%2520Castle%2520-%2520Main%2520Courtyard.mp3"/>
    <hyperlink ref="E1059" r:id="rId848" display="https://downloads.khinsider.com/game-soundtracks/album/super-mario-odyssey-original-soundtrack/3-21.%2520Caves.mp3"/>
    <hyperlink ref="E1062" r:id="rId849" display="https://downloads.khinsider.com/game-soundtracks/album/super-mario-odyssey-original-soundtrack/2-14.%2520Shiveria%2520Town.mp3"/>
    <hyperlink ref="E1063" r:id="rId850" display="https://downloads.khinsider.com/game-soundtracks/album/super-mario-odyssey-original-soundtrack/1-01.%2520Title%2520Screen.mp3"/>
    <hyperlink ref="E1064" r:id="rId851" display="https://downloads.khinsider.com/game-soundtracks/album/super-mario-odyssey-original-soundtrack/1-10.%2520You%2520Got%2520a%2520Moon%2521%25201.mp3"/>
    <hyperlink ref="G1081" r:id="rId852" display="https://www.youtube.com/watch?v=UDo2C_QKf_o"/>
    <hyperlink ref="G1082" r:id="rId853" display="https://audio.jukehost.co.uk/wkbt7TTEUxxbKCNMx6UCCZalV1xPZVik"/>
    <hyperlink ref="G1083" r:id="rId854" display="https://audio.jukehost.co.uk/WZttAJO04dwYfNnbHjoP1M3y6AED4DFu"/>
    <hyperlink ref="G1084" r:id="rId855" display="https://audio.jukehost.co.uk/aOE452SlhObNx4WY2YVbFjJtl0Eh7q3t"/>
    <hyperlink ref="G1085" r:id="rId856" display="https://audio.jukehost.co.uk/SQuz1icgWny3UPEMBjvYHZ4hHLuLm0ei"/>
    <hyperlink ref="G1088" r:id="rId857" display="https://audio.jukehost.co.uk/6Y2wty2jyF1JhBZdCzpcOc6LRBWEZ34h"/>
    <hyperlink ref="G1089" r:id="rId858" display="https://audio.jukehost.co.uk/sIA39N7BzD51ouVH6PFKnllyzSTQN4Dc"/>
    <hyperlink ref="G1090" r:id="rId859" display="https://audio.jukehost.co.uk/kiAWccCFnmr5N6MH7CH9qDszUlBHouOa"/>
    <hyperlink ref="G1096" r:id="rId860" display="https://audio.jukehost.co.uk/TmZWslqvz9XzjctMBx20D8rVUHbEdVvF"/>
    <hyperlink ref="E1097" r:id="rId861" display="https://downloads.khinsider.com/game-soundtracks/album/superman-1997-sgb/03%2520BGM%2520%252303.mp3"/>
    <hyperlink ref="G1098" r:id="rId862" display="https://audio.jukehost.co.uk/QcUZK2vnGWL9k2PhqEEUVhpPLIIJQRRK"/>
    <hyperlink ref="G1099" r:id="rId863" display="https://audio.jukehost.co.uk/39vZzFsOlqBX3rF8LTthqdLUmZSGC3sw"/>
    <hyperlink ref="G1100" r:id="rId864" display="https://audio.jukehost.co.uk/lZLHzosNYrbRhJ4Z2vtOMiWFFjHWDYfV"/>
    <hyperlink ref="G1102" r:id="rId865" display="https://audio.jukehost.co.uk/JwcKqsAOMJ4X3tdqTBnsSA3bFBCWMcIa"/>
    <hyperlink ref="G1103" r:id="rId866" display="https://audio.jukehost.co.uk/uEqYxlHN25dmtuo3PqzGZ9VACk7KB9Il"/>
    <hyperlink ref="E1105" r:id="rId867" display="https://downloads.khinsider.com/game-soundtracks/album/tekken-4-ps2-gamerip-2002/1-02%2520-%2520Jet.mp3"/>
    <hyperlink ref="E1106" r:id="rId868" display="https://downloads.khinsider.com/game-soundtracks/album/tekken-4-ps2-gamerip-2002/1-08%2520-%2520Kitsch.mp3"/>
    <hyperlink ref="E1107" r:id="rId869" display="https://downloads.khinsider.com/game-soundtracks/album/tekken-5-tekken-dark-resurrection-original-soundtrack/1-03.%2520Mode%2520select%2520~Tekken5~.mp3"/>
    <hyperlink ref="E1108" r:id="rId870" display="https://downloads.khinsider.com/game-soundtracks/album/tekken-5-original-soundtrack/02.%2520tekken%25205%2520-%2520neonatal.mp3"/>
    <hyperlink ref="E1109" r:id="rId871" display="https://downloads.khinsider.com/game-soundtracks/album/tekken-6-complete-ost/1-16.%2520Karma%2520%2528Electric%2520Fountain%2529.mp3"/>
    <hyperlink ref="G1109" r:id="rId872" display="https://nu.vgmtreasurechest.com/soundtracks/tekken-6-complete-ost/jwfnalgw/1-16.%20Karma%20%28Electric%20Fountain%29.mp3"/>
    <hyperlink ref="E1110" r:id="rId873" display="https://downloads.khinsider.com/game-soundtracks/album/tekken-6-complete-ost/1-18.%2520Yodeling%2520in%2520meadow%2520hill%2520%2528Hidden%2520Retreat%2529.mp3"/>
    <hyperlink ref="G1110" r:id="rId874" display="https://nu.vgmtreasurechest.com/soundtracks/tekken-6-complete-ost/jdokgcur/1-18.%20Yodeling%20in%20meadow%20hill%20%28Hidden%20Retreat%29.mp3"/>
    <hyperlink ref="G1111" r:id="rId875" display="https://audio.jukehost.co.uk/z5z2tPW1iW29vkMvQtl0Bw8i0FFbgGuL"/>
    <hyperlink ref="G1112" r:id="rId876" display="https://audio.jukehost.co.uk/Zuocg4EltUvX9Ur1mg3jIYVKUsviHJQQ"/>
    <hyperlink ref="G1113" r:id="rId877" display="https://audio.jukehost.co.uk/5tqI9sOKiq4CvD414m90bBT5qsWGXKMK"/>
    <hyperlink ref="G1114" r:id="rId878" display="https://audio.jukehost.co.uk/mc5QaPevEOzsTrjjUgsIfT2vGrlhP8b3"/>
    <hyperlink ref="G1115" r:id="rId879" display="https://audio.jukehost.co.uk/aQBidyIL0v3Djl1KQoaJvhoPnh4IYwwk"/>
    <hyperlink ref="G1116" r:id="rId880" display="https://audio.jukehost.co.uk/rRJg18lqhCC49e6EuWjlsZf6oktll7vj"/>
    <hyperlink ref="G1117" r:id="rId881" display="https://audio.jukehost.co.uk/b5sr7TVj4AohjMY140wt6vbMRAhRrCTl"/>
    <hyperlink ref="G1118" r:id="rId882" display="https://audio.jukehost.co.uk/0QxI2SHr7sZWnDaeyWKATRrBaTNJJQkr"/>
    <hyperlink ref="G1119" r:id="rId883" display="https://audio.jukehost.co.uk/RCPwd0jFWRt7q7rhJARoEpIlBUwNkBsv"/>
    <hyperlink ref="E1120" r:id="rId884" display="https://downloads.khinsider.com/game-soundtracks/album/tekken-8-original-soundtrack-2024/01.%2520My%2520Last%2520Stand.mp3"/>
    <hyperlink ref="G1120" r:id="rId885" display="https://jetta.vgmtreasurechest.com/soundtracks/tekken-8-original-soundtrack-2024/qhoyzevq/01.%20My%20Last%20Stand.mp3"/>
    <hyperlink ref="G1121" r:id="rId886" display="https://audio.jukehost.co.uk/DPqUL65JkKWhU9KZIRhauzowZLp2n3pZ"/>
    <hyperlink ref="E1122" r:id="rId887" display="https://downloads.khinsider.com/game-soundtracks/album/tekken-8-original-soundtrack-2024/07.%2520Neo%2520City%2520%2528Climax%2529.mp3"/>
    <hyperlink ref="G1122" r:id="rId888" display="https://jetta.vgmtreasurechest.com/soundtracks/tekken-8-original-soundtrack-2024/cokhivas/07.%20Neo%20City%20%28Climax%29.mp3"/>
    <hyperlink ref="G1123" r:id="rId889" display="https://audio.jukehost.co.uk/gOzoRqIYo08f45DnnSEGpy1ebxuflOMD"/>
    <hyperlink ref="G1124" r:id="rId890" display="https://audio.jukehost.co.uk/3NSjt9VC5GC75izBXKs6y9I3JcJihSHf"/>
    <hyperlink ref="G1125" r:id="rId891" display="https://audio.jukehost.co.uk/BdhWb7ZAeaiD0qUYbpfumD7MYlx54YDE"/>
    <hyperlink ref="G1126" r:id="rId892" display="https://audio.jukehost.co.uk/8ArThbFcK03exZXDaWdXvFa84NGBPGK8"/>
    <hyperlink ref="G1130" r:id="rId893" display="https://audio.jukehost.co.uk/TXT8F8mCPmqpycSke572nKALEhtMB8rr"/>
    <hyperlink ref="G1131" r:id="rId894" display="https://audio.jukehost.co.uk/ePx7znJBCKoZ2IPXYgBEO4fBEmNFSLGo"/>
    <hyperlink ref="G1132" r:id="rId895" display="https://audio.jukehost.co.uk/wixcRMLV3VUb65QNzUbxMjbyEsSjrvSB"/>
    <hyperlink ref="G1133" r:id="rId896" display="https://audio.jukehost.co.uk/vBoppMUMpl7olgKYT45IRa198657cyeR"/>
    <hyperlink ref="G1134" r:id="rId897" display="https://audio.jukehost.co.uk/oVKiCD1Fkq5aM4zD1rgDtKsKPmIYlmOY"/>
    <hyperlink ref="G1135" r:id="rId898" display="https://audio.jukehost.co.uk/DFo1wv6hy3hPaAWGl6r4ayOCaYMWp3qf"/>
    <hyperlink ref="G1137" r:id="rId899" display="https://audio.jukehost.co.uk/BnUARpfNffqWS8qAESdfqhzbeOhKE4Iw"/>
    <hyperlink ref="G1141" r:id="rId900" display="https://audio.jukehost.co.uk/2F5LT2bQ69FX8czAiCKsLchUzjMctNwU"/>
    <hyperlink ref="G1142" r:id="rId901" display="https://audio.jukehost.co.uk/dyUWqGXRWf62vr6RoNsqnxFzIppbk2nA"/>
    <hyperlink ref="G1146" r:id="rId902" display="https://audio.jukehost.co.uk/R7C0oMp1vDhF61M55yGsCLzwqojOnQbE"/>
    <hyperlink ref="G1159" r:id="rId903" display="https://audio.jukehost.co.uk/1vmjXNd1qXbfknTWboBVE1S5vpnD5TVC"/>
    <hyperlink ref="G1161" r:id="rId904" display="https://audio.jukehost.co.uk/vgPjPK8UfQssomSRbNBFnlkhVJigPYQs"/>
    <hyperlink ref="G1164" r:id="rId905" display="https://audio.jukehost.co.uk/ski3Hp0rRm6RpIkwbrazYGch0nhdo8TV"/>
    <hyperlink ref="G1165" r:id="rId906" display="https://audio.jukehost.co.uk/bQZ3yJQ8hhAT7CnHWbW3NQIAs9qw1yQ3"/>
    <hyperlink ref="G1166" r:id="rId907" display="https://audio.jukehost.co.uk/9zotqfQ3v7N01V9ASyDT0FtARyXaQKvu"/>
    <hyperlink ref="G1167" r:id="rId908" display="https://audio.jukehost.co.uk/CynK1kudEZ7u8uzEamKUmeV9FlObUkc1"/>
    <hyperlink ref="G1172" r:id="rId909" display="https://audio.jukehost.co.uk/3Ohq5bHUcWgwjwP4l4BQ0bxDlJ5VGGVk"/>
    <hyperlink ref="G1174" r:id="rId910" display="https://audio.jukehost.co.uk/YkrtjkD9MzppsoDPEAacH7Wow5N6lwl2"/>
    <hyperlink ref="G1176" r:id="rId911" display="https://audio.jukehost.co.uk/utTUyMikTYQkDTNkkf426rpnyTuep3J3"/>
    <hyperlink ref="G1177" r:id="rId912" display="https://audio.jukehost.co.uk/KCxooqK0DC4LLMpFAythrgPoCEVcNXe8"/>
    <hyperlink ref="G1178" r:id="rId913" display="https://audio.jukehost.co.uk/XtNg8N0usOwKBUshRZnRbURuf0CTKHKO"/>
    <hyperlink ref="G1179" r:id="rId914" display="https://audio.jukehost.co.uk/9hmsRpjwvmx98ti5W7a6MoyBfdQSMf6N"/>
    <hyperlink ref="G1181" r:id="rId915" display="https://audio.jukehost.co.uk/A2sCxQu2cbfzp2k4acfQQXQMU8QQWaAb"/>
    <hyperlink ref="G1182" r:id="rId916" display="https://audio.jukehost.co.uk/DyTAMgoGMSx0eZhSvTsd6LBeaiL3uXd7"/>
    <hyperlink ref="G1183" r:id="rId917" display="https://audio.jukehost.co.uk/hnqaauphYV9jTEtlcuOWW3ZoB2MT84b3"/>
    <hyperlink ref="G1184" r:id="rId918" display="https://audio.jukehost.co.uk/hbQ4BSd4qssltsqdHOqv2hRe1sD90mYf"/>
    <hyperlink ref="G1185" r:id="rId919" display="https://audio.jukehost.co.uk/1NScWFR9la8Y6YJu7cRLwJvprsaPEc4V"/>
    <hyperlink ref="G1186" r:id="rId920" display="https://audio.jukehost.co.uk/mmFvtIlkz12yNLvMVEYiOSZhGsNhHgY0"/>
    <hyperlink ref="G1187" r:id="rId921" display="https://audio.jukehost.co.uk/4MAo8XP1ewmUdiqdi4pjUTCgRMg6Qukc"/>
    <hyperlink ref="G1188" r:id="rId922" display="https://audio.jukehost.co.uk/cpkniGxWPnkgI9eN0OqxZm3EyxHq5xkx"/>
    <hyperlink ref="E1189" r:id="rId923" display="https://downloads.khinsider.com/game-soundtracks/album/the-messenger-disc-ii-the-future-2018/12%2520Civilization%2520in%2520the%2520Sky%2520%2528Cloud%2520Ruins%2529.mp3"/>
    <hyperlink ref="G1189" r:id="rId924" display="https://audio.jukehost.co.uk/mpDceaFlnoZ8WyrAR1IUasFEmLi2QQdZ"/>
    <hyperlink ref="E1190" r:id="rId925" display="https://downloads.khinsider.com/game-soundtracks/album/the-messenger-disc-i-the-past-2018/05%2520Forgotten%2520%2528Forlorn%2520Temple%2529.mp3"/>
    <hyperlink ref="G1190" r:id="rId926" display="https://audio.jukehost.co.uk/d8aTcOCG6f3R7MnDkV4BZUUldeIAKb62"/>
    <hyperlink ref="E1191" r:id="rId927" display="https://downloads.khinsider.com/game-soundtracks/album/the-messenger-disc-i-the-past-2018/03%2520Hills%2520of%2520Destiny%2520%2528Autumn%2520Hills%2529.mp3"/>
    <hyperlink ref="E1192" r:id="rId928" display="https://downloads.khinsider.com/game-soundtracks/album/the-messenger-disc-i-the-past-2018/12%2520Impossible%2520Ascent%2520%2528Searing%2520Crags%2529.mp3"/>
    <hyperlink ref="E1193" r:id="rId929" display="https://downloads.khinsider.com/game-soundtracks/album/the-messenger-disc-ii-the-future-2018/29%2520Phantom%2527s%2520Legacy%2520%2528Final%2520Boss%2529.mp3"/>
    <hyperlink ref="G1193" r:id="rId930" display="https://audio.jukehost.co.uk/YM5LTU3LHGBEqILvZmBVyG1byKWT0ss4"/>
    <hyperlink ref="E1194" r:id="rId931" display="https://downloads.khinsider.com/game-soundtracks/album/the-messenger-disc-i-the-past-2018/10%2520Quillshroom%2527s%2520Horrors%2520%2528Quillshroom%2520Marsh%2529.mp3"/>
    <hyperlink ref="E1195" r:id="rId932" display="https://downloads.khinsider.com/game-soundtracks/album/the-messenger-disc-i-the-past-2018/16%2520The%2520Arcane%2520Golem.mp3"/>
    <hyperlink ref="G1195" r:id="rId933" display="https://audio.jukehost.co.uk/HypI4WrzODBJwNF24m9QkVOxQsLWbGi7"/>
    <hyperlink ref="E1196" r:id="rId934" display="https://downloads.khinsider.com/game-soundtracks/album/the-messenger-disc-i-the-past-2018/18%2520The%2520Arcane%2520Shoppe.mp3"/>
    <hyperlink ref="E1197" r:id="rId935" display="https://downloads.khinsider.com/game-soundtracks/album/the-messenger-disc-ii-the-future-2018/09%2520The%2520Frozen%2520Dark%2520%2528Glacial%2520Peak%2529.mp3"/>
    <hyperlink ref="G1197" r:id="rId936" display="https://audio.jukehost.co.uk/lsRDwLIzXKQq52BT7s0B20HWmo2U2gqs"/>
    <hyperlink ref="E1198" r:id="rId937" display="https://downloads.khinsider.com/game-soundtracks/album/the-messenger-disc-i-the-past-2018/14%2520The%2520Frozen%2520Light%2520%2528Glacial%2520Peak%2529.mp3"/>
    <hyperlink ref="E1199" r:id="rId938" display="https://downloads.khinsider.com/game-soundtracks/album/the-messenger-disc-ii-the-future-2018/11%2520The%2520Shopkeeper.mp3"/>
    <hyperlink ref="G1199" r:id="rId939" display="https://nu.vgmtreasurechest.com/soundtracks/the-messenger-disc-ii-the-future-2018/ltjorrka/11%20The%20Shopkeeper.mp3"/>
    <hyperlink ref="E1200" r:id="rId940" display="https://downloads.khinsider.com/game-soundtracks/album/the-midnight-walk-original-game-soundtrack-2025/30.%2520Gr%25C3%25A4ns.mp3"/>
    <hyperlink ref="G1200" r:id="rId941" display="https://lambda.vgmtreasurechest.com/soundtracks/the-midnight-walk-original-game-soundtrack-2025/mpwnejpvcv/30.%20Gr%C3%A4ns.mp3"/>
    <hyperlink ref="G1202" r:id="rId942" display="https://audio.jukehost.co.uk/ISeQIkfq6VYkoiIwiV6bx9xFVfNaNfN3"/>
    <hyperlink ref="G1203" r:id="rId943" display="https://audio.jukehost.co.uk/mfohKxRnA8lF1eOW3rjJfyfIYDDBcXSI"/>
    <hyperlink ref="G1205" r:id="rId944" display="https://audio.jukehost.co.uk/C0FQm1wZkQaOobmqT1YMdCfyMdnyB8wq"/>
    <hyperlink ref="G1206" r:id="rId945" display="https://audio.jukehost.co.uk/EuRHfdjA0rGoP4XlgvVYWaIK1PdHpxJO"/>
    <hyperlink ref="G1207" r:id="rId946" display="https://audio.jukehost.co.uk/GvbO5cBZKyFo42CWqAEcvmjERxs2GQ53"/>
    <hyperlink ref="G1208" r:id="rId947" display="https://audio.jukehost.co.uk/C1zGqW50h8255jO2hNp4pAQqYeBUzGGV"/>
    <hyperlink ref="G1209" r:id="rId948" display="https://audio.jukehost.co.uk/wAC68wtlAEcVwLyiAfd8v5VUxMEZxLYR"/>
    <hyperlink ref="G1210" r:id="rId949" display="https://audio.jukehost.co.uk/GWcN7CqMEwK1T2tSC8GuMesXLwN6TWax"/>
    <hyperlink ref="G1211" r:id="rId950" display="https://audio.jukehost.co.uk/JpN1gWB0C8ARhb6I5eTqDI0ebE8uFPMQ"/>
    <hyperlink ref="G1212" r:id="rId951" display="https://audio.jukehost.co.uk/ttU3SVdVbXAAXcicdTrQu6uoKaV3IbCh"/>
    <hyperlink ref="G1213" r:id="rId952" display="https://audio.jukehost.co.uk/pW31wUh1bh1IVPvmUPLXlYdwFC0t4GNQ"/>
    <hyperlink ref="G1214" r:id="rId953" display="https://audio.jukehost.co.uk/ZiYRxWbkR5rTmlgAH9CqQRHX5fdLzHGE"/>
    <hyperlink ref="G1215" r:id="rId954" display="https://audio.jukehost.co.uk/5gCVerqV34ubDSYGQ4oUGKscBa19EDW7"/>
    <hyperlink ref="G1216" r:id="rId955" display="https://audio.jukehost.co.uk/C2rJKpQtreNNDjoI1suu3ExBUt1qtZ0r"/>
    <hyperlink ref="G1217" r:id="rId956" display="https://audio.jukehost.co.uk/2AUE8O5PwvNnGe4oGchBF7VhPB9F2DRm"/>
    <hyperlink ref="G1219" r:id="rId957" display="https://audio.jukehost.co.uk/9GDOaqVKWm4Q1UUY4opm7F7Eoul6SmfD"/>
    <hyperlink ref="G1221" r:id="rId958" display="https://audio.jukehost.co.uk/0rne0e5Le5G7aLHueoob3LiC1lSu5TAV"/>
    <hyperlink ref="G1222" r:id="rId959" display="https://audio.jukehost.co.uk/Wk2MtL5R8TMlhGDLe4FUYw0mxEZHll4x"/>
    <hyperlink ref="G1223" r:id="rId960" display="https://audio.jukehost.co.uk/75UQ5mhKTTWWPJO6kK8S2aJ9QoQHKpJP"/>
    <hyperlink ref="G1224" r:id="rId961" display="https://audio.jukehost.co.uk/MW6IuNsRnF3HDJVy6Ip6B9xvbfEgupjY"/>
    <hyperlink ref="G1225" r:id="rId962" display="https://audio.jukehost.co.uk/BNUeRwnvzPbODrlXCoUDVFhBWw9GkzVl"/>
    <hyperlink ref="G1226" r:id="rId963" display="https://www.youtube.com/watch?v=uMUCJdpEPQs"/>
    <hyperlink ref="G1227" r:id="rId964" display="https://audio.jukehost.co.uk/0mWavtkJotBftStWvu2r3j6Y3PyuyQsh"/>
    <hyperlink ref="G1228" r:id="rId965" display="https://audio.jukehost.co.uk/exTVA5dAsqC8AIb3WFM0FOa1zV4eoJmv"/>
    <hyperlink ref="G1229" r:id="rId966" display="https://audio.jukehost.co.uk/JCpn87wKC2YVY5r3XOSdi3nbTBR8KLt5"/>
    <hyperlink ref="G1230" r:id="rId967" display="https://audio.jukehost.co.uk/ZdvbUtscPqunww9XoFWaw1Uk5Uxzt5z5"/>
    <hyperlink ref="G1232" r:id="rId968" display="https://audio.jukehost.co.uk/vWAIpKb10Awx0PDh05N6XlXX1ukeEzvN"/>
    <hyperlink ref="G1238" r:id="rId969" display="https://audio.jukehost.co.uk/RXNslWkbKrzvyw4tBJ7u4VFAB2JHoox0"/>
    <hyperlink ref="G1239" r:id="rId970" display="https://audio.jukehost.co.uk/YZeIdCFYhJc1Nez5Wl0Wa2I5LgfarNHy"/>
    <hyperlink ref="G1242" r:id="rId971" display="https://audio.jukehost.co.uk/0gtr88gmcqYKXJJDA4n0DVbd84YG1aTS"/>
    <hyperlink ref="G1245" r:id="rId972" display="https://audio.jukehost.co.uk/dViOchFPdNtAzazMWadkEqnbCMy47249"/>
    <hyperlink ref="G1246" r:id="rId973" display="https://audio.jukehost.co.uk/eQjoXYZbiDv981pzEVTCR6v3rTVOZyUY"/>
    <hyperlink ref="G1247" r:id="rId974" display="https://jetta.vgmtreasurechest.com/soundtracks/viva-pinata-original-soundtrack/uthgljoq/24%20Soil%20Song.mp3"/>
    <hyperlink ref="G1249" r:id="rId975" display="https://audio.jukehost.co.uk/e7ubm0l9auLp04DAktt3bRdbmV8PVoSP"/>
    <hyperlink ref="G1260" r:id="rId976" display="https://audio.jukehost.co.uk/73FLsrvJStf4gAxOL2iS20fhLC50yJFm"/>
    <hyperlink ref="G1262" r:id="rId977" display="https://audio.jukehost.co.uk/sZ8TysT6uP8UiWmBf39kP5QozA0ZRKkk"/>
    <hyperlink ref="G1263" r:id="rId978" display="https://audio.jukehost.co.uk/TtIlyx98tGOpqW0T0BbzcGVwp4BLkNvG"/>
    <hyperlink ref="G1264" r:id="rId979" display="https://audio.jukehost.co.uk/yqZ9vPzmyIkw6fQPihdPMWJHmA3bneqI"/>
    <hyperlink ref="G1265" r:id="rId980" display="https://audio.jukehost.co.uk/8j8DzrACPGDHsr2SnYUCpODsI5d6zvKn"/>
    <hyperlink ref="G1266" r:id="rId981" display="https://audio.jukehost.co.uk/vwmcUG9sebMovzcyFK2d0LSOZF91gXGK"/>
    <hyperlink ref="G1267" r:id="rId982" display="https://audio.jukehost.co.uk/PFmURYhAAx9C1szZO4ZOh10cJ8XHkC5X"/>
    <hyperlink ref="G1268" r:id="rId983" display="https://audio.jukehost.co.uk/80xU3SuzcmdRPB1MSi3H5poGcIFGgn14"/>
    <hyperlink ref="G1269" r:id="rId984" display="https://audio.jukehost.co.uk/x37OJSzjrw0FXGQDSE9VpUsP0kQANaRK"/>
    <hyperlink ref="G1270" r:id="rId985" display="https://audio.jukehost.co.uk/JnNHQvBTt2bQi6SQKOtUvePPa7YUPKWz"/>
    <hyperlink ref="G1271" r:id="rId986" display="https://audio.jukehost.co.uk/hyg0qqKlKnzyO5uhle0WtoG99rvbvPgg"/>
    <hyperlink ref="G1272" r:id="rId987" display="https://audio.jukehost.co.uk/sXR3tFsi0y8Gr27V3jfoTrT8F2HzY4Xj"/>
    <hyperlink ref="G1273" r:id="rId988" display="https://audio.jukehost.co.uk/yXGUYE3DxMeQwFW69BilkJGg0n6zdiMH"/>
    <hyperlink ref="G1274" r:id="rId989" display="https://audio.jukehost.co.uk/BVAWn1VWYkLlL6RTGJLj7sqP47bEcqu6"/>
    <hyperlink ref="G1275" r:id="rId990" display="https://audio.jukehost.co.uk/rzU808BePSQ2mtoP0etkJBrADF75bKX6"/>
    <hyperlink ref="G1276" r:id="rId991" display="https://audio.jukehost.co.uk/ZZurfn5onUca7m7HJSEwmJmrZ6noRdPi"/>
    <hyperlink ref="G1280" r:id="rId992" display="https://audio.jukehost.co.uk/UARJqfNDyLeyBnvMAfn00wearsg0xMVo"/>
    <hyperlink ref="G1281" r:id="rId993" display="https://nu.vgmtreasurechest.com/soundtracks/the-legend-of-zelda-a-link-between-worlds-original-soundtrack-2014/yzaycjrsps/2-42.%20Ballad%20of%20the%20Goddess%20%28Milk%20Bar%20Musicians%29.mp3"/>
    <hyperlink ref="G1282" r:id="rId994" display="https://nu.vgmtreasurechest.com/soundtracks/the-legend-of-zelda-a-link-between-worlds-original-soundtrack-2014/ppcbtqychp/2-23.%20Lorule%20Castle.mp3"/>
    <hyperlink ref="G1283" r:id="rId995" display="https://nu.vgmtreasurechest.com/soundtracks/the-legend-of-zelda-a-link-between-worlds-original-soundtrack-2014/jxwjacddqx/2-15.%20Sneaking%20into%20the%20Dark%20Palace.mp3"/>
    <hyperlink ref="G1284" r:id="rId996" display="https://jetta.vgmtreasurechest.com/soundtracks/legend-of-zelda-the-a-link-to-the-past-snes/tutksjpa/16.%20Sanctuary%20Dungeon.mp3"/>
    <hyperlink ref="G1285" r:id="rId997" display="https://audio.jukehost.co.uk/C4cxIUWPl1uINF0qqb85xe8qClNsbNEf"/>
    <hyperlink ref="G1286" r:id="rId998" display="https://audio.jukehost.co.uk/NrQIENaiELeEJlaWGIMGnLrNZ6N68N1d"/>
    <hyperlink ref="G1287" r:id="rId999" display="https://audio.jukehost.co.uk/M5BJB0runmhwtc2oxNYcftsFxcXsFqKf"/>
    <hyperlink ref="G1289" r:id="rId1000" display="https://audio.jukehost.co.uk/eniCOP07iSvqXJrbhkEXWkVlmJoFZtXm"/>
    <hyperlink ref="G1290" r:id="rId1001" display="https://audio.jukehost.co.uk/4JE7qzM1tquUSTv5Cwf9cpd0ZYwyFMc6"/>
    <hyperlink ref="G1291" r:id="rId1002" display="https://audio.jukehost.co.uk/Mwgdz3wgvmGD0TVRUouCxpqRIlDQ1Rqy"/>
    <hyperlink ref="G1292" r:id="rId1003" display="https://audio.jukehost.co.uk/wrypfoMqQdb1YAiKp3Y3mCykG6LZ4JCe"/>
    <hyperlink ref="G1293" r:id="rId1004" display="https://audio.jukehost.co.uk/acryNPc1ocLu2oMAhq50ij9C7G1cuqef"/>
    <hyperlink ref="G1301" r:id="rId1005" display="https://audio.jukehost.co.uk/Iz6dnanXrVLD4kzKZGdS4h385ZkmHbEz"/>
    <hyperlink ref="G1302" r:id="rId1006" display="https://audio.jukehost.co.uk/qkfwDepgj0RYkX2kvE8aK8ywuZwDO3pw"/>
    <hyperlink ref="G1303" r:id="rId1007" display="https://audio.jukehost.co.uk/zwDQXXimu7w7wDxUwonf8IKLMBT3txIp"/>
    <hyperlink ref="G1304" r:id="rId1008" display="https://nu.vgmtreasurechest.com/soundtracks/legend-of-zelda-the-link-s-awakening-2019-remake-gamerip/saxnuktm/1-10%20Mabe%20Village.mp3"/>
    <hyperlink ref="G1305" r:id="rId1009" display="https://audio.jukehost.co.uk/LRiqBM5MtUYVSCIZC37Tf2V4LB3zPEva"/>
    <hyperlink ref="G1307" r:id="rId1010" display="https://lambda.vgmtreasurechest.com/soundtracks/legend-of-zelda-the-ocarina-of-time-original-sound-track-1998/gtbynwsx/59%20Forest%20Temple.mp3"/>
    <hyperlink ref="G1308" r:id="rId1011" display="https://audio.jukehost.co.uk/1wFkgKbyD1SkiMAEgiDRewr869iCDoCz"/>
    <hyperlink ref="G1309" r:id="rId1012" display="https://audio.jukehost.co.uk/wF2JQ36Ha3cYCcNcBveeyQqwGBApzCia"/>
    <hyperlink ref="G1310" r:id="rId1013" display="https://audio.jukehost.co.uk/nSGQjwDfWE7BMmOk1UIU2uUnfu80bFPj"/>
    <hyperlink ref="G1313" r:id="rId1014" display="https://audio.jukehost.co.uk/eJvKDWn6japUd6go0hLsOut08uesFWBS"/>
    <hyperlink ref="E1314" r:id="rId1015" display="https://downloads.khinsider.com/game-soundtracks/album/the-legend-of-zelda-skyward-sword-wii-gamerip-2011/226.%2520Pirates%2520Stronghold%2520%2528Exterior%252C%2520Timeshift%2520Stone%2529.mp3"/>
    <hyperlink ref="G1314" r:id="rId1016" display="https://lambda.vgmtreasurechest.com/soundtracks/the-legend-of-zelda-skyward-sword-wii-gamerip-2011/gyahhpeb/226.%20Pirates%20Stronghold%20%28Exterior%2C%20Timeshift%20Stone%29.mp3"/>
    <hyperlink ref="G1315" r:id="rId1017" display="https://audio.jukehost.co.uk/64ip66XSNnYi3IyOMvPkvrbxozqEznqQ"/>
    <hyperlink ref="G1316" r:id="rId1018" display="https://jetta.vgmtreasurechest.com/soundtracks/the-legend-of-zelda-spirit-tracks/tatsjrfa/148.%20Fight%20Against%20Byrne.mp3"/>
    <hyperlink ref="G1317" r:id="rId1019" display="https://audio.jukehost.co.uk/ujyx2ZaPCG9BwQLtbAfsTZyV2vOZhDvL"/>
    <hyperlink ref="G1318" r:id="rId1020" display="https://jetta.vgmtreasurechest.com/soundtracks/the-legend-of-zelda-spirit-tracks/gzggnvqp/058.%20Overworld%20Adventure.mp3"/>
    <hyperlink ref="E1319" r:id="rId1021" display="https://downloads.khinsider.com/game-soundtracks/album/the-legend-of-zelda-spirit-tracks/047.%2520Tower%2520of%2520Spirits.mp3"/>
    <hyperlink ref="G1319" r:id="rId1022" display="https://jetta.vgmtreasurechest.com/soundtracks/the-legend-of-zelda-spirit-tracks/pwmvsbet/047.%20Tower%20of%20Spirits.mp3"/>
    <hyperlink ref="E1320" r:id="rId1023" display="https://downloads.khinsider.com/game-soundtracks/album/the-legend-of-zelda-tears-of-the-kingdom-o.s.t-switch-gamerip-2023/9-07.%2520Scourge%2520of%2520the%2520Spirit%2520Temple%252C%2520Seized%2520Construct%2520Battle.mp3"/>
    <hyperlink ref="G1320" r:id="rId1024" display="https://jetta.vgmtreasurechest.com/soundtracks/the-legend-of-zelda-tears-of-the-kingdom-o.s.t-switch-gamerip-2023/jjrkxjes/9-07.%20Scourge%20of%20the%20Spirit%20Temple%2C%20Seized%20Construct%20Battle.mp3"/>
    <hyperlink ref="G1321" r:id="rId1025" display="https://audio.jukehost.co.uk/mGxzUIYk70XyMDjp6BNamXVmppE8fbsB"/>
    <hyperlink ref="G1322" r:id="rId1026" display="https://audio.jukehost.co.uk/uVp8UGSRcy0d31Hepjvin1qPft2IdIet"/>
    <hyperlink ref="E1323" r:id="rId1027" display="https://downloads.khinsider.com/game-soundtracks/album/zelda-the-wand-of-gamelon-cdi/29_Sakado%2520Graveyard.mp3"/>
    <hyperlink ref="G1323" r:id="rId1028" display="https://jetta.vgmtreasurechest.com/soundtracks/zelda-the-wand-of-gamelon-cdi/shgmrwhx/29_Sakado%20Graveyard.mp3"/>
    <hyperlink ref="E1324" r:id="rId1029" display="https://downloads.khinsider.com/game-soundtracks/album/legend-of-zelda-the-the-wind-waker-hd-2013-wii-u-gamerip/4-02.%2520Molgera%2520Battle.mp3"/>
    <hyperlink ref="G1324" r:id="rId1030" display="https://nu.vgmtreasurechest.com/soundtracks/legend-of-zelda-the-the-wind-waker-hd-2013-wii-u-gamerip/fsgtsgaupi/4-02.%20Molgera%20Battle.mp3"/>
    <hyperlink ref="G1325" r:id="rId1031" display="https://audio.jukehost.co.uk/wJusP7MZGDUJKS8s6OpFCu29pXX7hx8y"/>
    <hyperlink ref="G1326" r:id="rId1032" display="https://audio.jukehost.co.uk/2Yfn7psjp8uWyfT9hfxwWSqgsUrQjqri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3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2026-09-20T19:42:12Z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